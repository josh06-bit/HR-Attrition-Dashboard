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Virtudazo\OneDrive\Desktop\Projects\New Project\"/>
    </mc:Choice>
  </mc:AlternateContent>
  <xr:revisionPtr revIDLastSave="0" documentId="13_ncr:1_{1988DCE6-9C9D-4B87-BD49-C43124E8DAD2}" xr6:coauthVersionLast="47" xr6:coauthVersionMax="47" xr10:uidLastSave="{00000000-0000-0000-0000-000000000000}"/>
  <bookViews>
    <workbookView xWindow="-120" yWindow="-120" windowWidth="29040" windowHeight="15990" xr2:uid="{DD32564B-3A34-4DC1-AB17-98400810B966}"/>
  </bookViews>
  <sheets>
    <sheet name="Dashboard" sheetId="3" r:id="rId1"/>
    <sheet name="Data" sheetId="1" r:id="rId2"/>
    <sheet name="Pivot" sheetId="2" r:id="rId3"/>
  </sheets>
  <definedNames>
    <definedName name="Slicer_Department">#N/A</definedName>
    <definedName name="Slicer_JobRole">#N/A</definedName>
  </definedNames>
  <calcPr calcId="191029"/>
  <pivotCaches>
    <pivotCache cacheId="10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9" i="2" l="1"/>
  <c r="O59" i="2"/>
  <c r="P58" i="2"/>
  <c r="O58" i="2"/>
  <c r="P57" i="2"/>
  <c r="O57" i="2"/>
  <c r="P56" i="2"/>
  <c r="O56" i="2"/>
  <c r="P55" i="2"/>
  <c r="O55" i="2"/>
  <c r="P54" i="2"/>
  <c r="O54" i="2"/>
  <c r="P53" i="2"/>
  <c r="O53" i="2"/>
  <c r="P52" i="2"/>
  <c r="O52" i="2"/>
  <c r="P51" i="2"/>
  <c r="O51" i="2"/>
  <c r="M55" i="2"/>
  <c r="L55" i="2"/>
  <c r="K55" i="2"/>
  <c r="M54" i="2"/>
  <c r="L54" i="2"/>
  <c r="K54" i="2"/>
  <c r="M53" i="2"/>
  <c r="L53" i="2"/>
  <c r="K53" i="2"/>
  <c r="M52" i="2"/>
  <c r="L52" i="2"/>
  <c r="K52" i="2"/>
  <c r="M51" i="2"/>
  <c r="L51" i="2"/>
  <c r="K51" i="2"/>
  <c r="I55" i="2"/>
  <c r="H55" i="2"/>
  <c r="I54" i="2"/>
  <c r="H54" i="2"/>
  <c r="I53" i="2"/>
  <c r="H53" i="2"/>
  <c r="I52" i="2"/>
  <c r="H52" i="2"/>
  <c r="I51" i="2"/>
  <c r="H51" i="2"/>
  <c r="F56" i="2"/>
  <c r="E56" i="2"/>
  <c r="F55" i="2"/>
  <c r="E55" i="2"/>
  <c r="F54" i="2"/>
  <c r="E54" i="2"/>
  <c r="F53" i="2"/>
  <c r="E53" i="2"/>
  <c r="F52" i="2"/>
  <c r="E52" i="2"/>
  <c r="F51" i="2"/>
  <c r="E51" i="2"/>
  <c r="C53" i="2"/>
  <c r="B53" i="2"/>
  <c r="A53" i="2"/>
  <c r="C52" i="2"/>
  <c r="B52" i="2"/>
  <c r="A52" i="2"/>
  <c r="C51" i="2"/>
  <c r="B51" i="2"/>
  <c r="A51" i="2"/>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F3" i="3"/>
  <c r="AF7" i="3"/>
  <c r="AF6" i="3"/>
  <c r="AF5" i="3"/>
  <c r="AF2" i="3"/>
  <c r="AF4" i="3" l="1"/>
</calcChain>
</file>

<file path=xl/sharedStrings.xml><?xml version="1.0" encoding="utf-8"?>
<sst xmlns="http://schemas.openxmlformats.org/spreadsheetml/2006/main" count="13331" uniqueCount="80">
  <si>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</si>
  <si>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</si>
  <si>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</si>
  <si>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</si>
  <si>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</si>
  <si>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</si>
  <si>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</si>
  <si>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</si>
  <si>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</si>
  <si>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</si>
  <si>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</si>
  <si>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</si>
  <si>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</si>
  <si>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</si>
  <si>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</si>
  <si>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</si>
  <si>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</si>
  <si>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</si>
  <si>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</si>
  <si>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</si>
  <si>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</si>
  <si>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</si>
  <si>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</si>
  <si>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</si>
  <si>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</si>
  <si>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</si>
  <si>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</si>
  <si>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</si>
  <si>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</si>
  <si>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</si>
  <si>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</si>
  <si>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</si>
  <si>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</si>
  <si>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</si>
  <si>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</si>
  <si>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</si>
  <si>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</si>
  <si>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</si>
  <si>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</si>
  <si>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</si>
  <si>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</si>
  <si>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</si>
  <si>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</si>
  <si>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</si>
  <si>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</si>
  <si>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</si>
  <si>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</si>
  <si>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</si>
  <si>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</si>
  <si>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</si>
  <si>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</si>
  <si>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</si>
  <si>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</si>
  <si>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</si>
  <si>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</si>
  <si>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</si>
  <si>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</si>
  <si>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</si>
  <si>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</si>
  <si>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</si>
  <si>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</si>
  <si>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</si>
  <si>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Exits</t>
  </si>
  <si>
    <t>AttritionFlag</t>
  </si>
  <si>
    <t>AgeBand</t>
  </si>
  <si>
    <t>Grand Total</t>
  </si>
  <si>
    <t>Headcount</t>
  </si>
  <si>
    <t>18-25</t>
  </si>
  <si>
    <t>26-35</t>
  </si>
  <si>
    <t>36-45</t>
  </si>
  <si>
    <t>46-55</t>
  </si>
  <si>
    <t>56+</t>
  </si>
  <si>
    <t>Avg Monthly Income</t>
  </si>
  <si>
    <t>Avg Tenure</t>
  </si>
  <si>
    <t>Avg Age</t>
  </si>
  <si>
    <t>Education Field</t>
  </si>
  <si>
    <t>Age Band</t>
  </si>
  <si>
    <t>Attrition Rate</t>
  </si>
  <si>
    <t>Job Level</t>
  </si>
  <si>
    <t>Job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</si>
</sst>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0.0"/>
    <numFmt numFmtId="166" formatCode="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
      <sz val="10"/>
      <color theme="1"/>
      <name val="Aptos"/>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12D4E"/>
        <bgColor indexed="64"/>
      </patternFill>
    </fill>
    <fill>
      <patternFill patternType="solid">
        <fgColor rgb="FFF4F7F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3" fontId="0" fillId="0" borderId="0" xfId="0" applyNumberFormat="1"/>
    <xf numFmtId="0" fontId="18" fillId="33" borderId="0" xfId="0" applyFont="1" applyFill="1"/>
    <xf numFmtId="0" fontId="19" fillId="0" borderId="0" xfId="0" pivotButton="1" applyFont="1"/>
    <xf numFmtId="0" fontId="19" fillId="0" borderId="0" xfId="0" applyFont="1"/>
    <xf numFmtId="3" fontId="19" fillId="0" borderId="0" xfId="0" applyNumberFormat="1" applyFont="1"/>
    <xf numFmtId="164" fontId="19" fillId="0" borderId="0" xfId="0" applyNumberFormat="1" applyFont="1"/>
    <xf numFmtId="165" fontId="19" fillId="0" borderId="0" xfId="0" applyNumberFormat="1" applyFont="1"/>
    <xf numFmtId="166" fontId="0" fillId="0" borderId="0" xfId="0" applyNumberFormat="1"/>
    <xf numFmtId="0" fontId="19" fillId="34" borderId="0" xfId="0" applyFont="1" applyFill="1"/>
    <xf numFmtId="3" fontId="19" fillId="34" borderId="0" xfId="0" applyNumberFormat="1" applyFont="1" applyFill="1"/>
    <xf numFmtId="166" fontId="19" fillId="34" borderId="0" xfId="0" applyNumberFormat="1" applyFont="1" applyFill="1"/>
    <xf numFmtId="164" fontId="19" fillId="34" borderId="0" xfId="0" applyNumberFormat="1" applyFont="1" applyFill="1"/>
    <xf numFmtId="165" fontId="19" fillId="34" borderId="0" xfId="0" applyNumberFormat="1" applyFont="1" applyFill="1"/>
    <xf numFmtId="0" fontId="19" fillId="34" borderId="0" xfId="0" applyFont="1" applyFill="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87">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numFmt numFmtId="165" formatCode="0.0"/>
    </dxf>
    <dxf>
      <numFmt numFmtId="165" formatCode="0.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b/>
        <color rgb="FFFFFFFF"/>
      </font>
      <fill>
        <patternFill patternType="solid">
          <fgColor indexed="64"/>
          <bgColor rgb="FF112D4E"/>
        </patternFill>
      </fill>
    </dxf>
    <dxf>
      <numFmt numFmtId="3" formatCode="#,##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F3458"/>
                </a:solidFill>
              </a:defRPr>
            </a:pPr>
            <a:r>
              <a:rPr lang="en-US" sz="1200" b="1">
                <a:solidFill>
                  <a:srgbClr val="0F3458"/>
                </a:solidFill>
              </a:rPr>
              <a:t>Headcount vs Attrition by Department</a:t>
            </a:r>
          </a:p>
        </c:rich>
      </c:tx>
      <c:overlay val="0"/>
    </c:title>
    <c:autoTitleDeleted val="0"/>
    <c:plotArea>
      <c:layout/>
      <c:barChart>
        <c:barDir val="col"/>
        <c:grouping val="clustered"/>
        <c:varyColors val="0"/>
        <c:ser>
          <c:idx val="0"/>
          <c:order val="0"/>
          <c:tx>
            <c:strRef>
              <c:f>Pivot!$B$50</c:f>
              <c:strCache>
                <c:ptCount val="1"/>
                <c:pt idx="0">
                  <c:v>Headcount</c:v>
                </c:pt>
              </c:strCache>
            </c:strRef>
          </c:tx>
          <c:spPr>
            <a:solidFill>
              <a:srgbClr val="154C79"/>
            </a:solidFill>
          </c:spPr>
          <c:invertIfNegative val="0"/>
          <c:dLbls>
            <c:numFmt formatCode="#,##0"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Pivot!$A$51:$A$53</c:f>
              <c:strCache>
                <c:ptCount val="3"/>
                <c:pt idx="0">
                  <c:v>Human Resources</c:v>
                </c:pt>
                <c:pt idx="1">
                  <c:v>Research &amp; Development</c:v>
                </c:pt>
                <c:pt idx="2">
                  <c:v>Sales</c:v>
                </c:pt>
              </c:strCache>
            </c:strRef>
          </c:cat>
          <c:val>
            <c:numRef>
              <c:f>Pivot!$B$51:$B$53</c:f>
              <c:numCache>
                <c:formatCode>#,##0</c:formatCode>
                <c:ptCount val="3"/>
                <c:pt idx="0">
                  <c:v>63</c:v>
                </c:pt>
                <c:pt idx="1">
                  <c:v>961</c:v>
                </c:pt>
                <c:pt idx="2">
                  <c:v>446</c:v>
                </c:pt>
              </c:numCache>
            </c:numRef>
          </c:val>
          <c:extLst>
            <c:ext xmlns:c16="http://schemas.microsoft.com/office/drawing/2014/chart" uri="{C3380CC4-5D6E-409C-BE32-E72D297353CC}">
              <c16:uniqueId val="{00000000-C120-4D0D-9971-78D6562CD366}"/>
            </c:ext>
          </c:extLst>
        </c:ser>
        <c:ser>
          <c:idx val="1"/>
          <c:order val="1"/>
          <c:tx>
            <c:strRef>
              <c:f>Pivot!$C$50</c:f>
              <c:strCache>
                <c:ptCount val="1"/>
                <c:pt idx="0">
                  <c:v>Attrition</c:v>
                </c:pt>
              </c:strCache>
            </c:strRef>
          </c:tx>
          <c:spPr>
            <a:solidFill>
              <a:srgbClr val="C0392B"/>
            </a:solidFill>
          </c:spPr>
          <c:invertIfNegative val="0"/>
          <c:dLbls>
            <c:numFmt formatCode="#,##0"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Pivot!$A$51:$A$53</c:f>
              <c:strCache>
                <c:ptCount val="3"/>
                <c:pt idx="0">
                  <c:v>Human Resources</c:v>
                </c:pt>
                <c:pt idx="1">
                  <c:v>Research &amp; Development</c:v>
                </c:pt>
                <c:pt idx="2">
                  <c:v>Sales</c:v>
                </c:pt>
              </c:strCache>
            </c:strRef>
          </c:cat>
          <c:val>
            <c:numRef>
              <c:f>Pivot!$C$51:$C$53</c:f>
              <c:numCache>
                <c:formatCode>#,##0</c:formatCode>
                <c:ptCount val="3"/>
                <c:pt idx="0">
                  <c:v>12</c:v>
                </c:pt>
                <c:pt idx="1">
                  <c:v>133</c:v>
                </c:pt>
                <c:pt idx="2">
                  <c:v>92</c:v>
                </c:pt>
              </c:numCache>
            </c:numRef>
          </c:val>
          <c:extLst>
            <c:ext xmlns:c16="http://schemas.microsoft.com/office/drawing/2014/chart" uri="{C3380CC4-5D6E-409C-BE32-E72D297353CC}">
              <c16:uniqueId val="{00000001-C120-4D0D-9971-78D6562CD366}"/>
            </c:ext>
          </c:extLst>
        </c:ser>
        <c:dLbls>
          <c:showLegendKey val="0"/>
          <c:showVal val="0"/>
          <c:showCatName val="0"/>
          <c:showSerName val="0"/>
          <c:showPercent val="0"/>
          <c:showBubbleSize val="0"/>
        </c:dLbls>
        <c:gapWidth val="150"/>
        <c:axId val="673420799"/>
        <c:axId val="242885695"/>
      </c:barChart>
      <c:catAx>
        <c:axId val="673420799"/>
        <c:scaling>
          <c:orientation val="minMax"/>
        </c:scaling>
        <c:delete val="0"/>
        <c:axPos val="b"/>
        <c:numFmt formatCode="General" sourceLinked="1"/>
        <c:majorTickMark val="out"/>
        <c:minorTickMark val="none"/>
        <c:tickLblPos val="nextTo"/>
        <c:spPr>
          <a:ln>
            <a:solidFill>
              <a:srgbClr val="D2D6DC"/>
            </a:solidFill>
          </a:ln>
        </c:spPr>
        <c:crossAx val="242885695"/>
        <c:crosses val="autoZero"/>
        <c:auto val="1"/>
        <c:lblAlgn val="ctr"/>
        <c:lblOffset val="100"/>
        <c:noMultiLvlLbl val="0"/>
      </c:catAx>
      <c:valAx>
        <c:axId val="242885695"/>
        <c:scaling>
          <c:orientation val="minMax"/>
        </c:scaling>
        <c:delete val="0"/>
        <c:axPos val="l"/>
        <c:majorGridlines>
          <c:spPr>
            <a:ln w="6350">
              <a:solidFill>
                <a:srgbClr val="E6EBF0"/>
              </a:solidFill>
            </a:ln>
          </c:spPr>
        </c:majorGridlines>
        <c:numFmt formatCode="#,##0" sourceLinked="0"/>
        <c:majorTickMark val="out"/>
        <c:minorTickMark val="none"/>
        <c:tickLblPos val="nextTo"/>
        <c:spPr>
          <a:ln>
            <a:solidFill>
              <a:srgbClr val="D2D6DC"/>
            </a:solidFill>
          </a:ln>
        </c:spPr>
        <c:crossAx val="673420799"/>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CEDAE7"/>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F3458"/>
                </a:solidFill>
              </a:defRPr>
            </a:pPr>
            <a:r>
              <a:rPr lang="en-US" sz="1200" b="1">
                <a:solidFill>
                  <a:srgbClr val="0F3458"/>
                </a:solidFill>
              </a:rPr>
              <a:t>Attrition by Education Field</a:t>
            </a:r>
          </a:p>
        </c:rich>
      </c:tx>
      <c:overlay val="0"/>
    </c:title>
    <c:autoTitleDeleted val="0"/>
    <c:plotArea>
      <c:layout>
        <c:manualLayout>
          <c:xMode val="edge"/>
          <c:yMode val="edge"/>
          <c:x val="3.921375386156517E-2"/>
          <c:y val="0.14074066246440139"/>
          <c:w val="0.29666667169167932"/>
          <c:h val="0.75620915195929861"/>
        </c:manualLayout>
      </c:layout>
      <c:doughnutChart>
        <c:varyColors val="1"/>
        <c:ser>
          <c:idx val="0"/>
          <c:order val="0"/>
          <c:tx>
            <c:strRef>
              <c:f>Pivot!$F$50</c:f>
              <c:strCache>
                <c:ptCount val="1"/>
                <c:pt idx="0">
                  <c:v>Attrition</c:v>
                </c:pt>
              </c:strCache>
            </c:strRef>
          </c:tx>
          <c:dPt>
            <c:idx val="0"/>
            <c:bubble3D val="0"/>
            <c:spPr>
              <a:solidFill>
                <a:srgbClr val="154C79"/>
              </a:solidFill>
              <a:ln>
                <a:solidFill>
                  <a:srgbClr val="FFFFFF"/>
                </a:solidFill>
              </a:ln>
            </c:spPr>
            <c:extLst>
              <c:ext xmlns:c16="http://schemas.microsoft.com/office/drawing/2014/chart" uri="{C3380CC4-5D6E-409C-BE32-E72D297353CC}">
                <c16:uniqueId val="{00000001-402F-4C14-A08D-047BEA80BA95}"/>
              </c:ext>
            </c:extLst>
          </c:dPt>
          <c:dPt>
            <c:idx val="1"/>
            <c:bubble3D val="0"/>
            <c:spPr>
              <a:solidFill>
                <a:srgbClr val="4895C5"/>
              </a:solidFill>
              <a:ln>
                <a:solidFill>
                  <a:srgbClr val="FFFFFF"/>
                </a:solidFill>
              </a:ln>
            </c:spPr>
            <c:extLst>
              <c:ext xmlns:c16="http://schemas.microsoft.com/office/drawing/2014/chart" uri="{C3380CC4-5D6E-409C-BE32-E72D297353CC}">
                <c16:uniqueId val="{00000002-402F-4C14-A08D-047BEA80BA95}"/>
              </c:ext>
            </c:extLst>
          </c:dPt>
          <c:dPt>
            <c:idx val="2"/>
            <c:bubble3D val="0"/>
            <c:spPr>
              <a:solidFill>
                <a:srgbClr val="C0392B"/>
              </a:solidFill>
              <a:ln>
                <a:solidFill>
                  <a:srgbClr val="FFFFFF"/>
                </a:solidFill>
              </a:ln>
            </c:spPr>
            <c:extLst>
              <c:ext xmlns:c16="http://schemas.microsoft.com/office/drawing/2014/chart" uri="{C3380CC4-5D6E-409C-BE32-E72D297353CC}">
                <c16:uniqueId val="{00000003-402F-4C14-A08D-047BEA80BA95}"/>
              </c:ext>
            </c:extLst>
          </c:dPt>
          <c:dPt>
            <c:idx val="3"/>
            <c:bubble3D val="0"/>
            <c:spPr>
              <a:solidFill>
                <a:srgbClr val="D35400"/>
              </a:solidFill>
              <a:ln>
                <a:solidFill>
                  <a:srgbClr val="FFFFFF"/>
                </a:solidFill>
              </a:ln>
            </c:spPr>
            <c:extLst>
              <c:ext xmlns:c16="http://schemas.microsoft.com/office/drawing/2014/chart" uri="{C3380CC4-5D6E-409C-BE32-E72D297353CC}">
                <c16:uniqueId val="{00000004-402F-4C14-A08D-047BEA80BA95}"/>
              </c:ext>
            </c:extLst>
          </c:dPt>
          <c:dPt>
            <c:idx val="4"/>
            <c:bubble3D val="0"/>
            <c:spPr>
              <a:solidFill>
                <a:srgbClr val="27AE60"/>
              </a:solidFill>
              <a:ln>
                <a:solidFill>
                  <a:srgbClr val="FFFFFF"/>
                </a:solidFill>
              </a:ln>
            </c:spPr>
            <c:extLst>
              <c:ext xmlns:c16="http://schemas.microsoft.com/office/drawing/2014/chart" uri="{C3380CC4-5D6E-409C-BE32-E72D297353CC}">
                <c16:uniqueId val="{00000005-402F-4C14-A08D-047BEA80BA95}"/>
              </c:ext>
            </c:extLst>
          </c:dPt>
          <c:dPt>
            <c:idx val="5"/>
            <c:bubble3D val="0"/>
            <c:spPr>
              <a:solidFill>
                <a:srgbClr val="8E44AD"/>
              </a:solidFill>
              <a:ln>
                <a:solidFill>
                  <a:srgbClr val="FFFFFF"/>
                </a:solidFill>
              </a:ln>
            </c:spPr>
            <c:extLst>
              <c:ext xmlns:c16="http://schemas.microsoft.com/office/drawing/2014/chart" uri="{C3380CC4-5D6E-409C-BE32-E72D297353CC}">
                <c16:uniqueId val="{00000006-402F-4C14-A08D-047BEA80BA95}"/>
              </c:ext>
            </c:extLst>
          </c:dPt>
          <c:dLbls>
            <c:numFmt formatCode="#,##0" sourceLinked="0"/>
            <c:spPr>
              <a:noFill/>
              <a:ln>
                <a:noFill/>
              </a:ln>
              <a:effectLst/>
            </c:spPr>
            <c:txPr>
              <a:bodyPr wrap="square" lIns="38100" tIns="19050" rIns="38100" bIns="19050" anchor="ctr">
                <a:spAutoFit/>
              </a:bodyPr>
              <a:lstStyle/>
              <a:p>
                <a:pPr>
                  <a:defRPr sz="800" b="1">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Pivot!$E$51:$E$56</c:f>
              <c:strCache>
                <c:ptCount val="6"/>
                <c:pt idx="0">
                  <c:v>Human Resources</c:v>
                </c:pt>
                <c:pt idx="1">
                  <c:v>Life Sciences</c:v>
                </c:pt>
                <c:pt idx="2">
                  <c:v>Marketing</c:v>
                </c:pt>
                <c:pt idx="3">
                  <c:v>Medical</c:v>
                </c:pt>
                <c:pt idx="4">
                  <c:v>Other</c:v>
                </c:pt>
                <c:pt idx="5">
                  <c:v>Technical Degree</c:v>
                </c:pt>
              </c:strCache>
            </c:strRef>
          </c:cat>
          <c:val>
            <c:numRef>
              <c:f>Pivot!$F$51:$F$56</c:f>
              <c:numCache>
                <c:formatCode>#,##0</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402F-4C14-A08D-047BEA80BA95}"/>
            </c:ext>
          </c:extLst>
        </c:ser>
        <c:dLbls>
          <c:showLegendKey val="0"/>
          <c:showVal val="0"/>
          <c:showCatName val="0"/>
          <c:showSerName val="0"/>
          <c:showPercent val="0"/>
          <c:showBubbleSize val="0"/>
          <c:showLeaderLines val="0"/>
        </c:dLbls>
        <c:firstSliceAng val="0"/>
        <c:holeSize val="40"/>
      </c:doughnutChart>
      <c:spPr>
        <a:solidFill>
          <a:srgbClr val="FFFFFF"/>
        </a:solidFill>
      </c:spPr>
    </c:plotArea>
    <c:legend>
      <c:legendPos val="r"/>
      <c:layout>
        <c:manualLayout>
          <c:xMode val="edge"/>
          <c:yMode val="edge"/>
          <c:x val="0.55907620921589829"/>
          <c:y val="0.15043572844521794"/>
          <c:w val="0.440923753096507"/>
          <c:h val="0.72592587611370996"/>
        </c:manualLayout>
      </c:layout>
      <c:overlay val="0"/>
      <c:txPr>
        <a:bodyPr/>
        <a:lstStyle/>
        <a:p>
          <a:pPr>
            <a:defRPr sz="1200"/>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CEDAE7"/>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F3458"/>
                </a:solidFill>
              </a:defRPr>
            </a:pPr>
            <a:r>
              <a:rPr lang="en-US" sz="1200" b="1">
                <a:solidFill>
                  <a:srgbClr val="0F3458"/>
                </a:solidFill>
              </a:rPr>
              <a:t>Attrition Rate by Age Band</a:t>
            </a:r>
          </a:p>
        </c:rich>
      </c:tx>
      <c:overlay val="0"/>
    </c:title>
    <c:autoTitleDeleted val="0"/>
    <c:plotArea>
      <c:layout/>
      <c:lineChart>
        <c:grouping val="standard"/>
        <c:varyColors val="0"/>
        <c:ser>
          <c:idx val="0"/>
          <c:order val="0"/>
          <c:tx>
            <c:strRef>
              <c:f>Pivot!$I$50</c:f>
              <c:strCache>
                <c:ptCount val="1"/>
                <c:pt idx="0">
                  <c:v>Attrition Rate</c:v>
                </c:pt>
              </c:strCache>
            </c:strRef>
          </c:tx>
          <c:spPr>
            <a:ln w="28575">
              <a:solidFill>
                <a:srgbClr val="C0392B"/>
              </a:solidFill>
            </a:ln>
          </c:spPr>
          <c:marker>
            <c:symbol val="circle"/>
            <c:size val="6"/>
            <c:spPr>
              <a:solidFill>
                <a:srgbClr val="E77E72"/>
              </a:solidFill>
              <a:ln w="28575">
                <a:solidFill>
                  <a:srgbClr val="C0392B"/>
                </a:solidFill>
                <a:prstDash val="solid"/>
              </a:ln>
            </c:spPr>
          </c:marker>
          <c:dLbls>
            <c:numFmt formatCode="0.0%" sourceLinked="0"/>
            <c:spPr>
              <a:noFill/>
              <a:ln>
                <a:noFill/>
              </a:ln>
              <a:effectLst/>
            </c:spPr>
            <c:txPr>
              <a:bodyPr wrap="square" lIns="38100" tIns="19050" rIns="38100" bIns="19050" anchor="ctr">
                <a:spAutoFit/>
              </a:bodyPr>
              <a:lstStyle/>
              <a:p>
                <a:pPr>
                  <a:defRPr sz="800" b="1">
                    <a:solidFill>
                      <a:srgbClr val="0F3458"/>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Pivot!$H$51:$H$55</c:f>
              <c:strCache>
                <c:ptCount val="5"/>
                <c:pt idx="0">
                  <c:v>18-25</c:v>
                </c:pt>
                <c:pt idx="1">
                  <c:v>26-35</c:v>
                </c:pt>
                <c:pt idx="2">
                  <c:v>36-45</c:v>
                </c:pt>
                <c:pt idx="3">
                  <c:v>46-55</c:v>
                </c:pt>
                <c:pt idx="4">
                  <c:v>56+</c:v>
                </c:pt>
              </c:strCache>
            </c:strRef>
          </c:cat>
          <c:val>
            <c:numRef>
              <c:f>Pivot!$I$51:$I$55</c:f>
              <c:numCache>
                <c:formatCode>0.0%</c:formatCode>
                <c:ptCount val="5"/>
                <c:pt idx="0">
                  <c:v>0.35772357723577236</c:v>
                </c:pt>
                <c:pt idx="1">
                  <c:v>0.19141914191419143</c:v>
                </c:pt>
                <c:pt idx="2">
                  <c:v>9.1880341880341887E-2</c:v>
                </c:pt>
                <c:pt idx="3">
                  <c:v>0.11504424778761062</c:v>
                </c:pt>
                <c:pt idx="4">
                  <c:v>0.1702127659574468</c:v>
                </c:pt>
              </c:numCache>
            </c:numRef>
          </c:val>
          <c:smooth val="0"/>
          <c:extLst>
            <c:ext xmlns:c16="http://schemas.microsoft.com/office/drawing/2014/chart" uri="{C3380CC4-5D6E-409C-BE32-E72D297353CC}">
              <c16:uniqueId val="{00000000-3D7E-4B83-A4C2-CADF337DD469}"/>
            </c:ext>
          </c:extLst>
        </c:ser>
        <c:dLbls>
          <c:showLegendKey val="0"/>
          <c:showVal val="0"/>
          <c:showCatName val="0"/>
          <c:showSerName val="0"/>
          <c:showPercent val="0"/>
          <c:showBubbleSize val="0"/>
        </c:dLbls>
        <c:marker val="1"/>
        <c:smooth val="0"/>
        <c:axId val="710680047"/>
        <c:axId val="300188063"/>
      </c:lineChart>
      <c:catAx>
        <c:axId val="710680047"/>
        <c:scaling>
          <c:orientation val="minMax"/>
        </c:scaling>
        <c:delete val="0"/>
        <c:axPos val="b"/>
        <c:numFmt formatCode="General" sourceLinked="1"/>
        <c:majorTickMark val="out"/>
        <c:minorTickMark val="none"/>
        <c:tickLblPos val="nextTo"/>
        <c:spPr>
          <a:ln>
            <a:solidFill>
              <a:srgbClr val="D2D6DC"/>
            </a:solidFill>
          </a:ln>
        </c:spPr>
        <c:crossAx val="300188063"/>
        <c:crosses val="autoZero"/>
        <c:auto val="1"/>
        <c:lblAlgn val="ctr"/>
        <c:lblOffset val="100"/>
        <c:noMultiLvlLbl val="0"/>
      </c:catAx>
      <c:valAx>
        <c:axId val="300188063"/>
        <c:scaling>
          <c:orientation val="minMax"/>
        </c:scaling>
        <c:delete val="0"/>
        <c:axPos val="l"/>
        <c:majorGridlines>
          <c:spPr>
            <a:ln w="6350">
              <a:solidFill>
                <a:srgbClr val="E6EBF0"/>
              </a:solidFill>
            </a:ln>
          </c:spPr>
        </c:majorGridlines>
        <c:numFmt formatCode="0.0%" sourceLinked="0"/>
        <c:majorTickMark val="out"/>
        <c:minorTickMark val="none"/>
        <c:tickLblPos val="nextTo"/>
        <c:spPr>
          <a:ln>
            <a:solidFill>
              <a:srgbClr val="D2D6DC"/>
            </a:solidFill>
          </a:ln>
        </c:spPr>
        <c:crossAx val="710680047"/>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CEDAE7"/>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F3458"/>
                </a:solidFill>
              </a:defRPr>
            </a:pPr>
            <a:r>
              <a:rPr lang="en-US" sz="1200" b="1">
                <a:solidFill>
                  <a:srgbClr val="0F3458"/>
                </a:solidFill>
              </a:rPr>
              <a:t>Headcount vs Attrition by Job Level</a:t>
            </a:r>
          </a:p>
        </c:rich>
      </c:tx>
      <c:overlay val="0"/>
    </c:title>
    <c:autoTitleDeleted val="0"/>
    <c:plotArea>
      <c:layout/>
      <c:barChart>
        <c:barDir val="col"/>
        <c:grouping val="clustered"/>
        <c:varyColors val="0"/>
        <c:ser>
          <c:idx val="0"/>
          <c:order val="0"/>
          <c:tx>
            <c:strRef>
              <c:f>Pivot!$K$50</c:f>
              <c:strCache>
                <c:ptCount val="1"/>
                <c:pt idx="0">
                  <c:v>Job Level</c:v>
                </c:pt>
              </c:strCache>
            </c:strRef>
          </c:tx>
          <c:spPr>
            <a:solidFill>
              <a:srgbClr val="154C79"/>
            </a:solidFill>
          </c:spPr>
          <c:invertIfNegative val="0"/>
          <c:dLbls>
            <c:numFmt formatCode="#,##0"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Pivot!$K$51:$K$55</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F69B-49C0-8AB6-EE0833EA0BC4}"/>
            </c:ext>
          </c:extLst>
        </c:ser>
        <c:ser>
          <c:idx val="1"/>
          <c:order val="1"/>
          <c:tx>
            <c:strRef>
              <c:f>Pivot!$L$50</c:f>
              <c:strCache>
                <c:ptCount val="1"/>
                <c:pt idx="0">
                  <c:v>Headcount</c:v>
                </c:pt>
              </c:strCache>
            </c:strRef>
          </c:tx>
          <c:spPr>
            <a:solidFill>
              <a:srgbClr val="C0392B"/>
            </a:solidFill>
          </c:spPr>
          <c:invertIfNegative val="0"/>
          <c:dLbls>
            <c:numFmt formatCode="#,##0"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Pivot!$L$51:$L$55</c:f>
              <c:numCache>
                <c:formatCode>#,##0</c:formatCode>
                <c:ptCount val="5"/>
                <c:pt idx="0">
                  <c:v>543</c:v>
                </c:pt>
                <c:pt idx="1">
                  <c:v>534</c:v>
                </c:pt>
                <c:pt idx="2">
                  <c:v>218</c:v>
                </c:pt>
                <c:pt idx="3">
                  <c:v>106</c:v>
                </c:pt>
                <c:pt idx="4">
                  <c:v>69</c:v>
                </c:pt>
              </c:numCache>
            </c:numRef>
          </c:val>
          <c:extLst>
            <c:ext xmlns:c16="http://schemas.microsoft.com/office/drawing/2014/chart" uri="{C3380CC4-5D6E-409C-BE32-E72D297353CC}">
              <c16:uniqueId val="{00000001-F69B-49C0-8AB6-EE0833EA0BC4}"/>
            </c:ext>
          </c:extLst>
        </c:ser>
        <c:ser>
          <c:idx val="2"/>
          <c:order val="2"/>
          <c:tx>
            <c:strRef>
              <c:f>Pivot!$M$50</c:f>
              <c:strCache>
                <c:ptCount val="1"/>
                <c:pt idx="0">
                  <c:v>Attrition</c:v>
                </c:pt>
              </c:strCache>
            </c:strRef>
          </c:tx>
          <c:invertIfNegative val="0"/>
          <c:dLbls>
            <c:numFmt formatCode="#,##0"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Pivot!$M$51:$M$55</c:f>
              <c:numCache>
                <c:formatCode>#,##0</c:formatCode>
                <c:ptCount val="5"/>
                <c:pt idx="0">
                  <c:v>143</c:v>
                </c:pt>
                <c:pt idx="1">
                  <c:v>52</c:v>
                </c:pt>
                <c:pt idx="2">
                  <c:v>32</c:v>
                </c:pt>
                <c:pt idx="3">
                  <c:v>5</c:v>
                </c:pt>
                <c:pt idx="4">
                  <c:v>5</c:v>
                </c:pt>
              </c:numCache>
            </c:numRef>
          </c:val>
          <c:extLst>
            <c:ext xmlns:c16="http://schemas.microsoft.com/office/drawing/2014/chart" uri="{C3380CC4-5D6E-409C-BE32-E72D297353CC}">
              <c16:uniqueId val="{00000002-F69B-49C0-8AB6-EE0833EA0BC4}"/>
            </c:ext>
          </c:extLst>
        </c:ser>
        <c:dLbls>
          <c:showLegendKey val="0"/>
          <c:showVal val="0"/>
          <c:showCatName val="0"/>
          <c:showSerName val="0"/>
          <c:showPercent val="0"/>
          <c:showBubbleSize val="0"/>
        </c:dLbls>
        <c:gapWidth val="150"/>
        <c:axId val="743430111"/>
        <c:axId val="300189023"/>
      </c:barChart>
      <c:catAx>
        <c:axId val="743430111"/>
        <c:scaling>
          <c:orientation val="minMax"/>
        </c:scaling>
        <c:delete val="0"/>
        <c:axPos val="b"/>
        <c:majorTickMark val="out"/>
        <c:minorTickMark val="none"/>
        <c:tickLblPos val="nextTo"/>
        <c:spPr>
          <a:ln>
            <a:solidFill>
              <a:srgbClr val="D2D6DC"/>
            </a:solidFill>
          </a:ln>
        </c:spPr>
        <c:crossAx val="300189023"/>
        <c:crosses val="autoZero"/>
        <c:auto val="1"/>
        <c:lblAlgn val="ctr"/>
        <c:lblOffset val="100"/>
        <c:noMultiLvlLbl val="0"/>
      </c:catAx>
      <c:valAx>
        <c:axId val="300189023"/>
        <c:scaling>
          <c:orientation val="minMax"/>
        </c:scaling>
        <c:delete val="0"/>
        <c:axPos val="l"/>
        <c:majorGridlines>
          <c:spPr>
            <a:ln w="6350">
              <a:solidFill>
                <a:srgbClr val="E6EBF0"/>
              </a:solidFill>
            </a:ln>
          </c:spPr>
        </c:majorGridlines>
        <c:numFmt formatCode="#,##0" sourceLinked="0"/>
        <c:majorTickMark val="out"/>
        <c:minorTickMark val="none"/>
        <c:tickLblPos val="nextTo"/>
        <c:spPr>
          <a:ln>
            <a:solidFill>
              <a:srgbClr val="D2D6DC"/>
            </a:solidFill>
          </a:ln>
        </c:spPr>
        <c:crossAx val="743430111"/>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CEDAE7"/>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F3458"/>
                </a:solidFill>
              </a:defRPr>
            </a:pPr>
            <a:r>
              <a:rPr lang="en-US" sz="1200" b="1">
                <a:solidFill>
                  <a:srgbClr val="0F3458"/>
                </a:solidFill>
              </a:rPr>
              <a:t>Attrition by Job Role</a:t>
            </a:r>
          </a:p>
        </c:rich>
      </c:tx>
      <c:overlay val="0"/>
    </c:title>
    <c:autoTitleDeleted val="0"/>
    <c:plotArea>
      <c:layout/>
      <c:barChart>
        <c:barDir val="bar"/>
        <c:grouping val="clustered"/>
        <c:varyColors val="0"/>
        <c:ser>
          <c:idx val="0"/>
          <c:order val="0"/>
          <c:tx>
            <c:strRef>
              <c:f>Pivot!$P$50</c:f>
              <c:strCache>
                <c:ptCount val="1"/>
                <c:pt idx="0">
                  <c:v>Attrition</c:v>
                </c:pt>
              </c:strCache>
            </c:strRef>
          </c:tx>
          <c:spPr>
            <a:gradFill flip="none" rotWithShape="1">
              <a:gsLst>
                <a:gs pos="0">
                  <a:srgbClr val="154C79"/>
                </a:gs>
                <a:gs pos="100000">
                  <a:srgbClr val="4895C5"/>
                </a:gs>
              </a:gsLst>
              <a:lin ang="5400000" scaled="1"/>
              <a:tileRect/>
            </a:gradFill>
          </c:spPr>
          <c:invertIfNegative val="0"/>
          <c:dLbls>
            <c:numFmt formatCode="#,##0" sourceLinked="0"/>
            <c:spPr>
              <a:noFill/>
              <a:ln>
                <a:noFill/>
              </a:ln>
              <a:effectLst/>
            </c:spPr>
            <c:txPr>
              <a:bodyPr wrap="square" lIns="38100" tIns="19050" rIns="38100" bIns="19050" anchor="ctr">
                <a:spAutoFit/>
              </a:bodyPr>
              <a:lstStyle/>
              <a:p>
                <a:pPr>
                  <a:defRPr sz="800" b="1">
                    <a:solidFill>
                      <a:srgbClr val="373737"/>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Pivot!$O$51:$O$59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Pivot!$P$51:$P$59</c:f>
              <c:numCache>
                <c:formatCode>#,##0</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629D-48DC-984C-4A91EEFEAE2D}"/>
            </c:ext>
          </c:extLst>
        </c:ser>
        <c:dLbls>
          <c:showLegendKey val="0"/>
          <c:showVal val="0"/>
          <c:showCatName val="0"/>
          <c:showSerName val="0"/>
          <c:showPercent val="0"/>
          <c:showBubbleSize val="0"/>
        </c:dLbls>
        <c:gapWidth val="70"/>
        <c:axId val="745053439"/>
        <c:axId val="300189983"/>
      </c:barChart>
      <c:catAx>
        <c:axId val="745053439"/>
        <c:scaling>
          <c:orientation val="minMax"/>
        </c:scaling>
        <c:delete val="0"/>
        <c:axPos val="l"/>
        <c:numFmt formatCode="General" sourceLinked="1"/>
        <c:majorTickMark val="out"/>
        <c:minorTickMark val="none"/>
        <c:tickLblPos val="nextTo"/>
        <c:spPr>
          <a:ln>
            <a:solidFill>
              <a:srgbClr val="D2D6DC"/>
            </a:solidFill>
          </a:ln>
        </c:spPr>
        <c:crossAx val="300189983"/>
        <c:crosses val="autoZero"/>
        <c:auto val="1"/>
        <c:lblAlgn val="ctr"/>
        <c:lblOffset val="100"/>
        <c:noMultiLvlLbl val="0"/>
      </c:catAx>
      <c:valAx>
        <c:axId val="300189983"/>
        <c:scaling>
          <c:orientation val="minMax"/>
        </c:scaling>
        <c:delete val="0"/>
        <c:axPos val="b"/>
        <c:majorGridlines>
          <c:spPr>
            <a:ln w="6350">
              <a:solidFill>
                <a:srgbClr val="E6EBF0"/>
              </a:solidFill>
            </a:ln>
          </c:spPr>
        </c:majorGridlines>
        <c:numFmt formatCode="#,##0" sourceLinked="0"/>
        <c:majorTickMark val="out"/>
        <c:minorTickMark val="none"/>
        <c:tickLblPos val="nextTo"/>
        <c:spPr>
          <a:ln>
            <a:solidFill>
              <a:srgbClr val="D2D6DC"/>
            </a:solidFill>
          </a:ln>
        </c:spPr>
        <c:crossAx val="745053439"/>
        <c:crosses val="autoZero"/>
        <c:crossBetween val="between"/>
      </c:valAx>
      <c:spPr>
        <a:solidFill>
          <a:srgbClr val="FFFFFF"/>
        </a:solidFill>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CEDAE7"/>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3</xdr:row>
      <xdr:rowOff>0</xdr:rowOff>
    </xdr:to>
    <xdr:sp macro="" textlink="">
      <xdr:nvSpPr>
        <xdr:cNvPr id="2" name="Header_Banner">
          <a:extLst>
            <a:ext uri="{FF2B5EF4-FFF2-40B4-BE49-F238E27FC236}">
              <a16:creationId xmlns:a16="http://schemas.microsoft.com/office/drawing/2014/main" id="{7FB09F6D-76E5-C2B0-F2D4-FD8DD3733BDC}"/>
            </a:ext>
          </a:extLst>
        </xdr:cNvPr>
        <xdr:cNvSpPr/>
      </xdr:nvSpPr>
      <xdr:spPr>
        <a:xfrm>
          <a:off x="0" y="0"/>
          <a:ext cx="16002000" cy="828675"/>
        </a:xfrm>
        <a:prstGeom prst="roundRect">
          <a:avLst/>
        </a:prstGeom>
        <a:gradFill flip="none" rotWithShape="1">
          <a:gsLst>
            <a:gs pos="0">
              <a:srgbClr val="112D4E"/>
            </a:gs>
            <a:gs pos="100000">
              <a:srgbClr val="1C578C"/>
            </a:gs>
          </a:gsLst>
          <a:lin ang="54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0</xdr:row>
      <xdr:rowOff>147638</xdr:rowOff>
    </xdr:from>
    <xdr:to>
      <xdr:col>1</xdr:col>
      <xdr:colOff>152400</xdr:colOff>
      <xdr:row>2</xdr:row>
      <xdr:rowOff>128588</xdr:rowOff>
    </xdr:to>
    <xdr:sp macro="" textlink="">
      <xdr:nvSpPr>
        <xdr:cNvPr id="3" name="Oval 2">
          <a:extLst>
            <a:ext uri="{FF2B5EF4-FFF2-40B4-BE49-F238E27FC236}">
              <a16:creationId xmlns:a16="http://schemas.microsoft.com/office/drawing/2014/main" id="{18D39D31-7B83-8419-5099-5696EEEC18FA}"/>
            </a:ext>
          </a:extLst>
        </xdr:cNvPr>
        <xdr:cNvSpPr/>
      </xdr:nvSpPr>
      <xdr:spPr>
        <a:xfrm>
          <a:off x="152400" y="147638"/>
          <a:ext cx="533400" cy="533400"/>
        </a:xfrm>
        <a:prstGeom prst="ellipse">
          <a:avLst/>
        </a:prstGeom>
        <a:solidFill>
          <a:srgbClr val="154C79"/>
        </a:solidFill>
        <a:ln>
          <a:solidFill>
            <a:srgbClr val="E2EEF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FFFF"/>
              </a:solidFill>
            </a:rPr>
            <a:t>HR</a:t>
          </a:r>
        </a:p>
      </xdr:txBody>
    </xdr:sp>
    <xdr:clientData/>
  </xdr:twoCellAnchor>
  <xdr:twoCellAnchor>
    <xdr:from>
      <xdr:col>1</xdr:col>
      <xdr:colOff>254000</xdr:colOff>
      <xdr:row>0</xdr:row>
      <xdr:rowOff>0</xdr:rowOff>
    </xdr:from>
    <xdr:to>
      <xdr:col>25</xdr:col>
      <xdr:colOff>25400</xdr:colOff>
      <xdr:row>3</xdr:row>
      <xdr:rowOff>0</xdr:rowOff>
    </xdr:to>
    <xdr:sp macro="" textlink="">
      <xdr:nvSpPr>
        <xdr:cNvPr id="4" name="TextBox 3">
          <a:extLst>
            <a:ext uri="{FF2B5EF4-FFF2-40B4-BE49-F238E27FC236}">
              <a16:creationId xmlns:a16="http://schemas.microsoft.com/office/drawing/2014/main" id="{2582E4D0-FD0C-AC54-073F-A17EA21F1CF9}"/>
            </a:ext>
          </a:extLst>
        </xdr:cNvPr>
        <xdr:cNvSpPr txBox="1"/>
      </xdr:nvSpPr>
      <xdr:spPr>
        <a:xfrm>
          <a:off x="787400" y="0"/>
          <a:ext cx="12573000" cy="82867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oAutofit/>
        </a:bodyPr>
        <a:lstStyle/>
        <a:p>
          <a:pPr algn="ctr"/>
          <a:r>
            <a:rPr lang="en-US" sz="3600" b="1">
              <a:solidFill>
                <a:srgbClr val="FFFFFF"/>
              </a:solidFill>
            </a:rPr>
            <a:t>HR ATTRITION DASHBOARD | WORKFORCE ANALYTICS</a:t>
          </a:r>
        </a:p>
      </xdr:txBody>
    </xdr:sp>
    <xdr:clientData/>
  </xdr:twoCellAnchor>
  <xdr:twoCellAnchor>
    <xdr:from>
      <xdr:col>25</xdr:col>
      <xdr:colOff>127000</xdr:colOff>
      <xdr:row>0</xdr:row>
      <xdr:rowOff>50800</xdr:rowOff>
    </xdr:from>
    <xdr:to>
      <xdr:col>29</xdr:col>
      <xdr:colOff>406400</xdr:colOff>
      <xdr:row>2</xdr:row>
      <xdr:rowOff>225425</xdr:rowOff>
    </xdr:to>
    <xdr:sp macro="" textlink="">
      <xdr:nvSpPr>
        <xdr:cNvPr id="5" name="TextBox 4">
          <a:extLst>
            <a:ext uri="{FF2B5EF4-FFF2-40B4-BE49-F238E27FC236}">
              <a16:creationId xmlns:a16="http://schemas.microsoft.com/office/drawing/2014/main" id="{65D411BA-DB15-68A6-EA7E-E7A2EC29811E}"/>
            </a:ext>
          </a:extLst>
        </xdr:cNvPr>
        <xdr:cNvSpPr txBox="1"/>
      </xdr:nvSpPr>
      <xdr:spPr>
        <a:xfrm>
          <a:off x="13462000" y="50800"/>
          <a:ext cx="2413000" cy="72707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oAutofit/>
        </a:bodyPr>
        <a:lstStyle/>
        <a:p>
          <a:pPr algn="ctr"/>
          <a:r>
            <a:rPr lang="en-US" sz="1800" b="1">
              <a:solidFill>
                <a:srgbClr val="FFFFFF"/>
              </a:solidFill>
            </a:rPr>
            <a:t>Data as of:</a:t>
          </a:r>
        </a:p>
        <a:p>
          <a:pPr algn="ctr"/>
          <a:r>
            <a:rPr lang="en-US" sz="1800" b="1">
              <a:solidFill>
                <a:srgbClr val="FFFFFF"/>
              </a:solidFill>
            </a:rPr>
            <a:t>Aug 09, 2026</a:t>
          </a:r>
        </a:p>
      </xdr:txBody>
    </xdr:sp>
    <xdr:clientData/>
  </xdr:twoCellAnchor>
  <xdr:twoCellAnchor>
    <xdr:from>
      <xdr:col>0</xdr:col>
      <xdr:colOff>0</xdr:colOff>
      <xdr:row>4</xdr:row>
      <xdr:rowOff>0</xdr:rowOff>
    </xdr:from>
    <xdr:to>
      <xdr:col>5</xdr:col>
      <xdr:colOff>0</xdr:colOff>
      <xdr:row>8</xdr:row>
      <xdr:rowOff>0</xdr:rowOff>
    </xdr:to>
    <xdr:sp macro="" textlink="">
      <xdr:nvSpPr>
        <xdr:cNvPr id="6" name="Rectangle: Rounded Corners 5">
          <a:extLst>
            <a:ext uri="{FF2B5EF4-FFF2-40B4-BE49-F238E27FC236}">
              <a16:creationId xmlns:a16="http://schemas.microsoft.com/office/drawing/2014/main" id="{921ED27B-7279-A221-B109-2C35A4FC6F1E}"/>
            </a:ext>
          </a:extLst>
        </xdr:cNvPr>
        <xdr:cNvSpPr/>
      </xdr:nvSpPr>
      <xdr:spPr>
        <a:xfrm>
          <a:off x="0" y="1057275"/>
          <a:ext cx="2667000" cy="914400"/>
        </a:xfrm>
        <a:prstGeom prst="roundRect">
          <a:avLst/>
        </a:prstGeom>
        <a:solidFill>
          <a:srgbClr val="FFFFFF"/>
        </a:solidFill>
        <a:ln w="9525">
          <a:solidFill>
            <a:srgbClr val="CEDAE7"/>
          </a:solidFill>
        </a:ln>
        <a:effectLst>
          <a:outerShdw blurRad="63500" dist="17961" dir="2699987" rotWithShape="0">
            <a:srgbClr val="C8D0D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127000</xdr:colOff>
      <xdr:row>4</xdr:row>
      <xdr:rowOff>203200</xdr:rowOff>
    </xdr:from>
    <xdr:to>
      <xdr:col>1</xdr:col>
      <xdr:colOff>76200</xdr:colOff>
      <xdr:row>7</xdr:row>
      <xdr:rowOff>0</xdr:rowOff>
    </xdr:to>
    <xdr:sp macro="" textlink="">
      <xdr:nvSpPr>
        <xdr:cNvPr id="7" name="Oval 6">
          <a:extLst>
            <a:ext uri="{FF2B5EF4-FFF2-40B4-BE49-F238E27FC236}">
              <a16:creationId xmlns:a16="http://schemas.microsoft.com/office/drawing/2014/main" id="{BDED2B8B-9488-8A04-2771-DA198CB04B28}"/>
            </a:ext>
          </a:extLst>
        </xdr:cNvPr>
        <xdr:cNvSpPr/>
      </xdr:nvSpPr>
      <xdr:spPr>
        <a:xfrm>
          <a:off x="127000" y="1260475"/>
          <a:ext cx="482600" cy="482600"/>
        </a:xfrm>
        <a:prstGeom prst="ellipse">
          <a:avLst/>
        </a:prstGeom>
        <a:gradFill flip="none" rotWithShape="1">
          <a:gsLst>
            <a:gs pos="0">
              <a:srgbClr val="154C79"/>
            </a:gs>
            <a:gs pos="100000">
              <a:srgbClr val="112D4E"/>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rgbClr val="FFFFFF"/>
              </a:solidFill>
            </a:rPr>
            <a:t>#</a:t>
          </a:r>
        </a:p>
      </xdr:txBody>
    </xdr:sp>
    <xdr:clientData/>
  </xdr:twoCellAnchor>
  <xdr:twoCellAnchor>
    <xdr:from>
      <xdr:col>1</xdr:col>
      <xdr:colOff>152400</xdr:colOff>
      <xdr:row>4</xdr:row>
      <xdr:rowOff>101600</xdr:rowOff>
    </xdr:from>
    <xdr:to>
      <xdr:col>4</xdr:col>
      <xdr:colOff>482600</xdr:colOff>
      <xdr:row>5</xdr:row>
      <xdr:rowOff>152400</xdr:rowOff>
    </xdr:to>
    <xdr:sp macro="" textlink="">
      <xdr:nvSpPr>
        <xdr:cNvPr id="8" name="TextBox 7">
          <a:extLst>
            <a:ext uri="{FF2B5EF4-FFF2-40B4-BE49-F238E27FC236}">
              <a16:creationId xmlns:a16="http://schemas.microsoft.com/office/drawing/2014/main" id="{A8123759-4E32-AFF1-4711-AA5DEAD7440E}"/>
            </a:ext>
          </a:extLst>
        </xdr:cNvPr>
        <xdr:cNvSpPr txBox="1"/>
      </xdr:nvSpPr>
      <xdr:spPr>
        <a:xfrm>
          <a:off x="685800" y="1158875"/>
          <a:ext cx="19304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600" b="1">
              <a:solidFill>
                <a:srgbClr val="2D3746"/>
              </a:solidFill>
            </a:rPr>
            <a:t>Total Employees</a:t>
          </a:r>
        </a:p>
      </xdr:txBody>
    </xdr:sp>
    <xdr:clientData/>
  </xdr:twoCellAnchor>
  <xdr:twoCellAnchor>
    <xdr:from>
      <xdr:col>1</xdr:col>
      <xdr:colOff>152400</xdr:colOff>
      <xdr:row>5</xdr:row>
      <xdr:rowOff>139700</xdr:rowOff>
    </xdr:from>
    <xdr:to>
      <xdr:col>4</xdr:col>
      <xdr:colOff>482600</xdr:colOff>
      <xdr:row>7</xdr:row>
      <xdr:rowOff>114300</xdr:rowOff>
    </xdr:to>
    <xdr:sp macro="" textlink="Dashboard!$AF$2">
      <xdr:nvSpPr>
        <xdr:cNvPr id="9" name="TextBox 8">
          <a:extLst>
            <a:ext uri="{FF2B5EF4-FFF2-40B4-BE49-F238E27FC236}">
              <a16:creationId xmlns:a16="http://schemas.microsoft.com/office/drawing/2014/main" id="{C9F1BF0F-E9C2-F942-13E4-E8D720FFA657}"/>
            </a:ext>
          </a:extLst>
        </xdr:cNvPr>
        <xdr:cNvSpPr txBox="1"/>
      </xdr:nvSpPr>
      <xdr:spPr>
        <a:xfrm>
          <a:off x="685800" y="1425575"/>
          <a:ext cx="19304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E16F6C00-4191-4418-861F-5D6677F9DEBD}" type="TxLink">
            <a:rPr lang="en-US" sz="2600" b="1" i="0" u="none" strike="noStrike">
              <a:solidFill>
                <a:srgbClr val="0F3458"/>
              </a:solidFill>
              <a:latin typeface="Aptos"/>
            </a:rPr>
            <a:t>1,470</a:t>
          </a:fld>
          <a:endParaRPr lang="en-US" sz="2600" b="1">
            <a:solidFill>
              <a:srgbClr val="0F3458"/>
            </a:solidFill>
          </a:endParaRPr>
        </a:p>
      </xdr:txBody>
    </xdr:sp>
    <xdr:clientData/>
  </xdr:twoCellAnchor>
  <xdr:twoCellAnchor>
    <xdr:from>
      <xdr:col>1</xdr:col>
      <xdr:colOff>152400</xdr:colOff>
      <xdr:row>7</xdr:row>
      <xdr:rowOff>50800</xdr:rowOff>
    </xdr:from>
    <xdr:to>
      <xdr:col>4</xdr:col>
      <xdr:colOff>482600</xdr:colOff>
      <xdr:row>7</xdr:row>
      <xdr:rowOff>215900</xdr:rowOff>
    </xdr:to>
    <xdr:sp macro="" textlink="">
      <xdr:nvSpPr>
        <xdr:cNvPr id="10" name="TextBox 9">
          <a:extLst>
            <a:ext uri="{FF2B5EF4-FFF2-40B4-BE49-F238E27FC236}">
              <a16:creationId xmlns:a16="http://schemas.microsoft.com/office/drawing/2014/main" id="{17178152-1735-2171-2115-8022F8C00C1D}"/>
            </a:ext>
          </a:extLst>
        </xdr:cNvPr>
        <xdr:cNvSpPr txBox="1"/>
      </xdr:nvSpPr>
      <xdr:spPr>
        <a:xfrm>
          <a:off x="685800" y="1793875"/>
          <a:ext cx="19304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A6473"/>
              </a:solidFill>
            </a:rPr>
            <a:t>Active Headcount</a:t>
          </a:r>
        </a:p>
      </xdr:txBody>
    </xdr:sp>
    <xdr:clientData/>
  </xdr:twoCellAnchor>
  <xdr:twoCellAnchor>
    <xdr:from>
      <xdr:col>5</xdr:col>
      <xdr:colOff>0</xdr:colOff>
      <xdr:row>4</xdr:row>
      <xdr:rowOff>0</xdr:rowOff>
    </xdr:from>
    <xdr:to>
      <xdr:col>10</xdr:col>
      <xdr:colOff>0</xdr:colOff>
      <xdr:row>8</xdr:row>
      <xdr:rowOff>0</xdr:rowOff>
    </xdr:to>
    <xdr:sp macro="" textlink="">
      <xdr:nvSpPr>
        <xdr:cNvPr id="11" name="Rectangle: Rounded Corners 10">
          <a:extLst>
            <a:ext uri="{FF2B5EF4-FFF2-40B4-BE49-F238E27FC236}">
              <a16:creationId xmlns:a16="http://schemas.microsoft.com/office/drawing/2014/main" id="{B8D90EB0-C095-CCCA-9421-6C74086878F0}"/>
            </a:ext>
          </a:extLst>
        </xdr:cNvPr>
        <xdr:cNvSpPr/>
      </xdr:nvSpPr>
      <xdr:spPr>
        <a:xfrm>
          <a:off x="2667000" y="1057275"/>
          <a:ext cx="2667000" cy="914400"/>
        </a:xfrm>
        <a:prstGeom prst="roundRect">
          <a:avLst/>
        </a:prstGeom>
        <a:solidFill>
          <a:srgbClr val="FFFFFF"/>
        </a:solidFill>
        <a:ln w="9525">
          <a:solidFill>
            <a:srgbClr val="CEDAE7"/>
          </a:solidFill>
        </a:ln>
        <a:effectLst>
          <a:outerShdw blurRad="63500" dist="17961" dir="2699987" rotWithShape="0">
            <a:srgbClr val="C8D0D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127000</xdr:colOff>
      <xdr:row>4</xdr:row>
      <xdr:rowOff>203200</xdr:rowOff>
    </xdr:from>
    <xdr:to>
      <xdr:col>6</xdr:col>
      <xdr:colOff>76200</xdr:colOff>
      <xdr:row>7</xdr:row>
      <xdr:rowOff>0</xdr:rowOff>
    </xdr:to>
    <xdr:sp macro="" textlink="">
      <xdr:nvSpPr>
        <xdr:cNvPr id="12" name="Oval 11">
          <a:extLst>
            <a:ext uri="{FF2B5EF4-FFF2-40B4-BE49-F238E27FC236}">
              <a16:creationId xmlns:a16="http://schemas.microsoft.com/office/drawing/2014/main" id="{DA48A9E4-06A5-8128-4811-8A2D35FED3F6}"/>
            </a:ext>
          </a:extLst>
        </xdr:cNvPr>
        <xdr:cNvSpPr/>
      </xdr:nvSpPr>
      <xdr:spPr>
        <a:xfrm>
          <a:off x="2794000" y="1260475"/>
          <a:ext cx="482600" cy="482600"/>
        </a:xfrm>
        <a:prstGeom prst="ellipse">
          <a:avLst/>
        </a:prstGeom>
        <a:gradFill flip="none" rotWithShape="1">
          <a:gsLst>
            <a:gs pos="0">
              <a:srgbClr val="C0392B"/>
            </a:gs>
            <a:gs pos="100000">
              <a:srgbClr val="112D4E"/>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rgbClr val="FFFFFF"/>
              </a:solidFill>
            </a:rPr>
            <a:t>!</a:t>
          </a:r>
        </a:p>
      </xdr:txBody>
    </xdr:sp>
    <xdr:clientData/>
  </xdr:twoCellAnchor>
  <xdr:twoCellAnchor>
    <xdr:from>
      <xdr:col>6</xdr:col>
      <xdr:colOff>152400</xdr:colOff>
      <xdr:row>4</xdr:row>
      <xdr:rowOff>101600</xdr:rowOff>
    </xdr:from>
    <xdr:to>
      <xdr:col>9</xdr:col>
      <xdr:colOff>482600</xdr:colOff>
      <xdr:row>5</xdr:row>
      <xdr:rowOff>152400</xdr:rowOff>
    </xdr:to>
    <xdr:sp macro="" textlink="">
      <xdr:nvSpPr>
        <xdr:cNvPr id="13" name="TextBox 12">
          <a:extLst>
            <a:ext uri="{FF2B5EF4-FFF2-40B4-BE49-F238E27FC236}">
              <a16:creationId xmlns:a16="http://schemas.microsoft.com/office/drawing/2014/main" id="{6A673F03-4C7E-1748-41B1-A2EAD3F4A7FC}"/>
            </a:ext>
          </a:extLst>
        </xdr:cNvPr>
        <xdr:cNvSpPr txBox="1"/>
      </xdr:nvSpPr>
      <xdr:spPr>
        <a:xfrm>
          <a:off x="3352800" y="1158875"/>
          <a:ext cx="19304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600" b="1">
              <a:solidFill>
                <a:srgbClr val="2D3746"/>
              </a:solidFill>
            </a:rPr>
            <a:t>Attrition Count</a:t>
          </a:r>
        </a:p>
      </xdr:txBody>
    </xdr:sp>
    <xdr:clientData/>
  </xdr:twoCellAnchor>
  <xdr:twoCellAnchor>
    <xdr:from>
      <xdr:col>6</xdr:col>
      <xdr:colOff>152400</xdr:colOff>
      <xdr:row>5</xdr:row>
      <xdr:rowOff>139700</xdr:rowOff>
    </xdr:from>
    <xdr:to>
      <xdr:col>9</xdr:col>
      <xdr:colOff>482600</xdr:colOff>
      <xdr:row>7</xdr:row>
      <xdr:rowOff>114300</xdr:rowOff>
    </xdr:to>
    <xdr:sp macro="" textlink="Dashboard!$AF$3">
      <xdr:nvSpPr>
        <xdr:cNvPr id="14" name="TextBox 13">
          <a:extLst>
            <a:ext uri="{FF2B5EF4-FFF2-40B4-BE49-F238E27FC236}">
              <a16:creationId xmlns:a16="http://schemas.microsoft.com/office/drawing/2014/main" id="{F3F01AC1-7F7D-FF7B-1951-652D53BB9F95}"/>
            </a:ext>
          </a:extLst>
        </xdr:cNvPr>
        <xdr:cNvSpPr txBox="1"/>
      </xdr:nvSpPr>
      <xdr:spPr>
        <a:xfrm>
          <a:off x="3352800" y="1425575"/>
          <a:ext cx="19304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9415B50C-C0D7-4D43-BCD0-FBDCD3C0AB57}" type="TxLink">
            <a:rPr lang="en-US" sz="2600" b="1" i="0" u="none" strike="noStrike">
              <a:solidFill>
                <a:srgbClr val="0F3458"/>
              </a:solidFill>
              <a:latin typeface="Aptos"/>
            </a:rPr>
            <a:t>237</a:t>
          </a:fld>
          <a:endParaRPr lang="en-US" sz="2600" b="1">
            <a:solidFill>
              <a:srgbClr val="0F3458"/>
            </a:solidFill>
          </a:endParaRPr>
        </a:p>
      </xdr:txBody>
    </xdr:sp>
    <xdr:clientData/>
  </xdr:twoCellAnchor>
  <xdr:twoCellAnchor>
    <xdr:from>
      <xdr:col>6</xdr:col>
      <xdr:colOff>152400</xdr:colOff>
      <xdr:row>7</xdr:row>
      <xdr:rowOff>50800</xdr:rowOff>
    </xdr:from>
    <xdr:to>
      <xdr:col>9</xdr:col>
      <xdr:colOff>482600</xdr:colOff>
      <xdr:row>7</xdr:row>
      <xdr:rowOff>215900</xdr:rowOff>
    </xdr:to>
    <xdr:sp macro="" textlink="">
      <xdr:nvSpPr>
        <xdr:cNvPr id="15" name="TextBox 14">
          <a:extLst>
            <a:ext uri="{FF2B5EF4-FFF2-40B4-BE49-F238E27FC236}">
              <a16:creationId xmlns:a16="http://schemas.microsoft.com/office/drawing/2014/main" id="{0E931091-4F68-5ABD-6F0B-E149CEE6BD7F}"/>
            </a:ext>
          </a:extLst>
        </xdr:cNvPr>
        <xdr:cNvSpPr txBox="1"/>
      </xdr:nvSpPr>
      <xdr:spPr>
        <a:xfrm>
          <a:off x="3352800" y="1793875"/>
          <a:ext cx="19304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A6473"/>
              </a:solidFill>
            </a:rPr>
            <a:t>Employees Exited</a:t>
          </a:r>
        </a:p>
      </xdr:txBody>
    </xdr:sp>
    <xdr:clientData/>
  </xdr:twoCellAnchor>
  <xdr:twoCellAnchor>
    <xdr:from>
      <xdr:col>10</xdr:col>
      <xdr:colOff>0</xdr:colOff>
      <xdr:row>4</xdr:row>
      <xdr:rowOff>0</xdr:rowOff>
    </xdr:from>
    <xdr:to>
      <xdr:col>15</xdr:col>
      <xdr:colOff>0</xdr:colOff>
      <xdr:row>8</xdr:row>
      <xdr:rowOff>0</xdr:rowOff>
    </xdr:to>
    <xdr:sp macro="" textlink="">
      <xdr:nvSpPr>
        <xdr:cNvPr id="16" name="Rectangle: Rounded Corners 15">
          <a:extLst>
            <a:ext uri="{FF2B5EF4-FFF2-40B4-BE49-F238E27FC236}">
              <a16:creationId xmlns:a16="http://schemas.microsoft.com/office/drawing/2014/main" id="{6110AB76-3E83-0F8B-EBAA-C66FA24670DA}"/>
            </a:ext>
          </a:extLst>
        </xdr:cNvPr>
        <xdr:cNvSpPr/>
      </xdr:nvSpPr>
      <xdr:spPr>
        <a:xfrm>
          <a:off x="5334000" y="1057275"/>
          <a:ext cx="2667000" cy="914400"/>
        </a:xfrm>
        <a:prstGeom prst="roundRect">
          <a:avLst/>
        </a:prstGeom>
        <a:solidFill>
          <a:srgbClr val="FFFFFF"/>
        </a:solidFill>
        <a:ln w="9525">
          <a:solidFill>
            <a:srgbClr val="CEDAE7"/>
          </a:solidFill>
        </a:ln>
        <a:effectLst>
          <a:outerShdw blurRad="63500" dist="17961" dir="2699987" rotWithShape="0">
            <a:srgbClr val="C8D0D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127000</xdr:colOff>
      <xdr:row>4</xdr:row>
      <xdr:rowOff>203200</xdr:rowOff>
    </xdr:from>
    <xdr:to>
      <xdr:col>11</xdr:col>
      <xdr:colOff>76200</xdr:colOff>
      <xdr:row>7</xdr:row>
      <xdr:rowOff>0</xdr:rowOff>
    </xdr:to>
    <xdr:sp macro="" textlink="">
      <xdr:nvSpPr>
        <xdr:cNvPr id="17" name="Oval 16">
          <a:extLst>
            <a:ext uri="{FF2B5EF4-FFF2-40B4-BE49-F238E27FC236}">
              <a16:creationId xmlns:a16="http://schemas.microsoft.com/office/drawing/2014/main" id="{13F88629-457B-D04C-D650-4124FBE836EB}"/>
            </a:ext>
          </a:extLst>
        </xdr:cNvPr>
        <xdr:cNvSpPr/>
      </xdr:nvSpPr>
      <xdr:spPr>
        <a:xfrm>
          <a:off x="5461000" y="1260475"/>
          <a:ext cx="482600" cy="482600"/>
        </a:xfrm>
        <a:prstGeom prst="ellipse">
          <a:avLst/>
        </a:prstGeom>
        <a:gradFill flip="none" rotWithShape="1">
          <a:gsLst>
            <a:gs pos="0">
              <a:srgbClr val="D35400"/>
            </a:gs>
            <a:gs pos="100000">
              <a:srgbClr val="112D4E"/>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rgbClr val="FFFFFF"/>
              </a:solidFill>
            </a:rPr>
            <a:t>%</a:t>
          </a:r>
        </a:p>
      </xdr:txBody>
    </xdr:sp>
    <xdr:clientData/>
  </xdr:twoCellAnchor>
  <xdr:twoCellAnchor>
    <xdr:from>
      <xdr:col>11</xdr:col>
      <xdr:colOff>152400</xdr:colOff>
      <xdr:row>4</xdr:row>
      <xdr:rowOff>101600</xdr:rowOff>
    </xdr:from>
    <xdr:to>
      <xdr:col>14</xdr:col>
      <xdr:colOff>482600</xdr:colOff>
      <xdr:row>5</xdr:row>
      <xdr:rowOff>152400</xdr:rowOff>
    </xdr:to>
    <xdr:sp macro="" textlink="">
      <xdr:nvSpPr>
        <xdr:cNvPr id="18" name="TextBox 17">
          <a:extLst>
            <a:ext uri="{FF2B5EF4-FFF2-40B4-BE49-F238E27FC236}">
              <a16:creationId xmlns:a16="http://schemas.microsoft.com/office/drawing/2014/main" id="{958D99DD-0E4D-1C0E-FA84-05CA3F90F66A}"/>
            </a:ext>
          </a:extLst>
        </xdr:cNvPr>
        <xdr:cNvSpPr txBox="1"/>
      </xdr:nvSpPr>
      <xdr:spPr>
        <a:xfrm>
          <a:off x="6019800" y="1158875"/>
          <a:ext cx="19304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600" b="1">
              <a:solidFill>
                <a:srgbClr val="2D3746"/>
              </a:solidFill>
            </a:rPr>
            <a:t>Attrition Rate</a:t>
          </a:r>
        </a:p>
      </xdr:txBody>
    </xdr:sp>
    <xdr:clientData/>
  </xdr:twoCellAnchor>
  <xdr:twoCellAnchor>
    <xdr:from>
      <xdr:col>11</xdr:col>
      <xdr:colOff>152400</xdr:colOff>
      <xdr:row>5</xdr:row>
      <xdr:rowOff>139700</xdr:rowOff>
    </xdr:from>
    <xdr:to>
      <xdr:col>14</xdr:col>
      <xdr:colOff>482600</xdr:colOff>
      <xdr:row>7</xdr:row>
      <xdr:rowOff>114300</xdr:rowOff>
    </xdr:to>
    <xdr:sp macro="" textlink="Dashboard!$AF$4">
      <xdr:nvSpPr>
        <xdr:cNvPr id="19" name="TextBox 18">
          <a:extLst>
            <a:ext uri="{FF2B5EF4-FFF2-40B4-BE49-F238E27FC236}">
              <a16:creationId xmlns:a16="http://schemas.microsoft.com/office/drawing/2014/main" id="{9FDC6A43-C21D-8588-E13D-83346A8EF720}"/>
            </a:ext>
          </a:extLst>
        </xdr:cNvPr>
        <xdr:cNvSpPr txBox="1"/>
      </xdr:nvSpPr>
      <xdr:spPr>
        <a:xfrm>
          <a:off x="6019800" y="1425575"/>
          <a:ext cx="19304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14FCB55-D316-4DBA-9F76-E0273CC768DA}" type="TxLink">
            <a:rPr lang="en-US" sz="2600" b="1" i="0" u="none" strike="noStrike">
              <a:solidFill>
                <a:srgbClr val="0F3458"/>
              </a:solidFill>
              <a:latin typeface="Aptos"/>
            </a:rPr>
            <a:t>16.1%</a:t>
          </a:fld>
          <a:endParaRPr lang="en-US" sz="2600" b="1">
            <a:solidFill>
              <a:srgbClr val="0F3458"/>
            </a:solidFill>
          </a:endParaRPr>
        </a:p>
      </xdr:txBody>
    </xdr:sp>
    <xdr:clientData/>
  </xdr:twoCellAnchor>
  <xdr:twoCellAnchor>
    <xdr:from>
      <xdr:col>11</xdr:col>
      <xdr:colOff>152400</xdr:colOff>
      <xdr:row>7</xdr:row>
      <xdr:rowOff>50800</xdr:rowOff>
    </xdr:from>
    <xdr:to>
      <xdr:col>14</xdr:col>
      <xdr:colOff>482600</xdr:colOff>
      <xdr:row>7</xdr:row>
      <xdr:rowOff>215900</xdr:rowOff>
    </xdr:to>
    <xdr:sp macro="" textlink="">
      <xdr:nvSpPr>
        <xdr:cNvPr id="20" name="TextBox 19">
          <a:extLst>
            <a:ext uri="{FF2B5EF4-FFF2-40B4-BE49-F238E27FC236}">
              <a16:creationId xmlns:a16="http://schemas.microsoft.com/office/drawing/2014/main" id="{BAEFBE2B-6328-DD66-9AA7-9DE82F8A0E9C}"/>
            </a:ext>
          </a:extLst>
        </xdr:cNvPr>
        <xdr:cNvSpPr txBox="1"/>
      </xdr:nvSpPr>
      <xdr:spPr>
        <a:xfrm>
          <a:off x="6019800" y="1793875"/>
          <a:ext cx="19304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A6473"/>
              </a:solidFill>
            </a:rPr>
            <a:t>Of Total Workforce</a:t>
          </a:r>
        </a:p>
      </xdr:txBody>
    </xdr:sp>
    <xdr:clientData/>
  </xdr:twoCellAnchor>
  <xdr:twoCellAnchor>
    <xdr:from>
      <xdr:col>15</xdr:col>
      <xdr:colOff>0</xdr:colOff>
      <xdr:row>4</xdr:row>
      <xdr:rowOff>0</xdr:rowOff>
    </xdr:from>
    <xdr:to>
      <xdr:col>20</xdr:col>
      <xdr:colOff>0</xdr:colOff>
      <xdr:row>8</xdr:row>
      <xdr:rowOff>0</xdr:rowOff>
    </xdr:to>
    <xdr:sp macro="" textlink="">
      <xdr:nvSpPr>
        <xdr:cNvPr id="21" name="Rectangle: Rounded Corners 20">
          <a:extLst>
            <a:ext uri="{FF2B5EF4-FFF2-40B4-BE49-F238E27FC236}">
              <a16:creationId xmlns:a16="http://schemas.microsoft.com/office/drawing/2014/main" id="{58AAAEEE-8435-CB6B-DF18-624C008D983E}"/>
            </a:ext>
          </a:extLst>
        </xdr:cNvPr>
        <xdr:cNvSpPr/>
      </xdr:nvSpPr>
      <xdr:spPr>
        <a:xfrm>
          <a:off x="8001000" y="1057275"/>
          <a:ext cx="2667000" cy="914400"/>
        </a:xfrm>
        <a:prstGeom prst="roundRect">
          <a:avLst/>
        </a:prstGeom>
        <a:solidFill>
          <a:srgbClr val="FFFFFF"/>
        </a:solidFill>
        <a:ln w="9525">
          <a:solidFill>
            <a:srgbClr val="CEDAE7"/>
          </a:solidFill>
        </a:ln>
        <a:effectLst>
          <a:outerShdw blurRad="63500" dist="17961" dir="2699987" rotWithShape="0">
            <a:srgbClr val="C8D0D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127000</xdr:colOff>
      <xdr:row>4</xdr:row>
      <xdr:rowOff>203200</xdr:rowOff>
    </xdr:from>
    <xdr:to>
      <xdr:col>16</xdr:col>
      <xdr:colOff>76200</xdr:colOff>
      <xdr:row>7</xdr:row>
      <xdr:rowOff>0</xdr:rowOff>
    </xdr:to>
    <xdr:sp macro="" textlink="">
      <xdr:nvSpPr>
        <xdr:cNvPr id="22" name="Oval 21">
          <a:extLst>
            <a:ext uri="{FF2B5EF4-FFF2-40B4-BE49-F238E27FC236}">
              <a16:creationId xmlns:a16="http://schemas.microsoft.com/office/drawing/2014/main" id="{9A6481D0-0698-8D2A-8897-1ECF8441E1F8}"/>
            </a:ext>
          </a:extLst>
        </xdr:cNvPr>
        <xdr:cNvSpPr/>
      </xdr:nvSpPr>
      <xdr:spPr>
        <a:xfrm>
          <a:off x="8128000" y="1260475"/>
          <a:ext cx="482600" cy="482600"/>
        </a:xfrm>
        <a:prstGeom prst="ellipse">
          <a:avLst/>
        </a:prstGeom>
        <a:gradFill flip="none" rotWithShape="1">
          <a:gsLst>
            <a:gs pos="0">
              <a:srgbClr val="1F618D"/>
            </a:gs>
            <a:gs pos="100000">
              <a:srgbClr val="112D4E"/>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rgbClr val="FFFFFF"/>
              </a:solidFill>
            </a:rPr>
            <a:t>$</a:t>
          </a:r>
        </a:p>
      </xdr:txBody>
    </xdr:sp>
    <xdr:clientData/>
  </xdr:twoCellAnchor>
  <xdr:twoCellAnchor>
    <xdr:from>
      <xdr:col>16</xdr:col>
      <xdr:colOff>152400</xdr:colOff>
      <xdr:row>4</xdr:row>
      <xdr:rowOff>101600</xdr:rowOff>
    </xdr:from>
    <xdr:to>
      <xdr:col>19</xdr:col>
      <xdr:colOff>482600</xdr:colOff>
      <xdr:row>5</xdr:row>
      <xdr:rowOff>152400</xdr:rowOff>
    </xdr:to>
    <xdr:sp macro="" textlink="">
      <xdr:nvSpPr>
        <xdr:cNvPr id="23" name="TextBox 22">
          <a:extLst>
            <a:ext uri="{FF2B5EF4-FFF2-40B4-BE49-F238E27FC236}">
              <a16:creationId xmlns:a16="http://schemas.microsoft.com/office/drawing/2014/main" id="{8C142391-CF45-C573-7427-2A41477097BF}"/>
            </a:ext>
          </a:extLst>
        </xdr:cNvPr>
        <xdr:cNvSpPr txBox="1"/>
      </xdr:nvSpPr>
      <xdr:spPr>
        <a:xfrm>
          <a:off x="8686800" y="1158875"/>
          <a:ext cx="19304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600" b="1">
              <a:solidFill>
                <a:srgbClr val="2D3746"/>
              </a:solidFill>
            </a:rPr>
            <a:t>Avg Income</a:t>
          </a:r>
        </a:p>
      </xdr:txBody>
    </xdr:sp>
    <xdr:clientData/>
  </xdr:twoCellAnchor>
  <xdr:twoCellAnchor>
    <xdr:from>
      <xdr:col>16</xdr:col>
      <xdr:colOff>152400</xdr:colOff>
      <xdr:row>5</xdr:row>
      <xdr:rowOff>139700</xdr:rowOff>
    </xdr:from>
    <xdr:to>
      <xdr:col>19</xdr:col>
      <xdr:colOff>482600</xdr:colOff>
      <xdr:row>7</xdr:row>
      <xdr:rowOff>114300</xdr:rowOff>
    </xdr:to>
    <xdr:sp macro="" textlink="Dashboard!$AF$5">
      <xdr:nvSpPr>
        <xdr:cNvPr id="24" name="TextBox 23">
          <a:extLst>
            <a:ext uri="{FF2B5EF4-FFF2-40B4-BE49-F238E27FC236}">
              <a16:creationId xmlns:a16="http://schemas.microsoft.com/office/drawing/2014/main" id="{8E2400A5-A02B-FC68-9D27-E14FEC2DE882}"/>
            </a:ext>
          </a:extLst>
        </xdr:cNvPr>
        <xdr:cNvSpPr txBox="1"/>
      </xdr:nvSpPr>
      <xdr:spPr>
        <a:xfrm>
          <a:off x="8686800" y="1425575"/>
          <a:ext cx="19304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1D622AF6-EA6C-4C60-BC4C-FD3AF1116405}" type="TxLink">
            <a:rPr lang="en-US" sz="2600" b="1" i="0" u="none" strike="noStrike">
              <a:solidFill>
                <a:srgbClr val="0F3458"/>
              </a:solidFill>
              <a:latin typeface="Aptos"/>
            </a:rPr>
            <a:t>$6,503</a:t>
          </a:fld>
          <a:endParaRPr lang="en-US" sz="2600" b="1">
            <a:solidFill>
              <a:srgbClr val="0F3458"/>
            </a:solidFill>
          </a:endParaRPr>
        </a:p>
      </xdr:txBody>
    </xdr:sp>
    <xdr:clientData/>
  </xdr:twoCellAnchor>
  <xdr:twoCellAnchor>
    <xdr:from>
      <xdr:col>16</xdr:col>
      <xdr:colOff>152400</xdr:colOff>
      <xdr:row>7</xdr:row>
      <xdr:rowOff>50800</xdr:rowOff>
    </xdr:from>
    <xdr:to>
      <xdr:col>19</xdr:col>
      <xdr:colOff>482600</xdr:colOff>
      <xdr:row>7</xdr:row>
      <xdr:rowOff>215900</xdr:rowOff>
    </xdr:to>
    <xdr:sp macro="" textlink="">
      <xdr:nvSpPr>
        <xdr:cNvPr id="25" name="TextBox 24">
          <a:extLst>
            <a:ext uri="{FF2B5EF4-FFF2-40B4-BE49-F238E27FC236}">
              <a16:creationId xmlns:a16="http://schemas.microsoft.com/office/drawing/2014/main" id="{76041285-D916-388E-9C57-FA81713242AD}"/>
            </a:ext>
          </a:extLst>
        </xdr:cNvPr>
        <xdr:cNvSpPr txBox="1"/>
      </xdr:nvSpPr>
      <xdr:spPr>
        <a:xfrm>
          <a:off x="8686800" y="1793875"/>
          <a:ext cx="19304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A6473"/>
              </a:solidFill>
            </a:rPr>
            <a:t>Monthly Per Head</a:t>
          </a:r>
        </a:p>
      </xdr:txBody>
    </xdr:sp>
    <xdr:clientData/>
  </xdr:twoCellAnchor>
  <xdr:twoCellAnchor>
    <xdr:from>
      <xdr:col>20</xdr:col>
      <xdr:colOff>0</xdr:colOff>
      <xdr:row>4</xdr:row>
      <xdr:rowOff>0</xdr:rowOff>
    </xdr:from>
    <xdr:to>
      <xdr:col>25</xdr:col>
      <xdr:colOff>0</xdr:colOff>
      <xdr:row>8</xdr:row>
      <xdr:rowOff>0</xdr:rowOff>
    </xdr:to>
    <xdr:sp macro="" textlink="">
      <xdr:nvSpPr>
        <xdr:cNvPr id="26" name="Rectangle: Rounded Corners 25">
          <a:extLst>
            <a:ext uri="{FF2B5EF4-FFF2-40B4-BE49-F238E27FC236}">
              <a16:creationId xmlns:a16="http://schemas.microsoft.com/office/drawing/2014/main" id="{CF710A90-ABDC-C241-FFC9-D69F86239D67}"/>
            </a:ext>
          </a:extLst>
        </xdr:cNvPr>
        <xdr:cNvSpPr/>
      </xdr:nvSpPr>
      <xdr:spPr>
        <a:xfrm>
          <a:off x="10668000" y="1057275"/>
          <a:ext cx="2667000" cy="914400"/>
        </a:xfrm>
        <a:prstGeom prst="roundRect">
          <a:avLst/>
        </a:prstGeom>
        <a:solidFill>
          <a:srgbClr val="FFFFFF"/>
        </a:solidFill>
        <a:ln w="9525">
          <a:solidFill>
            <a:srgbClr val="CEDAE7"/>
          </a:solidFill>
        </a:ln>
        <a:effectLst>
          <a:outerShdw blurRad="63500" dist="17961" dir="2699987" rotWithShape="0">
            <a:srgbClr val="C8D0D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127000</xdr:colOff>
      <xdr:row>4</xdr:row>
      <xdr:rowOff>203200</xdr:rowOff>
    </xdr:from>
    <xdr:to>
      <xdr:col>21</xdr:col>
      <xdr:colOff>76200</xdr:colOff>
      <xdr:row>7</xdr:row>
      <xdr:rowOff>0</xdr:rowOff>
    </xdr:to>
    <xdr:sp macro="" textlink="">
      <xdr:nvSpPr>
        <xdr:cNvPr id="27" name="Oval 26">
          <a:extLst>
            <a:ext uri="{FF2B5EF4-FFF2-40B4-BE49-F238E27FC236}">
              <a16:creationId xmlns:a16="http://schemas.microsoft.com/office/drawing/2014/main" id="{ADB3C733-0C3B-CFE7-79D3-09A6180A309C}"/>
            </a:ext>
          </a:extLst>
        </xdr:cNvPr>
        <xdr:cNvSpPr/>
      </xdr:nvSpPr>
      <xdr:spPr>
        <a:xfrm>
          <a:off x="10795000" y="1260475"/>
          <a:ext cx="482600" cy="482600"/>
        </a:xfrm>
        <a:prstGeom prst="ellipse">
          <a:avLst/>
        </a:prstGeom>
        <a:gradFill flip="none" rotWithShape="1">
          <a:gsLst>
            <a:gs pos="0">
              <a:srgbClr val="2874A6"/>
            </a:gs>
            <a:gs pos="100000">
              <a:srgbClr val="112D4E"/>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rgbClr val="FFFFFF"/>
              </a:solidFill>
            </a:rPr>
            <a:t>Y</a:t>
          </a:r>
        </a:p>
      </xdr:txBody>
    </xdr:sp>
    <xdr:clientData/>
  </xdr:twoCellAnchor>
  <xdr:twoCellAnchor>
    <xdr:from>
      <xdr:col>21</xdr:col>
      <xdr:colOff>152400</xdr:colOff>
      <xdr:row>4</xdr:row>
      <xdr:rowOff>101600</xdr:rowOff>
    </xdr:from>
    <xdr:to>
      <xdr:col>24</xdr:col>
      <xdr:colOff>482600</xdr:colOff>
      <xdr:row>5</xdr:row>
      <xdr:rowOff>152400</xdr:rowOff>
    </xdr:to>
    <xdr:sp macro="" textlink="">
      <xdr:nvSpPr>
        <xdr:cNvPr id="28" name="TextBox 27">
          <a:extLst>
            <a:ext uri="{FF2B5EF4-FFF2-40B4-BE49-F238E27FC236}">
              <a16:creationId xmlns:a16="http://schemas.microsoft.com/office/drawing/2014/main" id="{20980A9E-F41C-4B45-9D7B-A211108601DB}"/>
            </a:ext>
          </a:extLst>
        </xdr:cNvPr>
        <xdr:cNvSpPr txBox="1"/>
      </xdr:nvSpPr>
      <xdr:spPr>
        <a:xfrm>
          <a:off x="11353800" y="1158875"/>
          <a:ext cx="19304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600" b="1">
              <a:solidFill>
                <a:srgbClr val="2D3746"/>
              </a:solidFill>
            </a:rPr>
            <a:t>Avg Tenure</a:t>
          </a:r>
        </a:p>
      </xdr:txBody>
    </xdr:sp>
    <xdr:clientData/>
  </xdr:twoCellAnchor>
  <xdr:twoCellAnchor>
    <xdr:from>
      <xdr:col>21</xdr:col>
      <xdr:colOff>152400</xdr:colOff>
      <xdr:row>5</xdr:row>
      <xdr:rowOff>139700</xdr:rowOff>
    </xdr:from>
    <xdr:to>
      <xdr:col>24</xdr:col>
      <xdr:colOff>482600</xdr:colOff>
      <xdr:row>7</xdr:row>
      <xdr:rowOff>114300</xdr:rowOff>
    </xdr:to>
    <xdr:sp macro="" textlink="Dashboard!$AF$6">
      <xdr:nvSpPr>
        <xdr:cNvPr id="29" name="TextBox 28">
          <a:extLst>
            <a:ext uri="{FF2B5EF4-FFF2-40B4-BE49-F238E27FC236}">
              <a16:creationId xmlns:a16="http://schemas.microsoft.com/office/drawing/2014/main" id="{857E4A81-5E1E-33DF-D765-B6CBBA586DD4}"/>
            </a:ext>
          </a:extLst>
        </xdr:cNvPr>
        <xdr:cNvSpPr txBox="1"/>
      </xdr:nvSpPr>
      <xdr:spPr>
        <a:xfrm>
          <a:off x="11353800" y="1425575"/>
          <a:ext cx="19304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3F0FDF5E-9852-40BC-987D-06A4A5A65BBD}" type="TxLink">
            <a:rPr lang="en-US" sz="2600" b="1" i="0" u="none" strike="noStrike">
              <a:solidFill>
                <a:srgbClr val="0F3458"/>
              </a:solidFill>
              <a:latin typeface="Aptos"/>
            </a:rPr>
            <a:t>7.0</a:t>
          </a:fld>
          <a:endParaRPr lang="en-US" sz="2600" b="1">
            <a:solidFill>
              <a:srgbClr val="0F3458"/>
            </a:solidFill>
          </a:endParaRPr>
        </a:p>
      </xdr:txBody>
    </xdr:sp>
    <xdr:clientData/>
  </xdr:twoCellAnchor>
  <xdr:twoCellAnchor>
    <xdr:from>
      <xdr:col>21</xdr:col>
      <xdr:colOff>152400</xdr:colOff>
      <xdr:row>7</xdr:row>
      <xdr:rowOff>50800</xdr:rowOff>
    </xdr:from>
    <xdr:to>
      <xdr:col>24</xdr:col>
      <xdr:colOff>482600</xdr:colOff>
      <xdr:row>7</xdr:row>
      <xdr:rowOff>215900</xdr:rowOff>
    </xdr:to>
    <xdr:sp macro="" textlink="">
      <xdr:nvSpPr>
        <xdr:cNvPr id="30" name="TextBox 29">
          <a:extLst>
            <a:ext uri="{FF2B5EF4-FFF2-40B4-BE49-F238E27FC236}">
              <a16:creationId xmlns:a16="http://schemas.microsoft.com/office/drawing/2014/main" id="{B8A39E38-0756-1945-1D55-7313174F9F55}"/>
            </a:ext>
          </a:extLst>
        </xdr:cNvPr>
        <xdr:cNvSpPr txBox="1"/>
      </xdr:nvSpPr>
      <xdr:spPr>
        <a:xfrm>
          <a:off x="11353800" y="1793875"/>
          <a:ext cx="19304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A6473"/>
              </a:solidFill>
            </a:rPr>
            <a:t>Years At Company</a:t>
          </a:r>
        </a:p>
      </xdr:txBody>
    </xdr:sp>
    <xdr:clientData/>
  </xdr:twoCellAnchor>
  <xdr:twoCellAnchor>
    <xdr:from>
      <xdr:col>25</xdr:col>
      <xdr:colOff>0</xdr:colOff>
      <xdr:row>4</xdr:row>
      <xdr:rowOff>0</xdr:rowOff>
    </xdr:from>
    <xdr:to>
      <xdr:col>30</xdr:col>
      <xdr:colOff>0</xdr:colOff>
      <xdr:row>8</xdr:row>
      <xdr:rowOff>0</xdr:rowOff>
    </xdr:to>
    <xdr:sp macro="" textlink="">
      <xdr:nvSpPr>
        <xdr:cNvPr id="31" name="Rectangle: Rounded Corners 30">
          <a:extLst>
            <a:ext uri="{FF2B5EF4-FFF2-40B4-BE49-F238E27FC236}">
              <a16:creationId xmlns:a16="http://schemas.microsoft.com/office/drawing/2014/main" id="{DB568DD1-8A0B-F16E-4771-89775E43FD13}"/>
            </a:ext>
          </a:extLst>
        </xdr:cNvPr>
        <xdr:cNvSpPr/>
      </xdr:nvSpPr>
      <xdr:spPr>
        <a:xfrm>
          <a:off x="13335000" y="1057275"/>
          <a:ext cx="2667000" cy="914400"/>
        </a:xfrm>
        <a:prstGeom prst="roundRect">
          <a:avLst/>
        </a:prstGeom>
        <a:solidFill>
          <a:srgbClr val="FFFFFF"/>
        </a:solidFill>
        <a:ln w="9525">
          <a:solidFill>
            <a:srgbClr val="CEDAE7"/>
          </a:solidFill>
        </a:ln>
        <a:effectLst>
          <a:outerShdw blurRad="63500" dist="17961" dir="2699987" rotWithShape="0">
            <a:srgbClr val="C8D0D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127000</xdr:colOff>
      <xdr:row>4</xdr:row>
      <xdr:rowOff>203200</xdr:rowOff>
    </xdr:from>
    <xdr:to>
      <xdr:col>26</xdr:col>
      <xdr:colOff>76200</xdr:colOff>
      <xdr:row>7</xdr:row>
      <xdr:rowOff>0</xdr:rowOff>
    </xdr:to>
    <xdr:sp macro="" textlink="">
      <xdr:nvSpPr>
        <xdr:cNvPr id="32" name="Oval 31">
          <a:extLst>
            <a:ext uri="{FF2B5EF4-FFF2-40B4-BE49-F238E27FC236}">
              <a16:creationId xmlns:a16="http://schemas.microsoft.com/office/drawing/2014/main" id="{9777CD5D-C17C-F6FF-19D5-BC2135A8800B}"/>
            </a:ext>
          </a:extLst>
        </xdr:cNvPr>
        <xdr:cNvSpPr/>
      </xdr:nvSpPr>
      <xdr:spPr>
        <a:xfrm>
          <a:off x="13462000" y="1260475"/>
          <a:ext cx="482600" cy="482600"/>
        </a:xfrm>
        <a:prstGeom prst="ellipse">
          <a:avLst/>
        </a:prstGeom>
        <a:gradFill flip="none" rotWithShape="1">
          <a:gsLst>
            <a:gs pos="0">
              <a:srgbClr val="34495E"/>
            </a:gs>
            <a:gs pos="100000">
              <a:srgbClr val="112D4E"/>
            </a:gs>
          </a:gsLst>
          <a:lin ang="27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rgbClr val="FFFFFF"/>
              </a:solidFill>
            </a:rPr>
            <a:t>A</a:t>
          </a:r>
        </a:p>
      </xdr:txBody>
    </xdr:sp>
    <xdr:clientData/>
  </xdr:twoCellAnchor>
  <xdr:twoCellAnchor>
    <xdr:from>
      <xdr:col>26</xdr:col>
      <xdr:colOff>152400</xdr:colOff>
      <xdr:row>4</xdr:row>
      <xdr:rowOff>101600</xdr:rowOff>
    </xdr:from>
    <xdr:to>
      <xdr:col>29</xdr:col>
      <xdr:colOff>482600</xdr:colOff>
      <xdr:row>5</xdr:row>
      <xdr:rowOff>152400</xdr:rowOff>
    </xdr:to>
    <xdr:sp macro="" textlink="">
      <xdr:nvSpPr>
        <xdr:cNvPr id="33" name="TextBox 32">
          <a:extLst>
            <a:ext uri="{FF2B5EF4-FFF2-40B4-BE49-F238E27FC236}">
              <a16:creationId xmlns:a16="http://schemas.microsoft.com/office/drawing/2014/main" id="{9FE10A5A-7143-4DE2-22CC-E862D671FB49}"/>
            </a:ext>
          </a:extLst>
        </xdr:cNvPr>
        <xdr:cNvSpPr txBox="1"/>
      </xdr:nvSpPr>
      <xdr:spPr>
        <a:xfrm>
          <a:off x="14020800" y="1158875"/>
          <a:ext cx="19304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600" b="1">
              <a:solidFill>
                <a:srgbClr val="2D3746"/>
              </a:solidFill>
            </a:rPr>
            <a:t>Avg Age</a:t>
          </a:r>
        </a:p>
      </xdr:txBody>
    </xdr:sp>
    <xdr:clientData/>
  </xdr:twoCellAnchor>
  <xdr:twoCellAnchor>
    <xdr:from>
      <xdr:col>26</xdr:col>
      <xdr:colOff>152400</xdr:colOff>
      <xdr:row>5</xdr:row>
      <xdr:rowOff>139700</xdr:rowOff>
    </xdr:from>
    <xdr:to>
      <xdr:col>29</xdr:col>
      <xdr:colOff>482600</xdr:colOff>
      <xdr:row>7</xdr:row>
      <xdr:rowOff>114300</xdr:rowOff>
    </xdr:to>
    <xdr:sp macro="" textlink="Dashboard!$AF$7">
      <xdr:nvSpPr>
        <xdr:cNvPr id="34" name="TextBox 33">
          <a:extLst>
            <a:ext uri="{FF2B5EF4-FFF2-40B4-BE49-F238E27FC236}">
              <a16:creationId xmlns:a16="http://schemas.microsoft.com/office/drawing/2014/main" id="{C21B0731-F52B-105E-84D7-8EE992A21806}"/>
            </a:ext>
          </a:extLst>
        </xdr:cNvPr>
        <xdr:cNvSpPr txBox="1"/>
      </xdr:nvSpPr>
      <xdr:spPr>
        <a:xfrm>
          <a:off x="14020800" y="1425575"/>
          <a:ext cx="19304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C2E5C392-794E-4AFB-AF83-4EAD0067AF8E}" type="TxLink">
            <a:rPr lang="en-US" sz="2600" b="1" i="0" u="none" strike="noStrike">
              <a:solidFill>
                <a:srgbClr val="0F3458"/>
              </a:solidFill>
              <a:latin typeface="Aptos"/>
            </a:rPr>
            <a:t>36.9</a:t>
          </a:fld>
          <a:endParaRPr lang="en-US" sz="2600" b="1">
            <a:solidFill>
              <a:srgbClr val="0F3458"/>
            </a:solidFill>
          </a:endParaRPr>
        </a:p>
      </xdr:txBody>
    </xdr:sp>
    <xdr:clientData/>
  </xdr:twoCellAnchor>
  <xdr:twoCellAnchor>
    <xdr:from>
      <xdr:col>26</xdr:col>
      <xdr:colOff>152400</xdr:colOff>
      <xdr:row>7</xdr:row>
      <xdr:rowOff>50800</xdr:rowOff>
    </xdr:from>
    <xdr:to>
      <xdr:col>29</xdr:col>
      <xdr:colOff>482600</xdr:colOff>
      <xdr:row>7</xdr:row>
      <xdr:rowOff>215900</xdr:rowOff>
    </xdr:to>
    <xdr:sp macro="" textlink="">
      <xdr:nvSpPr>
        <xdr:cNvPr id="35" name="TextBox 34">
          <a:extLst>
            <a:ext uri="{FF2B5EF4-FFF2-40B4-BE49-F238E27FC236}">
              <a16:creationId xmlns:a16="http://schemas.microsoft.com/office/drawing/2014/main" id="{76A7B3E3-24D6-15C0-3E86-D03D05DF8E4B}"/>
            </a:ext>
          </a:extLst>
        </xdr:cNvPr>
        <xdr:cNvSpPr txBox="1"/>
      </xdr:nvSpPr>
      <xdr:spPr>
        <a:xfrm>
          <a:off x="14020800" y="1793875"/>
          <a:ext cx="19304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A6473"/>
              </a:solidFill>
            </a:rPr>
            <a:t>Years Old</a:t>
          </a:r>
        </a:p>
      </xdr:txBody>
    </xdr:sp>
    <xdr:clientData/>
  </xdr:twoCellAnchor>
  <xdr:twoCellAnchor>
    <xdr:from>
      <xdr:col>0</xdr:col>
      <xdr:colOff>0</xdr:colOff>
      <xdr:row>9</xdr:row>
      <xdr:rowOff>0</xdr:rowOff>
    </xdr:from>
    <xdr:to>
      <xdr:col>12</xdr:col>
      <xdr:colOff>0</xdr:colOff>
      <xdr:row>18</xdr:row>
      <xdr:rowOff>0</xdr:rowOff>
    </xdr:to>
    <xdr:graphicFrame macro="">
      <xdr:nvGraphicFramePr>
        <xdr:cNvPr id="36" name="Chart 35">
          <a:extLst>
            <a:ext uri="{FF2B5EF4-FFF2-40B4-BE49-F238E27FC236}">
              <a16:creationId xmlns:a16="http://schemas.microsoft.com/office/drawing/2014/main" id="{F7C6DA84-07B1-0289-2677-3BD4E255E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9</xdr:row>
      <xdr:rowOff>0</xdr:rowOff>
    </xdr:from>
    <xdr:to>
      <xdr:col>22</xdr:col>
      <xdr:colOff>0</xdr:colOff>
      <xdr:row>18</xdr:row>
      <xdr:rowOff>0</xdr:rowOff>
    </xdr:to>
    <xdr:graphicFrame macro="">
      <xdr:nvGraphicFramePr>
        <xdr:cNvPr id="37" name="Chart 36">
          <a:extLst>
            <a:ext uri="{FF2B5EF4-FFF2-40B4-BE49-F238E27FC236}">
              <a16:creationId xmlns:a16="http://schemas.microsoft.com/office/drawing/2014/main" id="{785F7D36-0829-66BA-648B-4A2C11BCD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12</xdr:col>
      <xdr:colOff>0</xdr:colOff>
      <xdr:row>28</xdr:row>
      <xdr:rowOff>0</xdr:rowOff>
    </xdr:to>
    <xdr:graphicFrame macro="">
      <xdr:nvGraphicFramePr>
        <xdr:cNvPr id="38" name="Chart 37">
          <a:extLst>
            <a:ext uri="{FF2B5EF4-FFF2-40B4-BE49-F238E27FC236}">
              <a16:creationId xmlns:a16="http://schemas.microsoft.com/office/drawing/2014/main" id="{FEA0F425-1B22-F8D1-4A3D-1B1AEFF50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18</xdr:row>
      <xdr:rowOff>0</xdr:rowOff>
    </xdr:from>
    <xdr:to>
      <xdr:col>22</xdr:col>
      <xdr:colOff>0</xdr:colOff>
      <xdr:row>28</xdr:row>
      <xdr:rowOff>0</xdr:rowOff>
    </xdr:to>
    <xdr:graphicFrame macro="">
      <xdr:nvGraphicFramePr>
        <xdr:cNvPr id="39" name="Chart 38">
          <a:extLst>
            <a:ext uri="{FF2B5EF4-FFF2-40B4-BE49-F238E27FC236}">
              <a16:creationId xmlns:a16="http://schemas.microsoft.com/office/drawing/2014/main" id="{887FE4B5-7A90-5D40-6143-F90006D9E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18</xdr:row>
      <xdr:rowOff>0</xdr:rowOff>
    </xdr:from>
    <xdr:to>
      <xdr:col>30</xdr:col>
      <xdr:colOff>0</xdr:colOff>
      <xdr:row>28</xdr:row>
      <xdr:rowOff>36704</xdr:rowOff>
    </xdr:to>
    <xdr:graphicFrame macro="">
      <xdr:nvGraphicFramePr>
        <xdr:cNvPr id="40" name="Chart 39">
          <a:extLst>
            <a:ext uri="{FF2B5EF4-FFF2-40B4-BE49-F238E27FC236}">
              <a16:creationId xmlns:a16="http://schemas.microsoft.com/office/drawing/2014/main" id="{70350A2C-E540-B58C-31BA-9B4E4AAD75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59871</xdr:colOff>
      <xdr:row>8</xdr:row>
      <xdr:rowOff>227239</xdr:rowOff>
    </xdr:from>
    <xdr:to>
      <xdr:col>30</xdr:col>
      <xdr:colOff>81643</xdr:colOff>
      <xdr:row>13</xdr:row>
      <xdr:rowOff>213632</xdr:rowOff>
    </xdr:to>
    <mc:AlternateContent xmlns:mc="http://schemas.openxmlformats.org/markup-compatibility/2006">
      <mc:Choice xmlns:a14="http://schemas.microsoft.com/office/drawing/2010/main" Requires="a14">
        <xdr:graphicFrame macro="">
          <xdr:nvGraphicFramePr>
            <xdr:cNvPr id="41" name="JobRole">
              <a:extLst>
                <a:ext uri="{FF2B5EF4-FFF2-40B4-BE49-F238E27FC236}">
                  <a16:creationId xmlns:a16="http://schemas.microsoft.com/office/drawing/2014/main" id="{3220846A-7F4A-7152-B047-5E4C5B99AD6D}"/>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1794671" y="2198914"/>
              <a:ext cx="4288972" cy="1129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59871</xdr:colOff>
      <xdr:row>13</xdr:row>
      <xdr:rowOff>213632</xdr:rowOff>
    </xdr:from>
    <xdr:to>
      <xdr:col>30</xdr:col>
      <xdr:colOff>81643</xdr:colOff>
      <xdr:row>17</xdr:row>
      <xdr:rowOff>202746</xdr:rowOff>
    </xdr:to>
    <mc:AlternateContent xmlns:mc="http://schemas.openxmlformats.org/markup-compatibility/2006">
      <mc:Choice xmlns:a14="http://schemas.microsoft.com/office/drawing/2010/main" Requires="a14">
        <xdr:graphicFrame macro="">
          <xdr:nvGraphicFramePr>
            <xdr:cNvPr id="42" name="Department">
              <a:extLst>
                <a:ext uri="{FF2B5EF4-FFF2-40B4-BE49-F238E27FC236}">
                  <a16:creationId xmlns:a16="http://schemas.microsoft.com/office/drawing/2014/main" id="{1A289681-11E2-CF57-B6A8-B0CFE2FCB53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794671" y="3328307"/>
              <a:ext cx="4288972" cy="9035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123825</xdr:colOff>
      <xdr:row>9</xdr:row>
      <xdr:rowOff>19050</xdr:rowOff>
    </xdr:from>
    <xdr:to>
      <xdr:col>15</xdr:col>
      <xdr:colOff>314325</xdr:colOff>
      <xdr:row>15</xdr:row>
      <xdr:rowOff>114300</xdr:rowOff>
    </xdr:to>
    <xdr:sp macro="[0]!BuildHRDashboard" textlink="">
      <xdr:nvSpPr>
        <xdr:cNvPr id="2" name="Rectangle: Rounded Corners 1">
          <a:extLst>
            <a:ext uri="{FF2B5EF4-FFF2-40B4-BE49-F238E27FC236}">
              <a16:creationId xmlns:a16="http://schemas.microsoft.com/office/drawing/2014/main" id="{F8ABC4D3-D7C3-2EFE-1B4F-875310880FBC}"/>
            </a:ext>
          </a:extLst>
        </xdr:cNvPr>
        <xdr:cNvSpPr/>
      </xdr:nvSpPr>
      <xdr:spPr>
        <a:xfrm>
          <a:off x="6829425" y="1733550"/>
          <a:ext cx="2628900" cy="1238250"/>
        </a:xfrm>
        <a:prstGeom prst="round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Build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rtudazo" refreshedDate="46243.444031018516" createdVersion="8" refreshedVersion="8" minRefreshableVersion="3" recordCount="1470" xr:uid="{724A8423-1C6A-4311-B356-E161C386F46B}">
  <cacheSource type="worksheet">
    <worksheetSource ref="A1:AK1471" sheet="Data"/>
  </cacheSource>
  <cacheFields count="37">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164">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Flag" numFmtId="3">
      <sharedItems containsSemiMixedTypes="0" containsString="0" containsNumber="1" containsInteger="1" minValue="0" maxValue="1"/>
    </cacheField>
    <cacheField name="AgeBand" numFmtId="0">
      <sharedItems count="5">
        <s v="36-45"/>
        <s v="46-55"/>
        <s v="26-35"/>
        <s v="56+"/>
        <s v="18-25"/>
      </sharedItems>
    </cacheField>
  </cacheFields>
  <extLst>
    <ext xmlns:x14="http://schemas.microsoft.com/office/spreadsheetml/2009/9/main" uri="{725AE2AE-9491-48be-B2B4-4EB974FC3084}">
      <x14:pivotCacheDefinition pivotCacheId="1714243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x v="0"/>
    <n v="1"/>
    <x v="0"/>
    <n v="2"/>
    <s v="Female"/>
    <n v="94"/>
    <n v="3"/>
    <x v="0"/>
    <x v="0"/>
    <n v="4"/>
    <s v="Single"/>
    <n v="5993"/>
    <n v="19479"/>
    <n v="8"/>
    <s v="Y"/>
    <x v="0"/>
    <n v="11"/>
    <n v="3"/>
    <n v="1"/>
    <n v="80"/>
    <n v="0"/>
    <n v="8"/>
    <n v="0"/>
    <n v="1"/>
    <n v="6"/>
    <n v="4"/>
    <n v="0"/>
    <n v="5"/>
    <n v="1"/>
    <x v="0"/>
  </r>
  <r>
    <n v="49"/>
    <s v="No"/>
    <s v="Travel_Frequently"/>
    <n v="279"/>
    <x v="1"/>
    <n v="8"/>
    <n v="1"/>
    <x v="0"/>
    <n v="1"/>
    <x v="1"/>
    <n v="3"/>
    <s v="Male"/>
    <n v="61"/>
    <n v="2"/>
    <x v="0"/>
    <x v="1"/>
    <n v="2"/>
    <s v="Married"/>
    <n v="5130"/>
    <n v="24907"/>
    <n v="1"/>
    <s v="Y"/>
    <x v="1"/>
    <n v="23"/>
    <n v="4"/>
    <n v="4"/>
    <n v="80"/>
    <n v="1"/>
    <n v="10"/>
    <n v="3"/>
    <n v="3"/>
    <n v="10"/>
    <n v="7"/>
    <n v="1"/>
    <n v="7"/>
    <n v="0"/>
    <x v="1"/>
  </r>
  <r>
    <n v="37"/>
    <s v="Yes"/>
    <s v="Travel_Rarely"/>
    <n v="1373"/>
    <x v="1"/>
    <n v="2"/>
    <n v="2"/>
    <x v="1"/>
    <n v="1"/>
    <x v="2"/>
    <n v="4"/>
    <s v="Male"/>
    <n v="92"/>
    <n v="2"/>
    <x v="1"/>
    <x v="2"/>
    <n v="3"/>
    <s v="Single"/>
    <n v="2090"/>
    <n v="2396"/>
    <n v="6"/>
    <s v="Y"/>
    <x v="0"/>
    <n v="15"/>
    <n v="3"/>
    <n v="2"/>
    <n v="80"/>
    <n v="0"/>
    <n v="7"/>
    <n v="3"/>
    <n v="3"/>
    <n v="0"/>
    <n v="0"/>
    <n v="0"/>
    <n v="0"/>
    <n v="1"/>
    <x v="0"/>
  </r>
  <r>
    <n v="33"/>
    <s v="No"/>
    <s v="Travel_Frequently"/>
    <n v="1392"/>
    <x v="1"/>
    <n v="3"/>
    <n v="4"/>
    <x v="0"/>
    <n v="1"/>
    <x v="3"/>
    <n v="4"/>
    <s v="Female"/>
    <n v="56"/>
    <n v="3"/>
    <x v="1"/>
    <x v="1"/>
    <n v="3"/>
    <s v="Married"/>
    <n v="2909"/>
    <n v="23159"/>
    <n v="1"/>
    <s v="Y"/>
    <x v="0"/>
    <n v="11"/>
    <n v="3"/>
    <n v="3"/>
    <n v="80"/>
    <n v="0"/>
    <n v="8"/>
    <n v="3"/>
    <n v="3"/>
    <n v="8"/>
    <n v="7"/>
    <n v="3"/>
    <n v="0"/>
    <n v="0"/>
    <x v="2"/>
  </r>
  <r>
    <n v="27"/>
    <s v="No"/>
    <s v="Travel_Rarely"/>
    <n v="591"/>
    <x v="1"/>
    <n v="2"/>
    <n v="1"/>
    <x v="2"/>
    <n v="1"/>
    <x v="4"/>
    <n v="1"/>
    <s v="Male"/>
    <n v="40"/>
    <n v="3"/>
    <x v="1"/>
    <x v="2"/>
    <n v="2"/>
    <s v="Married"/>
    <n v="3468"/>
    <n v="16632"/>
    <n v="9"/>
    <s v="Y"/>
    <x v="1"/>
    <n v="12"/>
    <n v="3"/>
    <n v="4"/>
    <n v="80"/>
    <n v="1"/>
    <n v="6"/>
    <n v="3"/>
    <n v="3"/>
    <n v="2"/>
    <n v="2"/>
    <n v="2"/>
    <n v="2"/>
    <n v="0"/>
    <x v="2"/>
  </r>
  <r>
    <n v="32"/>
    <s v="No"/>
    <s v="Travel_Frequently"/>
    <n v="1005"/>
    <x v="1"/>
    <n v="2"/>
    <n v="2"/>
    <x v="0"/>
    <n v="1"/>
    <x v="5"/>
    <n v="4"/>
    <s v="Male"/>
    <n v="79"/>
    <n v="3"/>
    <x v="1"/>
    <x v="2"/>
    <n v="4"/>
    <s v="Single"/>
    <n v="3068"/>
    <n v="11864"/>
    <n v="0"/>
    <s v="Y"/>
    <x v="1"/>
    <n v="13"/>
    <n v="3"/>
    <n v="3"/>
    <n v="80"/>
    <n v="0"/>
    <n v="8"/>
    <n v="2"/>
    <n v="2"/>
    <n v="7"/>
    <n v="7"/>
    <n v="3"/>
    <n v="6"/>
    <n v="0"/>
    <x v="2"/>
  </r>
  <r>
    <n v="59"/>
    <s v="No"/>
    <s v="Travel_Rarely"/>
    <n v="1324"/>
    <x v="1"/>
    <n v="3"/>
    <n v="3"/>
    <x v="2"/>
    <n v="1"/>
    <x v="6"/>
    <n v="3"/>
    <s v="Female"/>
    <n v="81"/>
    <n v="4"/>
    <x v="1"/>
    <x v="2"/>
    <n v="1"/>
    <s v="Married"/>
    <n v="2670"/>
    <n v="9964"/>
    <n v="4"/>
    <s v="Y"/>
    <x v="0"/>
    <n v="20"/>
    <n v="4"/>
    <n v="1"/>
    <n v="80"/>
    <n v="3"/>
    <n v="12"/>
    <n v="3"/>
    <n v="2"/>
    <n v="1"/>
    <n v="0"/>
    <n v="0"/>
    <n v="0"/>
    <n v="0"/>
    <x v="3"/>
  </r>
  <r>
    <n v="30"/>
    <s v="No"/>
    <s v="Travel_Rarely"/>
    <n v="1358"/>
    <x v="1"/>
    <n v="24"/>
    <n v="1"/>
    <x v="0"/>
    <n v="1"/>
    <x v="7"/>
    <n v="4"/>
    <s v="Male"/>
    <n v="67"/>
    <n v="3"/>
    <x v="1"/>
    <x v="2"/>
    <n v="3"/>
    <s v="Divorced"/>
    <n v="2693"/>
    <n v="13335"/>
    <n v="1"/>
    <s v="Y"/>
    <x v="1"/>
    <n v="22"/>
    <n v="4"/>
    <n v="2"/>
    <n v="80"/>
    <n v="1"/>
    <n v="1"/>
    <n v="2"/>
    <n v="3"/>
    <n v="1"/>
    <n v="0"/>
    <n v="0"/>
    <n v="0"/>
    <n v="0"/>
    <x v="2"/>
  </r>
  <r>
    <n v="38"/>
    <s v="No"/>
    <s v="Travel_Frequently"/>
    <n v="216"/>
    <x v="1"/>
    <n v="23"/>
    <n v="3"/>
    <x v="0"/>
    <n v="1"/>
    <x v="8"/>
    <n v="4"/>
    <s v="Male"/>
    <n v="44"/>
    <n v="2"/>
    <x v="2"/>
    <x v="3"/>
    <n v="3"/>
    <s v="Single"/>
    <n v="9526"/>
    <n v="8787"/>
    <n v="0"/>
    <s v="Y"/>
    <x v="1"/>
    <n v="21"/>
    <n v="4"/>
    <n v="2"/>
    <n v="80"/>
    <n v="0"/>
    <n v="10"/>
    <n v="2"/>
    <n v="3"/>
    <n v="9"/>
    <n v="7"/>
    <n v="1"/>
    <n v="8"/>
    <n v="0"/>
    <x v="0"/>
  </r>
  <r>
    <n v="36"/>
    <s v="No"/>
    <s v="Travel_Rarely"/>
    <n v="1299"/>
    <x v="1"/>
    <n v="27"/>
    <n v="3"/>
    <x v="2"/>
    <n v="1"/>
    <x v="9"/>
    <n v="3"/>
    <s v="Male"/>
    <n v="94"/>
    <n v="3"/>
    <x v="0"/>
    <x v="4"/>
    <n v="3"/>
    <s v="Married"/>
    <n v="5237"/>
    <n v="16577"/>
    <n v="6"/>
    <s v="Y"/>
    <x v="1"/>
    <n v="13"/>
    <n v="3"/>
    <n v="2"/>
    <n v="80"/>
    <n v="2"/>
    <n v="17"/>
    <n v="3"/>
    <n v="2"/>
    <n v="7"/>
    <n v="7"/>
    <n v="7"/>
    <n v="7"/>
    <n v="0"/>
    <x v="0"/>
  </r>
  <r>
    <n v="35"/>
    <s v="No"/>
    <s v="Travel_Rarely"/>
    <n v="809"/>
    <x v="1"/>
    <n v="16"/>
    <n v="3"/>
    <x v="2"/>
    <n v="1"/>
    <x v="10"/>
    <n v="1"/>
    <s v="Male"/>
    <n v="84"/>
    <n v="4"/>
    <x v="1"/>
    <x v="2"/>
    <n v="2"/>
    <s v="Married"/>
    <n v="2426"/>
    <n v="16479"/>
    <n v="0"/>
    <s v="Y"/>
    <x v="1"/>
    <n v="13"/>
    <n v="3"/>
    <n v="3"/>
    <n v="80"/>
    <n v="1"/>
    <n v="6"/>
    <n v="5"/>
    <n v="3"/>
    <n v="5"/>
    <n v="4"/>
    <n v="0"/>
    <n v="3"/>
    <n v="0"/>
    <x v="2"/>
  </r>
  <r>
    <n v="29"/>
    <s v="No"/>
    <s v="Travel_Rarely"/>
    <n v="153"/>
    <x v="1"/>
    <n v="15"/>
    <n v="2"/>
    <x v="0"/>
    <n v="1"/>
    <x v="11"/>
    <n v="4"/>
    <s v="Female"/>
    <n v="49"/>
    <n v="2"/>
    <x v="0"/>
    <x v="2"/>
    <n v="3"/>
    <s v="Single"/>
    <n v="4193"/>
    <n v="12682"/>
    <n v="0"/>
    <s v="Y"/>
    <x v="0"/>
    <n v="12"/>
    <n v="3"/>
    <n v="4"/>
    <n v="80"/>
    <n v="0"/>
    <n v="10"/>
    <n v="3"/>
    <n v="3"/>
    <n v="9"/>
    <n v="5"/>
    <n v="0"/>
    <n v="8"/>
    <n v="0"/>
    <x v="2"/>
  </r>
  <r>
    <n v="31"/>
    <s v="No"/>
    <s v="Travel_Rarely"/>
    <n v="670"/>
    <x v="1"/>
    <n v="26"/>
    <n v="1"/>
    <x v="0"/>
    <n v="1"/>
    <x v="12"/>
    <n v="1"/>
    <s v="Male"/>
    <n v="31"/>
    <n v="3"/>
    <x v="1"/>
    <x v="1"/>
    <n v="3"/>
    <s v="Divorced"/>
    <n v="2911"/>
    <n v="15170"/>
    <n v="1"/>
    <s v="Y"/>
    <x v="1"/>
    <n v="17"/>
    <n v="3"/>
    <n v="4"/>
    <n v="80"/>
    <n v="1"/>
    <n v="5"/>
    <n v="1"/>
    <n v="2"/>
    <n v="5"/>
    <n v="2"/>
    <n v="4"/>
    <n v="3"/>
    <n v="0"/>
    <x v="2"/>
  </r>
  <r>
    <n v="34"/>
    <s v="No"/>
    <s v="Travel_Rarely"/>
    <n v="1346"/>
    <x v="1"/>
    <n v="19"/>
    <n v="2"/>
    <x v="2"/>
    <n v="1"/>
    <x v="13"/>
    <n v="2"/>
    <s v="Male"/>
    <n v="93"/>
    <n v="3"/>
    <x v="1"/>
    <x v="2"/>
    <n v="4"/>
    <s v="Divorced"/>
    <n v="2661"/>
    <n v="8758"/>
    <n v="0"/>
    <s v="Y"/>
    <x v="1"/>
    <n v="11"/>
    <n v="3"/>
    <n v="3"/>
    <n v="80"/>
    <n v="1"/>
    <n v="3"/>
    <n v="2"/>
    <n v="3"/>
    <n v="2"/>
    <n v="2"/>
    <n v="1"/>
    <n v="2"/>
    <n v="0"/>
    <x v="2"/>
  </r>
  <r>
    <n v="28"/>
    <s v="Yes"/>
    <s v="Travel_Rarely"/>
    <n v="103"/>
    <x v="1"/>
    <n v="24"/>
    <n v="3"/>
    <x v="0"/>
    <n v="1"/>
    <x v="14"/>
    <n v="3"/>
    <s v="Male"/>
    <n v="50"/>
    <n v="2"/>
    <x v="1"/>
    <x v="2"/>
    <n v="3"/>
    <s v="Single"/>
    <n v="2028"/>
    <n v="12947"/>
    <n v="5"/>
    <s v="Y"/>
    <x v="0"/>
    <n v="14"/>
    <n v="3"/>
    <n v="2"/>
    <n v="80"/>
    <n v="0"/>
    <n v="6"/>
    <n v="4"/>
    <n v="3"/>
    <n v="4"/>
    <n v="2"/>
    <n v="0"/>
    <n v="3"/>
    <n v="1"/>
    <x v="2"/>
  </r>
  <r>
    <n v="29"/>
    <s v="No"/>
    <s v="Travel_Rarely"/>
    <n v="1389"/>
    <x v="1"/>
    <n v="21"/>
    <n v="4"/>
    <x v="0"/>
    <n v="1"/>
    <x v="15"/>
    <n v="2"/>
    <s v="Female"/>
    <n v="51"/>
    <n v="4"/>
    <x v="2"/>
    <x v="3"/>
    <n v="1"/>
    <s v="Divorced"/>
    <n v="9980"/>
    <n v="10195"/>
    <n v="1"/>
    <s v="Y"/>
    <x v="1"/>
    <n v="11"/>
    <n v="3"/>
    <n v="3"/>
    <n v="80"/>
    <n v="1"/>
    <n v="10"/>
    <n v="1"/>
    <n v="3"/>
    <n v="10"/>
    <n v="9"/>
    <n v="8"/>
    <n v="8"/>
    <n v="0"/>
    <x v="2"/>
  </r>
  <r>
    <n v="32"/>
    <s v="No"/>
    <s v="Travel_Rarely"/>
    <n v="334"/>
    <x v="1"/>
    <n v="5"/>
    <n v="2"/>
    <x v="0"/>
    <n v="1"/>
    <x v="16"/>
    <n v="1"/>
    <s v="Male"/>
    <n v="80"/>
    <n v="4"/>
    <x v="1"/>
    <x v="1"/>
    <n v="2"/>
    <s v="Divorced"/>
    <n v="3298"/>
    <n v="15053"/>
    <n v="0"/>
    <s v="Y"/>
    <x v="0"/>
    <n v="12"/>
    <n v="3"/>
    <n v="4"/>
    <n v="80"/>
    <n v="2"/>
    <n v="7"/>
    <n v="5"/>
    <n v="2"/>
    <n v="6"/>
    <n v="2"/>
    <n v="0"/>
    <n v="5"/>
    <n v="0"/>
    <x v="2"/>
  </r>
  <r>
    <n v="22"/>
    <s v="No"/>
    <s v="Non-Travel"/>
    <n v="1123"/>
    <x v="1"/>
    <n v="16"/>
    <n v="2"/>
    <x v="2"/>
    <n v="1"/>
    <x v="17"/>
    <n v="4"/>
    <s v="Male"/>
    <n v="96"/>
    <n v="4"/>
    <x v="1"/>
    <x v="2"/>
    <n v="4"/>
    <s v="Divorced"/>
    <n v="2935"/>
    <n v="7324"/>
    <n v="1"/>
    <s v="Y"/>
    <x v="0"/>
    <n v="13"/>
    <n v="3"/>
    <n v="2"/>
    <n v="80"/>
    <n v="2"/>
    <n v="1"/>
    <n v="2"/>
    <n v="2"/>
    <n v="1"/>
    <n v="0"/>
    <n v="0"/>
    <n v="0"/>
    <n v="0"/>
    <x v="4"/>
  </r>
  <r>
    <n v="53"/>
    <s v="No"/>
    <s v="Travel_Rarely"/>
    <n v="1219"/>
    <x v="0"/>
    <n v="2"/>
    <n v="4"/>
    <x v="0"/>
    <n v="1"/>
    <x v="18"/>
    <n v="1"/>
    <s v="Female"/>
    <n v="78"/>
    <n v="2"/>
    <x v="3"/>
    <x v="5"/>
    <n v="4"/>
    <s v="Married"/>
    <n v="15427"/>
    <n v="22021"/>
    <n v="2"/>
    <s v="Y"/>
    <x v="1"/>
    <n v="16"/>
    <n v="3"/>
    <n v="3"/>
    <n v="80"/>
    <n v="0"/>
    <n v="31"/>
    <n v="3"/>
    <n v="3"/>
    <n v="25"/>
    <n v="8"/>
    <n v="3"/>
    <n v="7"/>
    <n v="0"/>
    <x v="1"/>
  </r>
  <r>
    <n v="38"/>
    <s v="No"/>
    <s v="Travel_Rarely"/>
    <n v="371"/>
    <x v="1"/>
    <n v="2"/>
    <n v="3"/>
    <x v="0"/>
    <n v="1"/>
    <x v="19"/>
    <n v="4"/>
    <s v="Male"/>
    <n v="45"/>
    <n v="3"/>
    <x v="1"/>
    <x v="1"/>
    <n v="4"/>
    <s v="Single"/>
    <n v="3944"/>
    <n v="4306"/>
    <n v="5"/>
    <s v="Y"/>
    <x v="0"/>
    <n v="11"/>
    <n v="3"/>
    <n v="3"/>
    <n v="80"/>
    <n v="0"/>
    <n v="6"/>
    <n v="3"/>
    <n v="3"/>
    <n v="3"/>
    <n v="2"/>
    <n v="1"/>
    <n v="2"/>
    <n v="0"/>
    <x v="0"/>
  </r>
  <r>
    <n v="24"/>
    <s v="No"/>
    <s v="Non-Travel"/>
    <n v="673"/>
    <x v="1"/>
    <n v="11"/>
    <n v="2"/>
    <x v="1"/>
    <n v="1"/>
    <x v="20"/>
    <n v="1"/>
    <s v="Female"/>
    <n v="96"/>
    <n v="4"/>
    <x v="0"/>
    <x v="3"/>
    <n v="3"/>
    <s v="Divorced"/>
    <n v="4011"/>
    <n v="8232"/>
    <n v="0"/>
    <s v="Y"/>
    <x v="1"/>
    <n v="18"/>
    <n v="3"/>
    <n v="4"/>
    <n v="80"/>
    <n v="1"/>
    <n v="5"/>
    <n v="5"/>
    <n v="2"/>
    <n v="4"/>
    <n v="2"/>
    <n v="1"/>
    <n v="3"/>
    <n v="0"/>
    <x v="4"/>
  </r>
  <r>
    <n v="36"/>
    <s v="Yes"/>
    <s v="Travel_Rarely"/>
    <n v="1218"/>
    <x v="0"/>
    <n v="9"/>
    <n v="4"/>
    <x v="0"/>
    <n v="1"/>
    <x v="21"/>
    <n v="3"/>
    <s v="Male"/>
    <n v="82"/>
    <n v="2"/>
    <x v="1"/>
    <x v="6"/>
    <n v="1"/>
    <s v="Single"/>
    <n v="3407"/>
    <n v="6986"/>
    <n v="7"/>
    <s v="Y"/>
    <x v="1"/>
    <n v="23"/>
    <n v="4"/>
    <n v="2"/>
    <n v="80"/>
    <n v="0"/>
    <n v="10"/>
    <n v="4"/>
    <n v="3"/>
    <n v="5"/>
    <n v="3"/>
    <n v="0"/>
    <n v="3"/>
    <n v="1"/>
    <x v="0"/>
  </r>
  <r>
    <n v="34"/>
    <s v="No"/>
    <s v="Travel_Rarely"/>
    <n v="419"/>
    <x v="1"/>
    <n v="7"/>
    <n v="4"/>
    <x v="0"/>
    <n v="1"/>
    <x v="22"/>
    <n v="1"/>
    <s v="Female"/>
    <n v="53"/>
    <n v="3"/>
    <x v="2"/>
    <x v="7"/>
    <n v="2"/>
    <s v="Single"/>
    <n v="11994"/>
    <n v="21293"/>
    <n v="0"/>
    <s v="Y"/>
    <x v="1"/>
    <n v="11"/>
    <n v="3"/>
    <n v="3"/>
    <n v="80"/>
    <n v="0"/>
    <n v="13"/>
    <n v="4"/>
    <n v="3"/>
    <n v="12"/>
    <n v="6"/>
    <n v="2"/>
    <n v="11"/>
    <n v="0"/>
    <x v="2"/>
  </r>
  <r>
    <n v="21"/>
    <s v="No"/>
    <s v="Travel_Rarely"/>
    <n v="391"/>
    <x v="1"/>
    <n v="15"/>
    <n v="2"/>
    <x v="0"/>
    <n v="1"/>
    <x v="23"/>
    <n v="3"/>
    <s v="Male"/>
    <n v="96"/>
    <n v="3"/>
    <x v="1"/>
    <x v="1"/>
    <n v="4"/>
    <s v="Single"/>
    <n v="1232"/>
    <n v="19281"/>
    <n v="1"/>
    <s v="Y"/>
    <x v="1"/>
    <n v="14"/>
    <n v="3"/>
    <n v="4"/>
    <n v="80"/>
    <n v="0"/>
    <n v="0"/>
    <n v="6"/>
    <n v="3"/>
    <n v="0"/>
    <n v="0"/>
    <n v="0"/>
    <n v="0"/>
    <n v="0"/>
    <x v="4"/>
  </r>
  <r>
    <n v="34"/>
    <s v="Yes"/>
    <s v="Travel_Rarely"/>
    <n v="699"/>
    <x v="1"/>
    <n v="6"/>
    <n v="1"/>
    <x v="2"/>
    <n v="1"/>
    <x v="24"/>
    <n v="2"/>
    <s v="Male"/>
    <n v="83"/>
    <n v="3"/>
    <x v="1"/>
    <x v="1"/>
    <n v="1"/>
    <s v="Single"/>
    <n v="2960"/>
    <n v="17102"/>
    <n v="2"/>
    <s v="Y"/>
    <x v="1"/>
    <n v="11"/>
    <n v="3"/>
    <n v="3"/>
    <n v="80"/>
    <n v="0"/>
    <n v="8"/>
    <n v="2"/>
    <n v="3"/>
    <n v="4"/>
    <n v="2"/>
    <n v="1"/>
    <n v="3"/>
    <n v="1"/>
    <x v="2"/>
  </r>
  <r>
    <n v="53"/>
    <s v="No"/>
    <s v="Travel_Rarely"/>
    <n v="1282"/>
    <x v="1"/>
    <n v="5"/>
    <n v="3"/>
    <x v="1"/>
    <n v="1"/>
    <x v="25"/>
    <n v="3"/>
    <s v="Female"/>
    <n v="58"/>
    <n v="3"/>
    <x v="4"/>
    <x v="5"/>
    <n v="3"/>
    <s v="Divorced"/>
    <n v="19094"/>
    <n v="10735"/>
    <n v="4"/>
    <s v="Y"/>
    <x v="1"/>
    <n v="11"/>
    <n v="3"/>
    <n v="4"/>
    <n v="80"/>
    <n v="1"/>
    <n v="26"/>
    <n v="3"/>
    <n v="2"/>
    <n v="14"/>
    <n v="13"/>
    <n v="4"/>
    <n v="8"/>
    <n v="0"/>
    <x v="1"/>
  </r>
  <r>
    <n v="32"/>
    <s v="Yes"/>
    <s v="Travel_Frequently"/>
    <n v="1125"/>
    <x v="1"/>
    <n v="16"/>
    <n v="1"/>
    <x v="0"/>
    <n v="1"/>
    <x v="26"/>
    <n v="2"/>
    <s v="Female"/>
    <n v="72"/>
    <n v="1"/>
    <x v="1"/>
    <x v="1"/>
    <n v="1"/>
    <s v="Single"/>
    <n v="3919"/>
    <n v="4681"/>
    <n v="1"/>
    <s v="Y"/>
    <x v="0"/>
    <n v="22"/>
    <n v="4"/>
    <n v="2"/>
    <n v="80"/>
    <n v="0"/>
    <n v="10"/>
    <n v="5"/>
    <n v="3"/>
    <n v="10"/>
    <n v="2"/>
    <n v="6"/>
    <n v="7"/>
    <n v="1"/>
    <x v="2"/>
  </r>
  <r>
    <n v="42"/>
    <s v="No"/>
    <s v="Travel_Rarely"/>
    <n v="691"/>
    <x v="0"/>
    <n v="8"/>
    <n v="4"/>
    <x v="3"/>
    <n v="1"/>
    <x v="27"/>
    <n v="3"/>
    <s v="Male"/>
    <n v="48"/>
    <n v="3"/>
    <x v="0"/>
    <x v="0"/>
    <n v="2"/>
    <s v="Married"/>
    <n v="6825"/>
    <n v="21173"/>
    <n v="0"/>
    <s v="Y"/>
    <x v="1"/>
    <n v="11"/>
    <n v="3"/>
    <n v="4"/>
    <n v="80"/>
    <n v="1"/>
    <n v="10"/>
    <n v="2"/>
    <n v="3"/>
    <n v="9"/>
    <n v="7"/>
    <n v="4"/>
    <n v="2"/>
    <n v="0"/>
    <x v="0"/>
  </r>
  <r>
    <n v="44"/>
    <s v="No"/>
    <s v="Travel_Rarely"/>
    <n v="477"/>
    <x v="1"/>
    <n v="7"/>
    <n v="4"/>
    <x v="2"/>
    <n v="1"/>
    <x v="28"/>
    <n v="1"/>
    <s v="Female"/>
    <n v="42"/>
    <n v="2"/>
    <x v="2"/>
    <x v="4"/>
    <n v="4"/>
    <s v="Married"/>
    <n v="10248"/>
    <n v="2094"/>
    <n v="3"/>
    <s v="Y"/>
    <x v="1"/>
    <n v="14"/>
    <n v="3"/>
    <n v="4"/>
    <n v="80"/>
    <n v="1"/>
    <n v="24"/>
    <n v="4"/>
    <n v="3"/>
    <n v="22"/>
    <n v="6"/>
    <n v="5"/>
    <n v="17"/>
    <n v="0"/>
    <x v="0"/>
  </r>
  <r>
    <n v="46"/>
    <s v="No"/>
    <s v="Travel_Rarely"/>
    <n v="705"/>
    <x v="0"/>
    <n v="2"/>
    <n v="4"/>
    <x v="3"/>
    <n v="1"/>
    <x v="29"/>
    <n v="2"/>
    <s v="Female"/>
    <n v="83"/>
    <n v="3"/>
    <x v="4"/>
    <x v="5"/>
    <n v="1"/>
    <s v="Single"/>
    <n v="18947"/>
    <n v="22822"/>
    <n v="3"/>
    <s v="Y"/>
    <x v="1"/>
    <n v="12"/>
    <n v="3"/>
    <n v="4"/>
    <n v="80"/>
    <n v="0"/>
    <n v="22"/>
    <n v="2"/>
    <n v="2"/>
    <n v="2"/>
    <n v="2"/>
    <n v="2"/>
    <n v="1"/>
    <n v="0"/>
    <x v="1"/>
  </r>
  <r>
    <n v="33"/>
    <s v="No"/>
    <s v="Travel_Rarely"/>
    <n v="924"/>
    <x v="1"/>
    <n v="2"/>
    <n v="3"/>
    <x v="2"/>
    <n v="1"/>
    <x v="30"/>
    <n v="3"/>
    <s v="Male"/>
    <n v="78"/>
    <n v="3"/>
    <x v="1"/>
    <x v="2"/>
    <n v="4"/>
    <s v="Single"/>
    <n v="2496"/>
    <n v="6670"/>
    <n v="4"/>
    <s v="Y"/>
    <x v="1"/>
    <n v="11"/>
    <n v="3"/>
    <n v="4"/>
    <n v="80"/>
    <n v="0"/>
    <n v="7"/>
    <n v="3"/>
    <n v="3"/>
    <n v="1"/>
    <n v="1"/>
    <n v="0"/>
    <n v="0"/>
    <n v="0"/>
    <x v="2"/>
  </r>
  <r>
    <n v="44"/>
    <s v="No"/>
    <s v="Travel_Rarely"/>
    <n v="1459"/>
    <x v="1"/>
    <n v="10"/>
    <n v="4"/>
    <x v="1"/>
    <n v="1"/>
    <x v="31"/>
    <n v="4"/>
    <s v="Male"/>
    <n v="41"/>
    <n v="3"/>
    <x v="0"/>
    <x v="4"/>
    <n v="4"/>
    <s v="Married"/>
    <n v="6465"/>
    <n v="19121"/>
    <n v="2"/>
    <s v="Y"/>
    <x v="0"/>
    <n v="13"/>
    <n v="3"/>
    <n v="4"/>
    <n v="80"/>
    <n v="0"/>
    <n v="9"/>
    <n v="5"/>
    <n v="4"/>
    <n v="4"/>
    <n v="2"/>
    <n v="1"/>
    <n v="3"/>
    <n v="0"/>
    <x v="0"/>
  </r>
  <r>
    <n v="30"/>
    <s v="No"/>
    <s v="Travel_Rarely"/>
    <n v="125"/>
    <x v="1"/>
    <n v="9"/>
    <n v="2"/>
    <x v="2"/>
    <n v="1"/>
    <x v="32"/>
    <n v="4"/>
    <s v="Male"/>
    <n v="83"/>
    <n v="2"/>
    <x v="1"/>
    <x v="2"/>
    <n v="3"/>
    <s v="Single"/>
    <n v="2206"/>
    <n v="16117"/>
    <n v="1"/>
    <s v="Y"/>
    <x v="1"/>
    <n v="13"/>
    <n v="3"/>
    <n v="1"/>
    <n v="80"/>
    <n v="0"/>
    <n v="10"/>
    <n v="5"/>
    <n v="3"/>
    <n v="10"/>
    <n v="0"/>
    <n v="1"/>
    <n v="8"/>
    <n v="0"/>
    <x v="2"/>
  </r>
  <r>
    <n v="39"/>
    <s v="Yes"/>
    <s v="Travel_Rarely"/>
    <n v="895"/>
    <x v="0"/>
    <n v="5"/>
    <n v="3"/>
    <x v="4"/>
    <n v="1"/>
    <x v="33"/>
    <n v="4"/>
    <s v="Male"/>
    <n v="56"/>
    <n v="3"/>
    <x v="0"/>
    <x v="6"/>
    <n v="4"/>
    <s v="Married"/>
    <n v="2086"/>
    <n v="3335"/>
    <n v="3"/>
    <s v="Y"/>
    <x v="1"/>
    <n v="14"/>
    <n v="3"/>
    <n v="3"/>
    <n v="80"/>
    <n v="1"/>
    <n v="19"/>
    <n v="6"/>
    <n v="4"/>
    <n v="1"/>
    <n v="0"/>
    <n v="0"/>
    <n v="0"/>
    <n v="1"/>
    <x v="0"/>
  </r>
  <r>
    <n v="24"/>
    <s v="Yes"/>
    <s v="Travel_Rarely"/>
    <n v="813"/>
    <x v="1"/>
    <n v="1"/>
    <n v="3"/>
    <x v="2"/>
    <n v="1"/>
    <x v="34"/>
    <n v="2"/>
    <s v="Male"/>
    <n v="61"/>
    <n v="3"/>
    <x v="1"/>
    <x v="1"/>
    <n v="4"/>
    <s v="Married"/>
    <n v="2293"/>
    <n v="3020"/>
    <n v="2"/>
    <s v="Y"/>
    <x v="0"/>
    <n v="16"/>
    <n v="3"/>
    <n v="1"/>
    <n v="80"/>
    <n v="1"/>
    <n v="6"/>
    <n v="2"/>
    <n v="2"/>
    <n v="2"/>
    <n v="0"/>
    <n v="2"/>
    <n v="0"/>
    <n v="1"/>
    <x v="4"/>
  </r>
  <r>
    <n v="43"/>
    <s v="No"/>
    <s v="Travel_Rarely"/>
    <n v="1273"/>
    <x v="1"/>
    <n v="2"/>
    <n v="2"/>
    <x v="2"/>
    <n v="1"/>
    <x v="35"/>
    <n v="4"/>
    <s v="Female"/>
    <n v="72"/>
    <n v="4"/>
    <x v="1"/>
    <x v="1"/>
    <n v="3"/>
    <s v="Divorced"/>
    <n v="2645"/>
    <n v="21923"/>
    <n v="1"/>
    <s v="Y"/>
    <x v="1"/>
    <n v="12"/>
    <n v="3"/>
    <n v="4"/>
    <n v="80"/>
    <n v="2"/>
    <n v="6"/>
    <n v="3"/>
    <n v="2"/>
    <n v="5"/>
    <n v="3"/>
    <n v="1"/>
    <n v="4"/>
    <n v="0"/>
    <x v="0"/>
  </r>
  <r>
    <n v="50"/>
    <s v="Yes"/>
    <s v="Travel_Rarely"/>
    <n v="869"/>
    <x v="0"/>
    <n v="3"/>
    <n v="2"/>
    <x v="3"/>
    <n v="1"/>
    <x v="36"/>
    <n v="1"/>
    <s v="Male"/>
    <n v="86"/>
    <n v="2"/>
    <x v="1"/>
    <x v="6"/>
    <n v="3"/>
    <s v="Married"/>
    <n v="2683"/>
    <n v="3810"/>
    <n v="1"/>
    <s v="Y"/>
    <x v="0"/>
    <n v="14"/>
    <n v="3"/>
    <n v="3"/>
    <n v="80"/>
    <n v="0"/>
    <n v="3"/>
    <n v="2"/>
    <n v="3"/>
    <n v="3"/>
    <n v="2"/>
    <n v="0"/>
    <n v="2"/>
    <n v="1"/>
    <x v="1"/>
  </r>
  <r>
    <n v="35"/>
    <s v="No"/>
    <s v="Travel_Rarely"/>
    <n v="890"/>
    <x v="0"/>
    <n v="2"/>
    <n v="3"/>
    <x v="3"/>
    <n v="1"/>
    <x v="37"/>
    <n v="4"/>
    <s v="Female"/>
    <n v="97"/>
    <n v="3"/>
    <x v="1"/>
    <x v="6"/>
    <n v="4"/>
    <s v="Married"/>
    <n v="2014"/>
    <n v="9687"/>
    <n v="1"/>
    <s v="Y"/>
    <x v="1"/>
    <n v="13"/>
    <n v="3"/>
    <n v="1"/>
    <n v="80"/>
    <n v="0"/>
    <n v="2"/>
    <n v="3"/>
    <n v="3"/>
    <n v="2"/>
    <n v="2"/>
    <n v="2"/>
    <n v="2"/>
    <n v="0"/>
    <x v="2"/>
  </r>
  <r>
    <n v="36"/>
    <s v="No"/>
    <s v="Travel_Rarely"/>
    <n v="852"/>
    <x v="1"/>
    <n v="5"/>
    <n v="4"/>
    <x v="0"/>
    <n v="1"/>
    <x v="38"/>
    <n v="2"/>
    <s v="Female"/>
    <n v="82"/>
    <n v="2"/>
    <x v="1"/>
    <x v="1"/>
    <n v="1"/>
    <s v="Married"/>
    <n v="3419"/>
    <n v="13072"/>
    <n v="9"/>
    <s v="Y"/>
    <x v="0"/>
    <n v="14"/>
    <n v="3"/>
    <n v="4"/>
    <n v="80"/>
    <n v="1"/>
    <n v="6"/>
    <n v="3"/>
    <n v="4"/>
    <n v="1"/>
    <n v="1"/>
    <n v="0"/>
    <n v="0"/>
    <n v="0"/>
    <x v="0"/>
  </r>
  <r>
    <n v="33"/>
    <s v="No"/>
    <s v="Travel_Frequently"/>
    <n v="1141"/>
    <x v="0"/>
    <n v="1"/>
    <n v="3"/>
    <x v="0"/>
    <n v="1"/>
    <x v="39"/>
    <n v="3"/>
    <s v="Female"/>
    <n v="42"/>
    <n v="4"/>
    <x v="0"/>
    <x v="0"/>
    <n v="1"/>
    <s v="Married"/>
    <n v="5376"/>
    <n v="3193"/>
    <n v="2"/>
    <s v="Y"/>
    <x v="1"/>
    <n v="19"/>
    <n v="3"/>
    <n v="1"/>
    <n v="80"/>
    <n v="2"/>
    <n v="10"/>
    <n v="3"/>
    <n v="3"/>
    <n v="5"/>
    <n v="3"/>
    <n v="1"/>
    <n v="3"/>
    <n v="0"/>
    <x v="2"/>
  </r>
  <r>
    <n v="35"/>
    <s v="No"/>
    <s v="Travel_Rarely"/>
    <n v="464"/>
    <x v="1"/>
    <n v="4"/>
    <n v="2"/>
    <x v="1"/>
    <n v="1"/>
    <x v="40"/>
    <n v="3"/>
    <s v="Male"/>
    <n v="75"/>
    <n v="3"/>
    <x v="1"/>
    <x v="2"/>
    <n v="4"/>
    <s v="Divorced"/>
    <n v="1951"/>
    <n v="10910"/>
    <n v="1"/>
    <s v="Y"/>
    <x v="1"/>
    <n v="12"/>
    <n v="3"/>
    <n v="3"/>
    <n v="80"/>
    <n v="1"/>
    <n v="1"/>
    <n v="3"/>
    <n v="3"/>
    <n v="1"/>
    <n v="0"/>
    <n v="0"/>
    <n v="0"/>
    <n v="0"/>
    <x v="2"/>
  </r>
  <r>
    <n v="27"/>
    <s v="No"/>
    <s v="Travel_Rarely"/>
    <n v="1240"/>
    <x v="1"/>
    <n v="2"/>
    <n v="4"/>
    <x v="0"/>
    <n v="1"/>
    <x v="41"/>
    <n v="4"/>
    <s v="Female"/>
    <n v="33"/>
    <n v="3"/>
    <x v="1"/>
    <x v="2"/>
    <n v="1"/>
    <s v="Divorced"/>
    <n v="2341"/>
    <n v="19715"/>
    <n v="1"/>
    <s v="Y"/>
    <x v="1"/>
    <n v="13"/>
    <n v="3"/>
    <n v="4"/>
    <n v="80"/>
    <n v="1"/>
    <n v="1"/>
    <n v="6"/>
    <n v="3"/>
    <n v="1"/>
    <n v="0"/>
    <n v="0"/>
    <n v="0"/>
    <n v="0"/>
    <x v="2"/>
  </r>
  <r>
    <n v="26"/>
    <s v="Yes"/>
    <s v="Travel_Rarely"/>
    <n v="1357"/>
    <x v="1"/>
    <n v="25"/>
    <n v="3"/>
    <x v="0"/>
    <n v="1"/>
    <x v="42"/>
    <n v="1"/>
    <s v="Male"/>
    <n v="48"/>
    <n v="1"/>
    <x v="1"/>
    <x v="2"/>
    <n v="3"/>
    <s v="Single"/>
    <n v="2293"/>
    <n v="10558"/>
    <n v="1"/>
    <s v="Y"/>
    <x v="1"/>
    <n v="12"/>
    <n v="3"/>
    <n v="3"/>
    <n v="80"/>
    <n v="0"/>
    <n v="1"/>
    <n v="2"/>
    <n v="2"/>
    <n v="1"/>
    <n v="0"/>
    <n v="0"/>
    <n v="1"/>
    <n v="1"/>
    <x v="2"/>
  </r>
  <r>
    <n v="27"/>
    <s v="No"/>
    <s v="Travel_Frequently"/>
    <n v="994"/>
    <x v="0"/>
    <n v="8"/>
    <n v="3"/>
    <x v="0"/>
    <n v="1"/>
    <x v="43"/>
    <n v="4"/>
    <s v="Male"/>
    <n v="37"/>
    <n v="3"/>
    <x v="2"/>
    <x v="0"/>
    <n v="3"/>
    <s v="Single"/>
    <n v="8726"/>
    <n v="2975"/>
    <n v="1"/>
    <s v="Y"/>
    <x v="1"/>
    <n v="15"/>
    <n v="3"/>
    <n v="4"/>
    <n v="80"/>
    <n v="0"/>
    <n v="9"/>
    <n v="0"/>
    <n v="3"/>
    <n v="9"/>
    <n v="8"/>
    <n v="1"/>
    <n v="7"/>
    <n v="0"/>
    <x v="2"/>
  </r>
  <r>
    <n v="30"/>
    <s v="No"/>
    <s v="Travel_Frequently"/>
    <n v="721"/>
    <x v="1"/>
    <n v="1"/>
    <n v="2"/>
    <x v="2"/>
    <n v="1"/>
    <x v="44"/>
    <n v="3"/>
    <s v="Female"/>
    <n v="58"/>
    <n v="3"/>
    <x v="0"/>
    <x v="2"/>
    <n v="4"/>
    <s v="Single"/>
    <n v="4011"/>
    <n v="10781"/>
    <n v="1"/>
    <s v="Y"/>
    <x v="1"/>
    <n v="23"/>
    <n v="4"/>
    <n v="4"/>
    <n v="80"/>
    <n v="0"/>
    <n v="12"/>
    <n v="2"/>
    <n v="3"/>
    <n v="12"/>
    <n v="8"/>
    <n v="3"/>
    <n v="7"/>
    <n v="0"/>
    <x v="2"/>
  </r>
  <r>
    <n v="41"/>
    <s v="Yes"/>
    <s v="Travel_Rarely"/>
    <n v="1360"/>
    <x v="1"/>
    <n v="12"/>
    <n v="3"/>
    <x v="4"/>
    <n v="1"/>
    <x v="45"/>
    <n v="2"/>
    <s v="Female"/>
    <n v="49"/>
    <n v="3"/>
    <x v="4"/>
    <x v="7"/>
    <n v="3"/>
    <s v="Married"/>
    <n v="19545"/>
    <n v="16280"/>
    <n v="1"/>
    <s v="Y"/>
    <x v="1"/>
    <n v="12"/>
    <n v="3"/>
    <n v="4"/>
    <n v="80"/>
    <n v="0"/>
    <n v="23"/>
    <n v="0"/>
    <n v="3"/>
    <n v="22"/>
    <n v="15"/>
    <n v="15"/>
    <n v="8"/>
    <n v="1"/>
    <x v="0"/>
  </r>
  <r>
    <n v="34"/>
    <s v="No"/>
    <s v="Non-Travel"/>
    <n v="1065"/>
    <x v="0"/>
    <n v="23"/>
    <n v="4"/>
    <x v="3"/>
    <n v="1"/>
    <x v="46"/>
    <n v="2"/>
    <s v="Male"/>
    <n v="72"/>
    <n v="3"/>
    <x v="0"/>
    <x v="0"/>
    <n v="3"/>
    <s v="Single"/>
    <n v="4568"/>
    <n v="10034"/>
    <n v="0"/>
    <s v="Y"/>
    <x v="1"/>
    <n v="20"/>
    <n v="4"/>
    <n v="3"/>
    <n v="80"/>
    <n v="0"/>
    <n v="10"/>
    <n v="2"/>
    <n v="3"/>
    <n v="9"/>
    <n v="5"/>
    <n v="8"/>
    <n v="7"/>
    <n v="0"/>
    <x v="2"/>
  </r>
  <r>
    <n v="37"/>
    <s v="No"/>
    <s v="Travel_Rarely"/>
    <n v="408"/>
    <x v="1"/>
    <n v="19"/>
    <n v="2"/>
    <x v="0"/>
    <n v="1"/>
    <x v="47"/>
    <n v="2"/>
    <s v="Male"/>
    <n v="73"/>
    <n v="3"/>
    <x v="1"/>
    <x v="1"/>
    <n v="2"/>
    <s v="Married"/>
    <n v="3022"/>
    <n v="10227"/>
    <n v="4"/>
    <s v="Y"/>
    <x v="1"/>
    <n v="21"/>
    <n v="4"/>
    <n v="1"/>
    <n v="80"/>
    <n v="0"/>
    <n v="8"/>
    <n v="1"/>
    <n v="3"/>
    <n v="1"/>
    <n v="0"/>
    <n v="0"/>
    <n v="0"/>
    <n v="0"/>
    <x v="0"/>
  </r>
  <r>
    <n v="46"/>
    <s v="No"/>
    <s v="Travel_Frequently"/>
    <n v="1211"/>
    <x v="0"/>
    <n v="5"/>
    <n v="4"/>
    <x v="3"/>
    <n v="1"/>
    <x v="48"/>
    <n v="1"/>
    <s v="Male"/>
    <n v="98"/>
    <n v="3"/>
    <x v="0"/>
    <x v="0"/>
    <n v="4"/>
    <s v="Single"/>
    <n v="5772"/>
    <n v="20445"/>
    <n v="4"/>
    <s v="Y"/>
    <x v="0"/>
    <n v="21"/>
    <n v="4"/>
    <n v="3"/>
    <n v="80"/>
    <n v="0"/>
    <n v="14"/>
    <n v="4"/>
    <n v="3"/>
    <n v="9"/>
    <n v="6"/>
    <n v="0"/>
    <n v="8"/>
    <n v="0"/>
    <x v="1"/>
  </r>
  <r>
    <n v="35"/>
    <s v="No"/>
    <s v="Travel_Rarely"/>
    <n v="1229"/>
    <x v="1"/>
    <n v="8"/>
    <n v="1"/>
    <x v="0"/>
    <n v="1"/>
    <x v="49"/>
    <n v="4"/>
    <s v="Male"/>
    <n v="36"/>
    <n v="4"/>
    <x v="1"/>
    <x v="2"/>
    <n v="4"/>
    <s v="Married"/>
    <n v="2269"/>
    <n v="4892"/>
    <n v="1"/>
    <s v="Y"/>
    <x v="1"/>
    <n v="19"/>
    <n v="3"/>
    <n v="4"/>
    <n v="80"/>
    <n v="0"/>
    <n v="1"/>
    <n v="2"/>
    <n v="3"/>
    <n v="1"/>
    <n v="0"/>
    <n v="0"/>
    <n v="1"/>
    <n v="0"/>
    <x v="2"/>
  </r>
  <r>
    <n v="48"/>
    <s v="Yes"/>
    <s v="Travel_Rarely"/>
    <n v="626"/>
    <x v="1"/>
    <n v="1"/>
    <n v="2"/>
    <x v="0"/>
    <n v="1"/>
    <x v="50"/>
    <n v="1"/>
    <s v="Male"/>
    <n v="98"/>
    <n v="2"/>
    <x v="2"/>
    <x v="2"/>
    <n v="3"/>
    <s v="Single"/>
    <n v="5381"/>
    <n v="19294"/>
    <n v="9"/>
    <s v="Y"/>
    <x v="0"/>
    <n v="13"/>
    <n v="3"/>
    <n v="4"/>
    <n v="80"/>
    <n v="0"/>
    <n v="23"/>
    <n v="2"/>
    <n v="3"/>
    <n v="1"/>
    <n v="0"/>
    <n v="0"/>
    <n v="0"/>
    <n v="1"/>
    <x v="1"/>
  </r>
  <r>
    <n v="28"/>
    <s v="Yes"/>
    <s v="Travel_Rarely"/>
    <n v="1434"/>
    <x v="1"/>
    <n v="5"/>
    <n v="4"/>
    <x v="4"/>
    <n v="1"/>
    <x v="51"/>
    <n v="3"/>
    <s v="Male"/>
    <n v="50"/>
    <n v="3"/>
    <x v="1"/>
    <x v="2"/>
    <n v="3"/>
    <s v="Single"/>
    <n v="3441"/>
    <n v="11179"/>
    <n v="1"/>
    <s v="Y"/>
    <x v="0"/>
    <n v="13"/>
    <n v="3"/>
    <n v="3"/>
    <n v="80"/>
    <n v="0"/>
    <n v="2"/>
    <n v="3"/>
    <n v="2"/>
    <n v="2"/>
    <n v="2"/>
    <n v="2"/>
    <n v="2"/>
    <n v="1"/>
    <x v="2"/>
  </r>
  <r>
    <n v="44"/>
    <s v="No"/>
    <s v="Travel_Rarely"/>
    <n v="1488"/>
    <x v="0"/>
    <n v="1"/>
    <n v="5"/>
    <x v="3"/>
    <n v="1"/>
    <x v="52"/>
    <n v="2"/>
    <s v="Female"/>
    <n v="75"/>
    <n v="3"/>
    <x v="0"/>
    <x v="0"/>
    <n v="1"/>
    <s v="Divorced"/>
    <n v="5454"/>
    <n v="4009"/>
    <n v="5"/>
    <s v="Y"/>
    <x v="0"/>
    <n v="21"/>
    <n v="4"/>
    <n v="3"/>
    <n v="80"/>
    <n v="1"/>
    <n v="9"/>
    <n v="2"/>
    <n v="2"/>
    <n v="4"/>
    <n v="3"/>
    <n v="1"/>
    <n v="3"/>
    <n v="0"/>
    <x v="0"/>
  </r>
  <r>
    <n v="35"/>
    <s v="No"/>
    <s v="Non-Travel"/>
    <n v="1097"/>
    <x v="1"/>
    <n v="11"/>
    <n v="2"/>
    <x v="2"/>
    <n v="1"/>
    <x v="53"/>
    <n v="3"/>
    <s v="Male"/>
    <n v="79"/>
    <n v="2"/>
    <x v="2"/>
    <x v="4"/>
    <n v="1"/>
    <s v="Married"/>
    <n v="9884"/>
    <n v="8302"/>
    <n v="2"/>
    <s v="Y"/>
    <x v="0"/>
    <n v="13"/>
    <n v="3"/>
    <n v="3"/>
    <n v="80"/>
    <n v="1"/>
    <n v="10"/>
    <n v="3"/>
    <n v="3"/>
    <n v="4"/>
    <n v="0"/>
    <n v="2"/>
    <n v="3"/>
    <n v="0"/>
    <x v="2"/>
  </r>
  <r>
    <n v="26"/>
    <s v="No"/>
    <s v="Travel_Rarely"/>
    <n v="1443"/>
    <x v="0"/>
    <n v="23"/>
    <n v="3"/>
    <x v="3"/>
    <n v="1"/>
    <x v="54"/>
    <n v="3"/>
    <s v="Female"/>
    <n v="47"/>
    <n v="2"/>
    <x v="0"/>
    <x v="0"/>
    <n v="4"/>
    <s v="Married"/>
    <n v="4157"/>
    <n v="21436"/>
    <n v="7"/>
    <s v="Y"/>
    <x v="0"/>
    <n v="19"/>
    <n v="3"/>
    <n v="3"/>
    <n v="80"/>
    <n v="1"/>
    <n v="5"/>
    <n v="2"/>
    <n v="2"/>
    <n v="2"/>
    <n v="2"/>
    <n v="0"/>
    <n v="0"/>
    <n v="0"/>
    <x v="2"/>
  </r>
  <r>
    <n v="33"/>
    <s v="No"/>
    <s v="Travel_Frequently"/>
    <n v="515"/>
    <x v="1"/>
    <n v="1"/>
    <n v="2"/>
    <x v="0"/>
    <n v="1"/>
    <x v="55"/>
    <n v="1"/>
    <s v="Female"/>
    <n v="98"/>
    <n v="3"/>
    <x v="2"/>
    <x v="7"/>
    <n v="4"/>
    <s v="Single"/>
    <n v="13458"/>
    <n v="15146"/>
    <n v="1"/>
    <s v="Y"/>
    <x v="0"/>
    <n v="12"/>
    <n v="3"/>
    <n v="3"/>
    <n v="80"/>
    <n v="0"/>
    <n v="15"/>
    <n v="1"/>
    <n v="3"/>
    <n v="15"/>
    <n v="14"/>
    <n v="8"/>
    <n v="12"/>
    <n v="0"/>
    <x v="2"/>
  </r>
  <r>
    <n v="35"/>
    <s v="No"/>
    <s v="Travel_Frequently"/>
    <n v="853"/>
    <x v="0"/>
    <n v="18"/>
    <n v="5"/>
    <x v="0"/>
    <n v="1"/>
    <x v="56"/>
    <n v="2"/>
    <s v="Male"/>
    <n v="71"/>
    <n v="3"/>
    <x v="2"/>
    <x v="0"/>
    <n v="1"/>
    <s v="Married"/>
    <n v="9069"/>
    <n v="11031"/>
    <n v="1"/>
    <s v="Y"/>
    <x v="1"/>
    <n v="22"/>
    <n v="4"/>
    <n v="4"/>
    <n v="80"/>
    <n v="1"/>
    <n v="9"/>
    <n v="3"/>
    <n v="2"/>
    <n v="9"/>
    <n v="8"/>
    <n v="1"/>
    <n v="8"/>
    <n v="0"/>
    <x v="2"/>
  </r>
  <r>
    <n v="35"/>
    <s v="No"/>
    <s v="Travel_Rarely"/>
    <n v="1142"/>
    <x v="1"/>
    <n v="23"/>
    <n v="4"/>
    <x v="2"/>
    <n v="1"/>
    <x v="57"/>
    <n v="3"/>
    <s v="Female"/>
    <n v="30"/>
    <n v="3"/>
    <x v="1"/>
    <x v="2"/>
    <n v="1"/>
    <s v="Married"/>
    <n v="4014"/>
    <n v="16002"/>
    <n v="3"/>
    <s v="Y"/>
    <x v="0"/>
    <n v="15"/>
    <n v="3"/>
    <n v="3"/>
    <n v="80"/>
    <n v="1"/>
    <n v="4"/>
    <n v="3"/>
    <n v="3"/>
    <n v="2"/>
    <n v="2"/>
    <n v="2"/>
    <n v="2"/>
    <n v="0"/>
    <x v="2"/>
  </r>
  <r>
    <n v="31"/>
    <s v="No"/>
    <s v="Travel_Rarely"/>
    <n v="655"/>
    <x v="1"/>
    <n v="7"/>
    <n v="4"/>
    <x v="0"/>
    <n v="1"/>
    <x v="58"/>
    <n v="4"/>
    <s v="Male"/>
    <n v="48"/>
    <n v="3"/>
    <x v="0"/>
    <x v="2"/>
    <n v="4"/>
    <s v="Divorced"/>
    <n v="5915"/>
    <n v="9528"/>
    <n v="3"/>
    <s v="Y"/>
    <x v="1"/>
    <n v="22"/>
    <n v="4"/>
    <n v="4"/>
    <n v="80"/>
    <n v="1"/>
    <n v="10"/>
    <n v="3"/>
    <n v="2"/>
    <n v="7"/>
    <n v="7"/>
    <n v="1"/>
    <n v="7"/>
    <n v="0"/>
    <x v="2"/>
  </r>
  <r>
    <n v="37"/>
    <s v="No"/>
    <s v="Travel_Rarely"/>
    <n v="1115"/>
    <x v="1"/>
    <n v="1"/>
    <n v="4"/>
    <x v="0"/>
    <n v="1"/>
    <x v="59"/>
    <n v="1"/>
    <s v="Male"/>
    <n v="51"/>
    <n v="2"/>
    <x v="0"/>
    <x v="3"/>
    <n v="3"/>
    <s v="Divorced"/>
    <n v="5993"/>
    <n v="2689"/>
    <n v="1"/>
    <s v="Y"/>
    <x v="1"/>
    <n v="18"/>
    <n v="3"/>
    <n v="3"/>
    <n v="80"/>
    <n v="1"/>
    <n v="7"/>
    <n v="2"/>
    <n v="4"/>
    <n v="7"/>
    <n v="5"/>
    <n v="0"/>
    <n v="7"/>
    <n v="0"/>
    <x v="0"/>
  </r>
  <r>
    <n v="32"/>
    <s v="No"/>
    <s v="Travel_Rarely"/>
    <n v="427"/>
    <x v="1"/>
    <n v="1"/>
    <n v="3"/>
    <x v="2"/>
    <n v="1"/>
    <x v="60"/>
    <n v="1"/>
    <s v="Male"/>
    <n v="33"/>
    <n v="3"/>
    <x v="0"/>
    <x v="3"/>
    <n v="4"/>
    <s v="Married"/>
    <n v="6162"/>
    <n v="10877"/>
    <n v="1"/>
    <s v="Y"/>
    <x v="0"/>
    <n v="22"/>
    <n v="4"/>
    <n v="2"/>
    <n v="80"/>
    <n v="1"/>
    <n v="9"/>
    <n v="3"/>
    <n v="3"/>
    <n v="9"/>
    <n v="8"/>
    <n v="7"/>
    <n v="8"/>
    <n v="0"/>
    <x v="2"/>
  </r>
  <r>
    <n v="38"/>
    <s v="No"/>
    <s v="Travel_Frequently"/>
    <n v="653"/>
    <x v="1"/>
    <n v="29"/>
    <n v="5"/>
    <x v="0"/>
    <n v="1"/>
    <x v="61"/>
    <n v="4"/>
    <s v="Female"/>
    <n v="50"/>
    <n v="3"/>
    <x v="0"/>
    <x v="2"/>
    <n v="4"/>
    <s v="Single"/>
    <n v="2406"/>
    <n v="5456"/>
    <n v="1"/>
    <s v="Y"/>
    <x v="1"/>
    <n v="11"/>
    <n v="3"/>
    <n v="4"/>
    <n v="80"/>
    <n v="0"/>
    <n v="10"/>
    <n v="2"/>
    <n v="3"/>
    <n v="10"/>
    <n v="3"/>
    <n v="9"/>
    <n v="9"/>
    <n v="0"/>
    <x v="0"/>
  </r>
  <r>
    <n v="50"/>
    <s v="No"/>
    <s v="Travel_Rarely"/>
    <n v="989"/>
    <x v="1"/>
    <n v="7"/>
    <n v="2"/>
    <x v="2"/>
    <n v="1"/>
    <x v="62"/>
    <n v="2"/>
    <s v="Female"/>
    <n v="43"/>
    <n v="2"/>
    <x v="4"/>
    <x v="7"/>
    <n v="3"/>
    <s v="Divorced"/>
    <n v="18740"/>
    <n v="16701"/>
    <n v="5"/>
    <s v="Y"/>
    <x v="0"/>
    <n v="12"/>
    <n v="3"/>
    <n v="4"/>
    <n v="80"/>
    <n v="1"/>
    <n v="29"/>
    <n v="2"/>
    <n v="2"/>
    <n v="27"/>
    <n v="3"/>
    <n v="13"/>
    <n v="8"/>
    <n v="0"/>
    <x v="1"/>
  </r>
  <r>
    <n v="59"/>
    <s v="No"/>
    <s v="Travel_Rarely"/>
    <n v="1435"/>
    <x v="0"/>
    <n v="25"/>
    <n v="3"/>
    <x v="0"/>
    <n v="1"/>
    <x v="63"/>
    <n v="1"/>
    <s v="Female"/>
    <n v="99"/>
    <n v="3"/>
    <x v="2"/>
    <x v="0"/>
    <n v="1"/>
    <s v="Single"/>
    <n v="7637"/>
    <n v="2354"/>
    <n v="7"/>
    <s v="Y"/>
    <x v="1"/>
    <n v="11"/>
    <n v="3"/>
    <n v="4"/>
    <n v="80"/>
    <n v="0"/>
    <n v="28"/>
    <n v="3"/>
    <n v="2"/>
    <n v="21"/>
    <n v="16"/>
    <n v="7"/>
    <n v="9"/>
    <n v="0"/>
    <x v="3"/>
  </r>
  <r>
    <n v="36"/>
    <s v="No"/>
    <s v="Travel_Rarely"/>
    <n v="1223"/>
    <x v="1"/>
    <n v="8"/>
    <n v="3"/>
    <x v="4"/>
    <n v="1"/>
    <x v="64"/>
    <n v="3"/>
    <s v="Female"/>
    <n v="59"/>
    <n v="3"/>
    <x v="2"/>
    <x v="4"/>
    <n v="3"/>
    <s v="Divorced"/>
    <n v="10096"/>
    <n v="8202"/>
    <n v="1"/>
    <s v="Y"/>
    <x v="1"/>
    <n v="13"/>
    <n v="3"/>
    <n v="2"/>
    <n v="80"/>
    <n v="3"/>
    <n v="17"/>
    <n v="2"/>
    <n v="3"/>
    <n v="17"/>
    <n v="14"/>
    <n v="12"/>
    <n v="8"/>
    <n v="0"/>
    <x v="0"/>
  </r>
  <r>
    <n v="55"/>
    <s v="No"/>
    <s v="Travel_Rarely"/>
    <n v="836"/>
    <x v="1"/>
    <n v="8"/>
    <n v="3"/>
    <x v="2"/>
    <n v="1"/>
    <x v="65"/>
    <n v="4"/>
    <s v="Female"/>
    <n v="33"/>
    <n v="3"/>
    <x v="3"/>
    <x v="5"/>
    <n v="3"/>
    <s v="Divorced"/>
    <n v="14756"/>
    <n v="19730"/>
    <n v="2"/>
    <s v="Y"/>
    <x v="0"/>
    <n v="14"/>
    <n v="3"/>
    <n v="3"/>
    <n v="80"/>
    <n v="3"/>
    <n v="21"/>
    <n v="2"/>
    <n v="3"/>
    <n v="5"/>
    <n v="0"/>
    <n v="0"/>
    <n v="2"/>
    <n v="0"/>
    <x v="1"/>
  </r>
  <r>
    <n v="36"/>
    <s v="No"/>
    <s v="Travel_Frequently"/>
    <n v="1195"/>
    <x v="1"/>
    <n v="11"/>
    <n v="3"/>
    <x v="0"/>
    <n v="1"/>
    <x v="66"/>
    <n v="2"/>
    <s v="Male"/>
    <n v="95"/>
    <n v="2"/>
    <x v="0"/>
    <x v="3"/>
    <n v="2"/>
    <s v="Single"/>
    <n v="6499"/>
    <n v="22656"/>
    <n v="1"/>
    <s v="Y"/>
    <x v="1"/>
    <n v="13"/>
    <n v="3"/>
    <n v="3"/>
    <n v="80"/>
    <n v="0"/>
    <n v="6"/>
    <n v="3"/>
    <n v="3"/>
    <n v="6"/>
    <n v="5"/>
    <n v="0"/>
    <n v="3"/>
    <n v="0"/>
    <x v="0"/>
  </r>
  <r>
    <n v="45"/>
    <s v="No"/>
    <s v="Travel_Rarely"/>
    <n v="1339"/>
    <x v="1"/>
    <n v="7"/>
    <n v="3"/>
    <x v="0"/>
    <n v="1"/>
    <x v="67"/>
    <n v="2"/>
    <s v="Male"/>
    <n v="59"/>
    <n v="3"/>
    <x v="2"/>
    <x v="1"/>
    <n v="1"/>
    <s v="Divorced"/>
    <n v="9724"/>
    <n v="18787"/>
    <n v="2"/>
    <s v="Y"/>
    <x v="1"/>
    <n v="17"/>
    <n v="3"/>
    <n v="3"/>
    <n v="80"/>
    <n v="1"/>
    <n v="25"/>
    <n v="2"/>
    <n v="3"/>
    <n v="1"/>
    <n v="0"/>
    <n v="0"/>
    <n v="0"/>
    <n v="0"/>
    <x v="0"/>
  </r>
  <r>
    <n v="35"/>
    <s v="No"/>
    <s v="Travel_Frequently"/>
    <n v="664"/>
    <x v="1"/>
    <n v="1"/>
    <n v="3"/>
    <x v="2"/>
    <n v="1"/>
    <x v="68"/>
    <n v="2"/>
    <s v="Male"/>
    <n v="79"/>
    <n v="3"/>
    <x v="1"/>
    <x v="1"/>
    <n v="1"/>
    <s v="Married"/>
    <n v="2194"/>
    <n v="5868"/>
    <n v="4"/>
    <s v="Y"/>
    <x v="1"/>
    <n v="13"/>
    <n v="3"/>
    <n v="4"/>
    <n v="80"/>
    <n v="1"/>
    <n v="5"/>
    <n v="2"/>
    <n v="2"/>
    <n v="3"/>
    <n v="2"/>
    <n v="1"/>
    <n v="2"/>
    <n v="0"/>
    <x v="2"/>
  </r>
  <r>
    <n v="36"/>
    <s v="Yes"/>
    <s v="Travel_Rarely"/>
    <n v="318"/>
    <x v="1"/>
    <n v="9"/>
    <n v="3"/>
    <x v="2"/>
    <n v="1"/>
    <x v="69"/>
    <n v="4"/>
    <s v="Male"/>
    <n v="79"/>
    <n v="2"/>
    <x v="1"/>
    <x v="1"/>
    <n v="3"/>
    <s v="Married"/>
    <n v="3388"/>
    <n v="21777"/>
    <n v="0"/>
    <s v="Y"/>
    <x v="0"/>
    <n v="17"/>
    <n v="3"/>
    <n v="1"/>
    <n v="80"/>
    <n v="1"/>
    <n v="2"/>
    <n v="0"/>
    <n v="2"/>
    <n v="1"/>
    <n v="0"/>
    <n v="0"/>
    <n v="0"/>
    <n v="1"/>
    <x v="0"/>
  </r>
  <r>
    <n v="59"/>
    <s v="No"/>
    <s v="Travel_Frequently"/>
    <n v="1225"/>
    <x v="0"/>
    <n v="1"/>
    <n v="1"/>
    <x v="0"/>
    <n v="1"/>
    <x v="70"/>
    <n v="1"/>
    <s v="Female"/>
    <n v="57"/>
    <n v="2"/>
    <x v="0"/>
    <x v="0"/>
    <n v="3"/>
    <s v="Single"/>
    <n v="5473"/>
    <n v="24668"/>
    <n v="7"/>
    <s v="Y"/>
    <x v="1"/>
    <n v="11"/>
    <n v="3"/>
    <n v="4"/>
    <n v="80"/>
    <n v="0"/>
    <n v="20"/>
    <n v="2"/>
    <n v="2"/>
    <n v="4"/>
    <n v="3"/>
    <n v="1"/>
    <n v="3"/>
    <n v="0"/>
    <x v="3"/>
  </r>
  <r>
    <n v="29"/>
    <s v="No"/>
    <s v="Travel_Rarely"/>
    <n v="1328"/>
    <x v="1"/>
    <n v="2"/>
    <n v="3"/>
    <x v="0"/>
    <n v="1"/>
    <x v="71"/>
    <n v="3"/>
    <s v="Male"/>
    <n v="76"/>
    <n v="3"/>
    <x v="1"/>
    <x v="1"/>
    <n v="2"/>
    <s v="Married"/>
    <n v="2703"/>
    <n v="4956"/>
    <n v="0"/>
    <s v="Y"/>
    <x v="1"/>
    <n v="23"/>
    <n v="4"/>
    <n v="4"/>
    <n v="80"/>
    <n v="1"/>
    <n v="6"/>
    <n v="3"/>
    <n v="3"/>
    <n v="5"/>
    <n v="4"/>
    <n v="0"/>
    <n v="4"/>
    <n v="0"/>
    <x v="2"/>
  </r>
  <r>
    <n v="31"/>
    <s v="No"/>
    <s v="Travel_Rarely"/>
    <n v="1082"/>
    <x v="1"/>
    <n v="1"/>
    <n v="4"/>
    <x v="2"/>
    <n v="1"/>
    <x v="72"/>
    <n v="3"/>
    <s v="Male"/>
    <n v="87"/>
    <n v="3"/>
    <x v="1"/>
    <x v="1"/>
    <n v="2"/>
    <s v="Single"/>
    <n v="2501"/>
    <n v="18775"/>
    <n v="1"/>
    <s v="Y"/>
    <x v="1"/>
    <n v="17"/>
    <n v="3"/>
    <n v="2"/>
    <n v="80"/>
    <n v="0"/>
    <n v="1"/>
    <n v="4"/>
    <n v="3"/>
    <n v="1"/>
    <n v="1"/>
    <n v="1"/>
    <n v="0"/>
    <n v="0"/>
    <x v="2"/>
  </r>
  <r>
    <n v="32"/>
    <s v="No"/>
    <s v="Travel_Rarely"/>
    <n v="548"/>
    <x v="1"/>
    <n v="1"/>
    <n v="3"/>
    <x v="0"/>
    <n v="1"/>
    <x v="73"/>
    <n v="2"/>
    <s v="Male"/>
    <n v="66"/>
    <n v="3"/>
    <x v="0"/>
    <x v="1"/>
    <n v="2"/>
    <s v="Married"/>
    <n v="6220"/>
    <n v="7346"/>
    <n v="1"/>
    <s v="Y"/>
    <x v="1"/>
    <n v="17"/>
    <n v="3"/>
    <n v="2"/>
    <n v="80"/>
    <n v="2"/>
    <n v="10"/>
    <n v="3"/>
    <n v="3"/>
    <n v="10"/>
    <n v="4"/>
    <n v="0"/>
    <n v="9"/>
    <n v="0"/>
    <x v="2"/>
  </r>
  <r>
    <n v="36"/>
    <s v="No"/>
    <s v="Travel_Rarely"/>
    <n v="132"/>
    <x v="1"/>
    <n v="6"/>
    <n v="3"/>
    <x v="0"/>
    <n v="1"/>
    <x v="74"/>
    <n v="2"/>
    <s v="Female"/>
    <n v="55"/>
    <n v="4"/>
    <x v="1"/>
    <x v="2"/>
    <n v="4"/>
    <s v="Married"/>
    <n v="3038"/>
    <n v="22002"/>
    <n v="3"/>
    <s v="Y"/>
    <x v="1"/>
    <n v="12"/>
    <n v="3"/>
    <n v="2"/>
    <n v="80"/>
    <n v="0"/>
    <n v="5"/>
    <n v="3"/>
    <n v="3"/>
    <n v="1"/>
    <n v="0"/>
    <n v="0"/>
    <n v="0"/>
    <n v="0"/>
    <x v="0"/>
  </r>
  <r>
    <n v="31"/>
    <s v="No"/>
    <s v="Travel_Rarely"/>
    <n v="746"/>
    <x v="1"/>
    <n v="8"/>
    <n v="4"/>
    <x v="0"/>
    <n v="1"/>
    <x v="75"/>
    <n v="3"/>
    <s v="Female"/>
    <n v="61"/>
    <n v="3"/>
    <x v="0"/>
    <x v="3"/>
    <n v="4"/>
    <s v="Single"/>
    <n v="4424"/>
    <n v="20682"/>
    <n v="1"/>
    <s v="Y"/>
    <x v="1"/>
    <n v="23"/>
    <n v="4"/>
    <n v="4"/>
    <n v="80"/>
    <n v="0"/>
    <n v="11"/>
    <n v="2"/>
    <n v="3"/>
    <n v="11"/>
    <n v="7"/>
    <n v="1"/>
    <n v="8"/>
    <n v="0"/>
    <x v="2"/>
  </r>
  <r>
    <n v="35"/>
    <s v="No"/>
    <s v="Travel_Rarely"/>
    <n v="776"/>
    <x v="0"/>
    <n v="1"/>
    <n v="4"/>
    <x v="3"/>
    <n v="1"/>
    <x v="76"/>
    <n v="3"/>
    <s v="Male"/>
    <n v="32"/>
    <n v="2"/>
    <x v="0"/>
    <x v="0"/>
    <n v="1"/>
    <s v="Single"/>
    <n v="4312"/>
    <n v="23016"/>
    <n v="0"/>
    <s v="Y"/>
    <x v="1"/>
    <n v="14"/>
    <n v="3"/>
    <n v="2"/>
    <n v="80"/>
    <n v="0"/>
    <n v="16"/>
    <n v="2"/>
    <n v="3"/>
    <n v="15"/>
    <n v="13"/>
    <n v="2"/>
    <n v="8"/>
    <n v="0"/>
    <x v="2"/>
  </r>
  <r>
    <n v="45"/>
    <s v="No"/>
    <s v="Travel_Rarely"/>
    <n v="193"/>
    <x v="1"/>
    <n v="6"/>
    <n v="4"/>
    <x v="1"/>
    <n v="1"/>
    <x v="77"/>
    <n v="4"/>
    <s v="Male"/>
    <n v="52"/>
    <n v="3"/>
    <x v="2"/>
    <x v="7"/>
    <n v="1"/>
    <s v="Married"/>
    <n v="13245"/>
    <n v="15067"/>
    <n v="4"/>
    <s v="Y"/>
    <x v="0"/>
    <n v="14"/>
    <n v="3"/>
    <n v="2"/>
    <n v="80"/>
    <n v="0"/>
    <n v="17"/>
    <n v="3"/>
    <n v="4"/>
    <n v="0"/>
    <n v="0"/>
    <n v="0"/>
    <n v="0"/>
    <n v="0"/>
    <x v="0"/>
  </r>
  <r>
    <n v="37"/>
    <s v="No"/>
    <s v="Travel_Rarely"/>
    <n v="397"/>
    <x v="1"/>
    <n v="7"/>
    <n v="4"/>
    <x v="2"/>
    <n v="1"/>
    <x v="78"/>
    <n v="1"/>
    <s v="Male"/>
    <n v="30"/>
    <n v="3"/>
    <x v="2"/>
    <x v="7"/>
    <n v="3"/>
    <s v="Single"/>
    <n v="13664"/>
    <n v="25258"/>
    <n v="4"/>
    <s v="Y"/>
    <x v="1"/>
    <n v="13"/>
    <n v="3"/>
    <n v="1"/>
    <n v="80"/>
    <n v="0"/>
    <n v="16"/>
    <n v="3"/>
    <n v="4"/>
    <n v="5"/>
    <n v="2"/>
    <n v="0"/>
    <n v="2"/>
    <n v="0"/>
    <x v="0"/>
  </r>
  <r>
    <n v="46"/>
    <s v="No"/>
    <s v="Travel_Rarely"/>
    <n v="945"/>
    <x v="2"/>
    <n v="5"/>
    <n v="2"/>
    <x v="2"/>
    <n v="1"/>
    <x v="79"/>
    <n v="2"/>
    <s v="Male"/>
    <n v="80"/>
    <n v="3"/>
    <x v="0"/>
    <x v="8"/>
    <n v="2"/>
    <s v="Divorced"/>
    <n v="5021"/>
    <n v="10425"/>
    <n v="8"/>
    <s v="Y"/>
    <x v="0"/>
    <n v="22"/>
    <n v="4"/>
    <n v="4"/>
    <n v="80"/>
    <n v="1"/>
    <n v="16"/>
    <n v="2"/>
    <n v="3"/>
    <n v="4"/>
    <n v="2"/>
    <n v="0"/>
    <n v="2"/>
    <n v="0"/>
    <x v="1"/>
  </r>
  <r>
    <n v="30"/>
    <s v="No"/>
    <s v="Travel_Rarely"/>
    <n v="852"/>
    <x v="1"/>
    <n v="1"/>
    <n v="1"/>
    <x v="0"/>
    <n v="1"/>
    <x v="80"/>
    <n v="4"/>
    <s v="Male"/>
    <n v="55"/>
    <n v="2"/>
    <x v="0"/>
    <x v="2"/>
    <n v="4"/>
    <s v="Married"/>
    <n v="5126"/>
    <n v="15998"/>
    <n v="1"/>
    <s v="Y"/>
    <x v="0"/>
    <n v="12"/>
    <n v="3"/>
    <n v="3"/>
    <n v="80"/>
    <n v="2"/>
    <n v="10"/>
    <n v="1"/>
    <n v="2"/>
    <n v="10"/>
    <n v="8"/>
    <n v="3"/>
    <n v="0"/>
    <n v="0"/>
    <x v="2"/>
  </r>
  <r>
    <n v="35"/>
    <s v="No"/>
    <s v="Travel_Rarely"/>
    <n v="1214"/>
    <x v="1"/>
    <n v="1"/>
    <n v="3"/>
    <x v="2"/>
    <n v="1"/>
    <x v="81"/>
    <n v="2"/>
    <s v="Male"/>
    <n v="30"/>
    <n v="2"/>
    <x v="1"/>
    <x v="1"/>
    <n v="3"/>
    <s v="Single"/>
    <n v="2859"/>
    <n v="26278"/>
    <n v="1"/>
    <s v="Y"/>
    <x v="1"/>
    <n v="18"/>
    <n v="3"/>
    <n v="1"/>
    <n v="80"/>
    <n v="0"/>
    <n v="6"/>
    <n v="3"/>
    <n v="3"/>
    <n v="6"/>
    <n v="4"/>
    <n v="0"/>
    <n v="4"/>
    <n v="0"/>
    <x v="2"/>
  </r>
  <r>
    <n v="55"/>
    <s v="No"/>
    <s v="Travel_Rarely"/>
    <n v="111"/>
    <x v="0"/>
    <n v="1"/>
    <n v="2"/>
    <x v="0"/>
    <n v="1"/>
    <x v="82"/>
    <n v="1"/>
    <s v="Male"/>
    <n v="70"/>
    <n v="3"/>
    <x v="2"/>
    <x v="0"/>
    <n v="4"/>
    <s v="Married"/>
    <n v="10239"/>
    <n v="18092"/>
    <n v="3"/>
    <s v="Y"/>
    <x v="1"/>
    <n v="14"/>
    <n v="3"/>
    <n v="4"/>
    <n v="80"/>
    <n v="1"/>
    <n v="24"/>
    <n v="4"/>
    <n v="3"/>
    <n v="1"/>
    <n v="0"/>
    <n v="1"/>
    <n v="0"/>
    <n v="0"/>
    <x v="1"/>
  </r>
  <r>
    <n v="38"/>
    <s v="No"/>
    <s v="Non-Travel"/>
    <n v="573"/>
    <x v="1"/>
    <n v="6"/>
    <n v="3"/>
    <x v="2"/>
    <n v="1"/>
    <x v="83"/>
    <n v="2"/>
    <s v="Female"/>
    <n v="79"/>
    <n v="1"/>
    <x v="0"/>
    <x v="1"/>
    <n v="4"/>
    <s v="Divorced"/>
    <n v="5329"/>
    <n v="15717"/>
    <n v="7"/>
    <s v="Y"/>
    <x v="0"/>
    <n v="12"/>
    <n v="3"/>
    <n v="4"/>
    <n v="80"/>
    <n v="3"/>
    <n v="17"/>
    <n v="3"/>
    <n v="3"/>
    <n v="13"/>
    <n v="11"/>
    <n v="1"/>
    <n v="9"/>
    <n v="0"/>
    <x v="0"/>
  </r>
  <r>
    <n v="34"/>
    <s v="No"/>
    <s v="Travel_Rarely"/>
    <n v="1153"/>
    <x v="1"/>
    <n v="1"/>
    <n v="2"/>
    <x v="2"/>
    <n v="1"/>
    <x v="84"/>
    <n v="1"/>
    <s v="Male"/>
    <n v="94"/>
    <n v="3"/>
    <x v="0"/>
    <x v="3"/>
    <n v="2"/>
    <s v="Married"/>
    <n v="4325"/>
    <n v="17736"/>
    <n v="1"/>
    <s v="Y"/>
    <x v="1"/>
    <n v="15"/>
    <n v="3"/>
    <n v="3"/>
    <n v="80"/>
    <n v="0"/>
    <n v="5"/>
    <n v="2"/>
    <n v="3"/>
    <n v="5"/>
    <n v="2"/>
    <n v="1"/>
    <n v="3"/>
    <n v="0"/>
    <x v="2"/>
  </r>
  <r>
    <n v="56"/>
    <s v="No"/>
    <s v="Travel_Rarely"/>
    <n v="1400"/>
    <x v="1"/>
    <n v="7"/>
    <n v="3"/>
    <x v="0"/>
    <n v="1"/>
    <x v="85"/>
    <n v="4"/>
    <s v="Male"/>
    <n v="49"/>
    <n v="1"/>
    <x v="2"/>
    <x v="3"/>
    <n v="4"/>
    <s v="Single"/>
    <n v="7260"/>
    <n v="21698"/>
    <n v="4"/>
    <s v="Y"/>
    <x v="1"/>
    <n v="11"/>
    <n v="3"/>
    <n v="1"/>
    <n v="80"/>
    <n v="0"/>
    <n v="37"/>
    <n v="3"/>
    <n v="2"/>
    <n v="6"/>
    <n v="4"/>
    <n v="0"/>
    <n v="2"/>
    <n v="0"/>
    <x v="3"/>
  </r>
  <r>
    <n v="23"/>
    <s v="No"/>
    <s v="Travel_Rarely"/>
    <n v="541"/>
    <x v="0"/>
    <n v="2"/>
    <n v="1"/>
    <x v="4"/>
    <n v="1"/>
    <x v="86"/>
    <n v="3"/>
    <s v="Male"/>
    <n v="62"/>
    <n v="3"/>
    <x v="1"/>
    <x v="6"/>
    <n v="1"/>
    <s v="Divorced"/>
    <n v="2322"/>
    <n v="9518"/>
    <n v="3"/>
    <s v="Y"/>
    <x v="1"/>
    <n v="13"/>
    <n v="3"/>
    <n v="3"/>
    <n v="80"/>
    <n v="1"/>
    <n v="3"/>
    <n v="3"/>
    <n v="3"/>
    <n v="0"/>
    <n v="0"/>
    <n v="0"/>
    <n v="0"/>
    <n v="0"/>
    <x v="4"/>
  </r>
  <r>
    <n v="51"/>
    <s v="No"/>
    <s v="Travel_Rarely"/>
    <n v="432"/>
    <x v="1"/>
    <n v="9"/>
    <n v="4"/>
    <x v="0"/>
    <n v="1"/>
    <x v="87"/>
    <n v="4"/>
    <s v="Male"/>
    <n v="96"/>
    <n v="3"/>
    <x v="1"/>
    <x v="2"/>
    <n v="4"/>
    <s v="Married"/>
    <n v="2075"/>
    <n v="18725"/>
    <n v="3"/>
    <s v="Y"/>
    <x v="1"/>
    <n v="23"/>
    <n v="4"/>
    <n v="2"/>
    <n v="80"/>
    <n v="2"/>
    <n v="10"/>
    <n v="4"/>
    <n v="3"/>
    <n v="4"/>
    <n v="2"/>
    <n v="0"/>
    <n v="3"/>
    <n v="0"/>
    <x v="1"/>
  </r>
  <r>
    <n v="30"/>
    <s v="No"/>
    <s v="Travel_Rarely"/>
    <n v="288"/>
    <x v="1"/>
    <n v="2"/>
    <n v="3"/>
    <x v="0"/>
    <n v="1"/>
    <x v="88"/>
    <n v="3"/>
    <s v="Male"/>
    <n v="99"/>
    <n v="2"/>
    <x v="0"/>
    <x v="4"/>
    <n v="4"/>
    <s v="Married"/>
    <n v="4152"/>
    <n v="15830"/>
    <n v="1"/>
    <s v="Y"/>
    <x v="1"/>
    <n v="19"/>
    <n v="3"/>
    <n v="1"/>
    <n v="80"/>
    <n v="3"/>
    <n v="11"/>
    <n v="3"/>
    <n v="3"/>
    <n v="11"/>
    <n v="10"/>
    <n v="10"/>
    <n v="8"/>
    <n v="0"/>
    <x v="2"/>
  </r>
  <r>
    <n v="46"/>
    <s v="Yes"/>
    <s v="Travel_Rarely"/>
    <n v="669"/>
    <x v="0"/>
    <n v="9"/>
    <n v="2"/>
    <x v="2"/>
    <n v="1"/>
    <x v="89"/>
    <n v="3"/>
    <s v="Male"/>
    <n v="64"/>
    <n v="2"/>
    <x v="2"/>
    <x v="0"/>
    <n v="4"/>
    <s v="Single"/>
    <n v="9619"/>
    <n v="13596"/>
    <n v="1"/>
    <s v="Y"/>
    <x v="1"/>
    <n v="16"/>
    <n v="3"/>
    <n v="4"/>
    <n v="80"/>
    <n v="0"/>
    <n v="9"/>
    <n v="3"/>
    <n v="3"/>
    <n v="9"/>
    <n v="8"/>
    <n v="4"/>
    <n v="7"/>
    <n v="1"/>
    <x v="1"/>
  </r>
  <r>
    <n v="40"/>
    <s v="No"/>
    <s v="Travel_Frequently"/>
    <n v="530"/>
    <x v="1"/>
    <n v="1"/>
    <n v="4"/>
    <x v="0"/>
    <n v="1"/>
    <x v="90"/>
    <n v="3"/>
    <s v="Male"/>
    <n v="78"/>
    <n v="2"/>
    <x v="3"/>
    <x v="4"/>
    <n v="2"/>
    <s v="Married"/>
    <n v="13503"/>
    <n v="14115"/>
    <n v="1"/>
    <s v="Y"/>
    <x v="1"/>
    <n v="22"/>
    <n v="4"/>
    <n v="4"/>
    <n v="80"/>
    <n v="1"/>
    <n v="22"/>
    <n v="3"/>
    <n v="2"/>
    <n v="22"/>
    <n v="3"/>
    <n v="11"/>
    <n v="11"/>
    <n v="0"/>
    <x v="0"/>
  </r>
  <r>
    <n v="51"/>
    <s v="No"/>
    <s v="Travel_Rarely"/>
    <n v="632"/>
    <x v="0"/>
    <n v="21"/>
    <n v="4"/>
    <x v="3"/>
    <n v="1"/>
    <x v="91"/>
    <n v="3"/>
    <s v="Male"/>
    <n v="71"/>
    <n v="3"/>
    <x v="0"/>
    <x v="0"/>
    <n v="4"/>
    <s v="Single"/>
    <n v="5441"/>
    <n v="8423"/>
    <n v="0"/>
    <s v="Y"/>
    <x v="0"/>
    <n v="22"/>
    <n v="4"/>
    <n v="4"/>
    <n v="80"/>
    <n v="0"/>
    <n v="11"/>
    <n v="2"/>
    <n v="1"/>
    <n v="10"/>
    <n v="7"/>
    <n v="1"/>
    <n v="0"/>
    <n v="0"/>
    <x v="1"/>
  </r>
  <r>
    <n v="30"/>
    <s v="No"/>
    <s v="Travel_Rarely"/>
    <n v="1334"/>
    <x v="0"/>
    <n v="4"/>
    <n v="2"/>
    <x v="2"/>
    <n v="1"/>
    <x v="92"/>
    <n v="3"/>
    <s v="Female"/>
    <n v="63"/>
    <n v="2"/>
    <x v="0"/>
    <x v="0"/>
    <n v="2"/>
    <s v="Divorced"/>
    <n v="5209"/>
    <n v="19760"/>
    <n v="1"/>
    <s v="Y"/>
    <x v="0"/>
    <n v="12"/>
    <n v="3"/>
    <n v="2"/>
    <n v="80"/>
    <n v="3"/>
    <n v="11"/>
    <n v="4"/>
    <n v="2"/>
    <n v="11"/>
    <n v="8"/>
    <n v="2"/>
    <n v="7"/>
    <n v="0"/>
    <x v="2"/>
  </r>
  <r>
    <n v="46"/>
    <s v="No"/>
    <s v="Travel_Frequently"/>
    <n v="638"/>
    <x v="1"/>
    <n v="1"/>
    <n v="3"/>
    <x v="2"/>
    <n v="1"/>
    <x v="93"/>
    <n v="3"/>
    <s v="Male"/>
    <n v="40"/>
    <n v="2"/>
    <x v="2"/>
    <x v="4"/>
    <n v="1"/>
    <s v="Married"/>
    <n v="10673"/>
    <n v="3142"/>
    <n v="2"/>
    <s v="Y"/>
    <x v="0"/>
    <n v="13"/>
    <n v="3"/>
    <n v="3"/>
    <n v="80"/>
    <n v="1"/>
    <n v="21"/>
    <n v="5"/>
    <n v="2"/>
    <n v="10"/>
    <n v="9"/>
    <n v="9"/>
    <n v="5"/>
    <n v="0"/>
    <x v="1"/>
  </r>
  <r>
    <n v="32"/>
    <s v="No"/>
    <s v="Travel_Rarely"/>
    <n v="1093"/>
    <x v="0"/>
    <n v="6"/>
    <n v="4"/>
    <x v="2"/>
    <n v="1"/>
    <x v="94"/>
    <n v="2"/>
    <s v="Male"/>
    <n v="87"/>
    <n v="3"/>
    <x v="0"/>
    <x v="0"/>
    <n v="3"/>
    <s v="Single"/>
    <n v="5010"/>
    <n v="24301"/>
    <n v="1"/>
    <s v="Y"/>
    <x v="1"/>
    <n v="16"/>
    <n v="3"/>
    <n v="1"/>
    <n v="80"/>
    <n v="0"/>
    <n v="12"/>
    <n v="0"/>
    <n v="3"/>
    <n v="11"/>
    <n v="8"/>
    <n v="5"/>
    <n v="7"/>
    <n v="0"/>
    <x v="2"/>
  </r>
  <r>
    <n v="54"/>
    <s v="No"/>
    <s v="Travel_Rarely"/>
    <n v="1217"/>
    <x v="1"/>
    <n v="2"/>
    <n v="4"/>
    <x v="4"/>
    <n v="1"/>
    <x v="95"/>
    <n v="1"/>
    <s v="Female"/>
    <n v="60"/>
    <n v="3"/>
    <x v="2"/>
    <x v="7"/>
    <n v="3"/>
    <s v="Married"/>
    <n v="13549"/>
    <n v="24001"/>
    <n v="9"/>
    <s v="Y"/>
    <x v="1"/>
    <n v="12"/>
    <n v="3"/>
    <n v="1"/>
    <n v="80"/>
    <n v="1"/>
    <n v="16"/>
    <n v="5"/>
    <n v="1"/>
    <n v="4"/>
    <n v="3"/>
    <n v="0"/>
    <n v="3"/>
    <n v="0"/>
    <x v="1"/>
  </r>
  <r>
    <n v="24"/>
    <s v="No"/>
    <s v="Travel_Rarely"/>
    <n v="1353"/>
    <x v="0"/>
    <n v="3"/>
    <n v="2"/>
    <x v="1"/>
    <n v="1"/>
    <x v="96"/>
    <n v="1"/>
    <s v="Female"/>
    <n v="33"/>
    <n v="3"/>
    <x v="0"/>
    <x v="0"/>
    <n v="3"/>
    <s v="Married"/>
    <n v="4999"/>
    <n v="17519"/>
    <n v="0"/>
    <s v="Y"/>
    <x v="1"/>
    <n v="21"/>
    <n v="4"/>
    <n v="1"/>
    <n v="80"/>
    <n v="1"/>
    <n v="4"/>
    <n v="2"/>
    <n v="2"/>
    <n v="3"/>
    <n v="2"/>
    <n v="0"/>
    <n v="2"/>
    <n v="0"/>
    <x v="4"/>
  </r>
  <r>
    <n v="28"/>
    <s v="No"/>
    <s v="Non-Travel"/>
    <n v="120"/>
    <x v="0"/>
    <n v="4"/>
    <n v="3"/>
    <x v="2"/>
    <n v="1"/>
    <x v="97"/>
    <n v="2"/>
    <s v="Male"/>
    <n v="43"/>
    <n v="3"/>
    <x v="0"/>
    <x v="0"/>
    <n v="3"/>
    <s v="Married"/>
    <n v="4221"/>
    <n v="8863"/>
    <n v="1"/>
    <s v="Y"/>
    <x v="1"/>
    <n v="15"/>
    <n v="3"/>
    <n v="2"/>
    <n v="80"/>
    <n v="0"/>
    <n v="5"/>
    <n v="3"/>
    <n v="4"/>
    <n v="5"/>
    <n v="4"/>
    <n v="0"/>
    <n v="4"/>
    <n v="0"/>
    <x v="2"/>
  </r>
  <r>
    <n v="58"/>
    <s v="No"/>
    <s v="Travel_Rarely"/>
    <n v="682"/>
    <x v="0"/>
    <n v="10"/>
    <n v="4"/>
    <x v="2"/>
    <n v="1"/>
    <x v="98"/>
    <n v="4"/>
    <s v="Male"/>
    <n v="37"/>
    <n v="3"/>
    <x v="3"/>
    <x v="0"/>
    <n v="3"/>
    <s v="Single"/>
    <n v="13872"/>
    <n v="24409"/>
    <n v="0"/>
    <s v="Y"/>
    <x v="1"/>
    <n v="13"/>
    <n v="3"/>
    <n v="3"/>
    <n v="80"/>
    <n v="0"/>
    <n v="38"/>
    <n v="1"/>
    <n v="2"/>
    <n v="37"/>
    <n v="10"/>
    <n v="1"/>
    <n v="8"/>
    <n v="0"/>
    <x v="3"/>
  </r>
  <r>
    <n v="44"/>
    <s v="No"/>
    <s v="Non-Travel"/>
    <n v="489"/>
    <x v="1"/>
    <n v="23"/>
    <n v="3"/>
    <x v="2"/>
    <n v="1"/>
    <x v="99"/>
    <n v="2"/>
    <s v="Male"/>
    <n v="67"/>
    <n v="3"/>
    <x v="0"/>
    <x v="2"/>
    <n v="2"/>
    <s v="Married"/>
    <n v="2042"/>
    <n v="25043"/>
    <n v="4"/>
    <s v="Y"/>
    <x v="1"/>
    <n v="12"/>
    <n v="3"/>
    <n v="3"/>
    <n v="80"/>
    <n v="1"/>
    <n v="17"/>
    <n v="3"/>
    <n v="4"/>
    <n v="3"/>
    <n v="2"/>
    <n v="1"/>
    <n v="2"/>
    <n v="0"/>
    <x v="0"/>
  </r>
  <r>
    <n v="37"/>
    <s v="Yes"/>
    <s v="Travel_Rarely"/>
    <n v="807"/>
    <x v="2"/>
    <n v="6"/>
    <n v="4"/>
    <x v="5"/>
    <n v="1"/>
    <x v="100"/>
    <n v="3"/>
    <s v="Male"/>
    <n v="63"/>
    <n v="3"/>
    <x v="1"/>
    <x v="8"/>
    <n v="1"/>
    <s v="Divorced"/>
    <n v="2073"/>
    <n v="23648"/>
    <n v="4"/>
    <s v="Y"/>
    <x v="0"/>
    <n v="22"/>
    <n v="4"/>
    <n v="4"/>
    <n v="80"/>
    <n v="0"/>
    <n v="7"/>
    <n v="3"/>
    <n v="3"/>
    <n v="3"/>
    <n v="2"/>
    <n v="0"/>
    <n v="2"/>
    <n v="1"/>
    <x v="0"/>
  </r>
  <r>
    <n v="32"/>
    <s v="No"/>
    <s v="Travel_Rarely"/>
    <n v="827"/>
    <x v="1"/>
    <n v="1"/>
    <n v="1"/>
    <x v="0"/>
    <n v="1"/>
    <x v="101"/>
    <n v="4"/>
    <s v="Male"/>
    <n v="71"/>
    <n v="3"/>
    <x v="1"/>
    <x v="1"/>
    <n v="1"/>
    <s v="Single"/>
    <n v="2956"/>
    <n v="15178"/>
    <n v="1"/>
    <s v="Y"/>
    <x v="1"/>
    <n v="13"/>
    <n v="3"/>
    <n v="4"/>
    <n v="80"/>
    <n v="0"/>
    <n v="1"/>
    <n v="2"/>
    <n v="3"/>
    <n v="1"/>
    <n v="0"/>
    <n v="0"/>
    <n v="0"/>
    <n v="0"/>
    <x v="2"/>
  </r>
  <r>
    <n v="20"/>
    <s v="Yes"/>
    <s v="Travel_Frequently"/>
    <n v="871"/>
    <x v="1"/>
    <n v="6"/>
    <n v="3"/>
    <x v="0"/>
    <n v="1"/>
    <x v="102"/>
    <n v="4"/>
    <s v="Female"/>
    <n v="66"/>
    <n v="2"/>
    <x v="1"/>
    <x v="2"/>
    <n v="4"/>
    <s v="Single"/>
    <n v="2926"/>
    <n v="19783"/>
    <n v="1"/>
    <s v="Y"/>
    <x v="0"/>
    <n v="18"/>
    <n v="3"/>
    <n v="2"/>
    <n v="80"/>
    <n v="0"/>
    <n v="1"/>
    <n v="5"/>
    <n v="3"/>
    <n v="1"/>
    <n v="0"/>
    <n v="1"/>
    <n v="0"/>
    <n v="1"/>
    <x v="4"/>
  </r>
  <r>
    <n v="34"/>
    <s v="No"/>
    <s v="Travel_Rarely"/>
    <n v="665"/>
    <x v="1"/>
    <n v="6"/>
    <n v="4"/>
    <x v="1"/>
    <n v="1"/>
    <x v="103"/>
    <n v="1"/>
    <s v="Female"/>
    <n v="41"/>
    <n v="3"/>
    <x v="0"/>
    <x v="1"/>
    <n v="3"/>
    <s v="Single"/>
    <n v="4809"/>
    <n v="12482"/>
    <n v="1"/>
    <s v="Y"/>
    <x v="1"/>
    <n v="14"/>
    <n v="3"/>
    <n v="3"/>
    <n v="80"/>
    <n v="0"/>
    <n v="16"/>
    <n v="3"/>
    <n v="3"/>
    <n v="16"/>
    <n v="13"/>
    <n v="2"/>
    <n v="10"/>
    <n v="0"/>
    <x v="2"/>
  </r>
  <r>
    <n v="37"/>
    <s v="No"/>
    <s v="Non-Travel"/>
    <n v="1040"/>
    <x v="1"/>
    <n v="2"/>
    <n v="2"/>
    <x v="0"/>
    <n v="1"/>
    <x v="104"/>
    <n v="3"/>
    <s v="Male"/>
    <n v="100"/>
    <n v="2"/>
    <x v="0"/>
    <x v="4"/>
    <n v="4"/>
    <s v="Divorced"/>
    <n v="5163"/>
    <n v="15850"/>
    <n v="5"/>
    <s v="Y"/>
    <x v="1"/>
    <n v="14"/>
    <n v="3"/>
    <n v="4"/>
    <n v="80"/>
    <n v="1"/>
    <n v="17"/>
    <n v="2"/>
    <n v="4"/>
    <n v="1"/>
    <n v="0"/>
    <n v="0"/>
    <n v="0"/>
    <n v="0"/>
    <x v="0"/>
  </r>
  <r>
    <n v="59"/>
    <s v="No"/>
    <s v="Non-Travel"/>
    <n v="1420"/>
    <x v="2"/>
    <n v="2"/>
    <n v="4"/>
    <x v="5"/>
    <n v="1"/>
    <x v="105"/>
    <n v="3"/>
    <s v="Female"/>
    <n v="32"/>
    <n v="2"/>
    <x v="4"/>
    <x v="5"/>
    <n v="4"/>
    <s v="Married"/>
    <n v="18844"/>
    <n v="21922"/>
    <n v="9"/>
    <s v="Y"/>
    <x v="1"/>
    <n v="21"/>
    <n v="4"/>
    <n v="4"/>
    <n v="80"/>
    <n v="1"/>
    <n v="30"/>
    <n v="3"/>
    <n v="3"/>
    <n v="3"/>
    <n v="2"/>
    <n v="2"/>
    <n v="2"/>
    <n v="0"/>
    <x v="3"/>
  </r>
  <r>
    <n v="50"/>
    <s v="No"/>
    <s v="Travel_Frequently"/>
    <n v="1115"/>
    <x v="1"/>
    <n v="1"/>
    <n v="3"/>
    <x v="0"/>
    <n v="1"/>
    <x v="106"/>
    <n v="1"/>
    <s v="Female"/>
    <n v="73"/>
    <n v="3"/>
    <x v="4"/>
    <x v="7"/>
    <n v="2"/>
    <s v="Married"/>
    <n v="18172"/>
    <n v="9755"/>
    <n v="3"/>
    <s v="Y"/>
    <x v="0"/>
    <n v="19"/>
    <n v="3"/>
    <n v="1"/>
    <n v="80"/>
    <n v="0"/>
    <n v="28"/>
    <n v="1"/>
    <n v="2"/>
    <n v="8"/>
    <n v="3"/>
    <n v="0"/>
    <n v="7"/>
    <n v="0"/>
    <x v="1"/>
  </r>
  <r>
    <n v="25"/>
    <s v="Yes"/>
    <s v="Travel_Rarely"/>
    <n v="240"/>
    <x v="0"/>
    <n v="5"/>
    <n v="3"/>
    <x v="3"/>
    <n v="1"/>
    <x v="107"/>
    <n v="3"/>
    <s v="Male"/>
    <n v="46"/>
    <n v="2"/>
    <x v="0"/>
    <x v="0"/>
    <n v="3"/>
    <s v="Single"/>
    <n v="5744"/>
    <n v="26959"/>
    <n v="1"/>
    <s v="Y"/>
    <x v="0"/>
    <n v="11"/>
    <n v="3"/>
    <n v="4"/>
    <n v="80"/>
    <n v="0"/>
    <n v="6"/>
    <n v="1"/>
    <n v="3"/>
    <n v="6"/>
    <n v="4"/>
    <n v="0"/>
    <n v="3"/>
    <n v="1"/>
    <x v="4"/>
  </r>
  <r>
    <n v="25"/>
    <s v="No"/>
    <s v="Travel_Rarely"/>
    <n v="1280"/>
    <x v="1"/>
    <n v="7"/>
    <n v="1"/>
    <x v="2"/>
    <n v="1"/>
    <x v="108"/>
    <n v="4"/>
    <s v="Male"/>
    <n v="64"/>
    <n v="2"/>
    <x v="1"/>
    <x v="1"/>
    <n v="4"/>
    <s v="Married"/>
    <n v="2889"/>
    <n v="26897"/>
    <n v="1"/>
    <s v="Y"/>
    <x v="1"/>
    <n v="11"/>
    <n v="3"/>
    <n v="3"/>
    <n v="80"/>
    <n v="2"/>
    <n v="2"/>
    <n v="2"/>
    <n v="3"/>
    <n v="2"/>
    <n v="2"/>
    <n v="2"/>
    <n v="1"/>
    <n v="0"/>
    <x v="4"/>
  </r>
  <r>
    <n v="22"/>
    <s v="No"/>
    <s v="Travel_Rarely"/>
    <n v="534"/>
    <x v="1"/>
    <n v="15"/>
    <n v="3"/>
    <x v="2"/>
    <n v="1"/>
    <x v="109"/>
    <n v="2"/>
    <s v="Female"/>
    <n v="59"/>
    <n v="3"/>
    <x v="1"/>
    <x v="2"/>
    <n v="4"/>
    <s v="Single"/>
    <n v="2871"/>
    <n v="23785"/>
    <n v="1"/>
    <s v="Y"/>
    <x v="1"/>
    <n v="15"/>
    <n v="3"/>
    <n v="3"/>
    <n v="80"/>
    <n v="0"/>
    <n v="1"/>
    <n v="5"/>
    <n v="3"/>
    <n v="0"/>
    <n v="0"/>
    <n v="0"/>
    <n v="0"/>
    <n v="0"/>
    <x v="4"/>
  </r>
  <r>
    <n v="51"/>
    <s v="No"/>
    <s v="Travel_Frequently"/>
    <n v="1456"/>
    <x v="1"/>
    <n v="1"/>
    <n v="4"/>
    <x v="2"/>
    <n v="1"/>
    <x v="110"/>
    <n v="1"/>
    <s v="Female"/>
    <n v="30"/>
    <n v="2"/>
    <x v="2"/>
    <x v="4"/>
    <n v="1"/>
    <s v="Single"/>
    <n v="7484"/>
    <n v="25796"/>
    <n v="3"/>
    <s v="Y"/>
    <x v="1"/>
    <n v="20"/>
    <n v="4"/>
    <n v="3"/>
    <n v="80"/>
    <n v="0"/>
    <n v="23"/>
    <n v="1"/>
    <n v="2"/>
    <n v="13"/>
    <n v="12"/>
    <n v="12"/>
    <n v="8"/>
    <n v="0"/>
    <x v="1"/>
  </r>
  <r>
    <n v="34"/>
    <s v="Yes"/>
    <s v="Travel_Frequently"/>
    <n v="658"/>
    <x v="1"/>
    <n v="7"/>
    <n v="3"/>
    <x v="0"/>
    <n v="1"/>
    <x v="111"/>
    <n v="1"/>
    <s v="Male"/>
    <n v="66"/>
    <n v="1"/>
    <x v="0"/>
    <x v="2"/>
    <n v="3"/>
    <s v="Single"/>
    <n v="6074"/>
    <n v="22887"/>
    <n v="1"/>
    <s v="Y"/>
    <x v="0"/>
    <n v="24"/>
    <n v="4"/>
    <n v="4"/>
    <n v="80"/>
    <n v="0"/>
    <n v="9"/>
    <n v="3"/>
    <n v="3"/>
    <n v="9"/>
    <n v="7"/>
    <n v="0"/>
    <n v="6"/>
    <n v="1"/>
    <x v="2"/>
  </r>
  <r>
    <n v="54"/>
    <s v="No"/>
    <s v="Non-Travel"/>
    <n v="142"/>
    <x v="2"/>
    <n v="26"/>
    <n v="3"/>
    <x v="5"/>
    <n v="1"/>
    <x v="112"/>
    <n v="4"/>
    <s v="Female"/>
    <n v="30"/>
    <n v="4"/>
    <x v="3"/>
    <x v="5"/>
    <n v="4"/>
    <s v="Single"/>
    <n v="17328"/>
    <n v="13871"/>
    <n v="2"/>
    <s v="Y"/>
    <x v="0"/>
    <n v="12"/>
    <n v="3"/>
    <n v="3"/>
    <n v="80"/>
    <n v="0"/>
    <n v="23"/>
    <n v="3"/>
    <n v="3"/>
    <n v="5"/>
    <n v="3"/>
    <n v="4"/>
    <n v="4"/>
    <n v="0"/>
    <x v="1"/>
  </r>
  <r>
    <n v="24"/>
    <s v="No"/>
    <s v="Travel_Rarely"/>
    <n v="1127"/>
    <x v="1"/>
    <n v="18"/>
    <n v="1"/>
    <x v="0"/>
    <n v="1"/>
    <x v="113"/>
    <n v="2"/>
    <s v="Male"/>
    <n v="52"/>
    <n v="3"/>
    <x v="1"/>
    <x v="2"/>
    <n v="3"/>
    <s v="Married"/>
    <n v="2774"/>
    <n v="13257"/>
    <n v="0"/>
    <s v="Y"/>
    <x v="1"/>
    <n v="12"/>
    <n v="3"/>
    <n v="3"/>
    <n v="80"/>
    <n v="1"/>
    <n v="6"/>
    <n v="2"/>
    <n v="3"/>
    <n v="5"/>
    <n v="3"/>
    <n v="1"/>
    <n v="2"/>
    <n v="0"/>
    <x v="4"/>
  </r>
  <r>
    <n v="34"/>
    <s v="No"/>
    <s v="Travel_Rarely"/>
    <n v="1031"/>
    <x v="1"/>
    <n v="6"/>
    <n v="4"/>
    <x v="0"/>
    <n v="1"/>
    <x v="114"/>
    <n v="3"/>
    <s v="Female"/>
    <n v="45"/>
    <n v="2"/>
    <x v="0"/>
    <x v="1"/>
    <n v="2"/>
    <s v="Divorced"/>
    <n v="4505"/>
    <n v="15000"/>
    <n v="6"/>
    <s v="Y"/>
    <x v="1"/>
    <n v="15"/>
    <n v="3"/>
    <n v="3"/>
    <n v="80"/>
    <n v="1"/>
    <n v="12"/>
    <n v="3"/>
    <n v="3"/>
    <n v="1"/>
    <n v="0"/>
    <n v="0"/>
    <n v="0"/>
    <n v="0"/>
    <x v="2"/>
  </r>
  <r>
    <n v="37"/>
    <s v="No"/>
    <s v="Travel_Rarely"/>
    <n v="1189"/>
    <x v="0"/>
    <n v="3"/>
    <n v="3"/>
    <x v="0"/>
    <n v="1"/>
    <x v="115"/>
    <n v="3"/>
    <s v="Male"/>
    <n v="87"/>
    <n v="3"/>
    <x v="2"/>
    <x v="0"/>
    <n v="4"/>
    <s v="Single"/>
    <n v="7428"/>
    <n v="14506"/>
    <n v="2"/>
    <s v="Y"/>
    <x v="1"/>
    <n v="12"/>
    <n v="3"/>
    <n v="1"/>
    <n v="80"/>
    <n v="0"/>
    <n v="12"/>
    <n v="3"/>
    <n v="3"/>
    <n v="5"/>
    <n v="3"/>
    <n v="1"/>
    <n v="3"/>
    <n v="0"/>
    <x v="0"/>
  </r>
  <r>
    <n v="34"/>
    <s v="No"/>
    <s v="Travel_Rarely"/>
    <n v="1354"/>
    <x v="1"/>
    <n v="5"/>
    <n v="3"/>
    <x v="2"/>
    <n v="1"/>
    <x v="116"/>
    <n v="3"/>
    <s v="Female"/>
    <n v="45"/>
    <n v="2"/>
    <x v="2"/>
    <x v="5"/>
    <n v="1"/>
    <s v="Single"/>
    <n v="11631"/>
    <n v="5615"/>
    <n v="2"/>
    <s v="Y"/>
    <x v="1"/>
    <n v="12"/>
    <n v="3"/>
    <n v="4"/>
    <n v="80"/>
    <n v="0"/>
    <n v="14"/>
    <n v="6"/>
    <n v="3"/>
    <n v="11"/>
    <n v="10"/>
    <n v="5"/>
    <n v="8"/>
    <n v="0"/>
    <x v="2"/>
  </r>
  <r>
    <n v="36"/>
    <s v="No"/>
    <s v="Travel_Frequently"/>
    <n v="1467"/>
    <x v="0"/>
    <n v="11"/>
    <n v="2"/>
    <x v="4"/>
    <n v="1"/>
    <x v="117"/>
    <n v="2"/>
    <s v="Female"/>
    <n v="92"/>
    <n v="3"/>
    <x v="2"/>
    <x v="0"/>
    <n v="4"/>
    <s v="Married"/>
    <n v="9738"/>
    <n v="22952"/>
    <n v="0"/>
    <s v="Y"/>
    <x v="1"/>
    <n v="14"/>
    <n v="3"/>
    <n v="3"/>
    <n v="80"/>
    <n v="1"/>
    <n v="10"/>
    <n v="6"/>
    <n v="3"/>
    <n v="9"/>
    <n v="7"/>
    <n v="2"/>
    <n v="8"/>
    <n v="0"/>
    <x v="0"/>
  </r>
  <r>
    <n v="36"/>
    <s v="No"/>
    <s v="Travel_Rarely"/>
    <n v="922"/>
    <x v="1"/>
    <n v="3"/>
    <n v="2"/>
    <x v="0"/>
    <n v="1"/>
    <x v="118"/>
    <n v="1"/>
    <s v="Female"/>
    <n v="39"/>
    <n v="3"/>
    <x v="1"/>
    <x v="2"/>
    <n v="4"/>
    <s v="Divorced"/>
    <n v="2835"/>
    <n v="2561"/>
    <n v="5"/>
    <s v="Y"/>
    <x v="1"/>
    <n v="22"/>
    <n v="4"/>
    <n v="1"/>
    <n v="80"/>
    <n v="1"/>
    <n v="7"/>
    <n v="2"/>
    <n v="3"/>
    <n v="1"/>
    <n v="0"/>
    <n v="0"/>
    <n v="0"/>
    <n v="0"/>
    <x v="0"/>
  </r>
  <r>
    <n v="43"/>
    <s v="No"/>
    <s v="Travel_Frequently"/>
    <n v="394"/>
    <x v="0"/>
    <n v="26"/>
    <n v="2"/>
    <x v="0"/>
    <n v="1"/>
    <x v="119"/>
    <n v="3"/>
    <s v="Male"/>
    <n v="92"/>
    <n v="3"/>
    <x v="3"/>
    <x v="5"/>
    <n v="4"/>
    <s v="Married"/>
    <n v="16959"/>
    <n v="19494"/>
    <n v="1"/>
    <s v="Y"/>
    <x v="0"/>
    <n v="12"/>
    <n v="3"/>
    <n v="4"/>
    <n v="80"/>
    <n v="2"/>
    <n v="25"/>
    <n v="3"/>
    <n v="4"/>
    <n v="25"/>
    <n v="12"/>
    <n v="4"/>
    <n v="12"/>
    <n v="0"/>
    <x v="0"/>
  </r>
  <r>
    <n v="30"/>
    <s v="No"/>
    <s v="Travel_Frequently"/>
    <n v="1312"/>
    <x v="1"/>
    <n v="23"/>
    <n v="3"/>
    <x v="0"/>
    <n v="1"/>
    <x v="120"/>
    <n v="1"/>
    <s v="Male"/>
    <n v="96"/>
    <n v="1"/>
    <x v="1"/>
    <x v="1"/>
    <n v="3"/>
    <s v="Divorced"/>
    <n v="2613"/>
    <n v="22310"/>
    <n v="1"/>
    <s v="Y"/>
    <x v="1"/>
    <n v="25"/>
    <n v="4"/>
    <n v="3"/>
    <n v="80"/>
    <n v="3"/>
    <n v="10"/>
    <n v="2"/>
    <n v="2"/>
    <n v="10"/>
    <n v="7"/>
    <n v="0"/>
    <n v="9"/>
    <n v="0"/>
    <x v="2"/>
  </r>
  <r>
    <n v="33"/>
    <s v="No"/>
    <s v="Non-Travel"/>
    <n v="750"/>
    <x v="0"/>
    <n v="22"/>
    <n v="2"/>
    <x v="3"/>
    <n v="1"/>
    <x v="121"/>
    <n v="3"/>
    <s v="Male"/>
    <n v="95"/>
    <n v="3"/>
    <x v="0"/>
    <x v="0"/>
    <n v="2"/>
    <s v="Married"/>
    <n v="6146"/>
    <n v="15480"/>
    <n v="0"/>
    <s v="Y"/>
    <x v="1"/>
    <n v="13"/>
    <n v="3"/>
    <n v="1"/>
    <n v="80"/>
    <n v="1"/>
    <n v="8"/>
    <n v="2"/>
    <n v="4"/>
    <n v="7"/>
    <n v="7"/>
    <n v="0"/>
    <n v="7"/>
    <n v="0"/>
    <x v="2"/>
  </r>
  <r>
    <n v="56"/>
    <s v="Yes"/>
    <s v="Travel_Rarely"/>
    <n v="441"/>
    <x v="1"/>
    <n v="14"/>
    <n v="4"/>
    <x v="0"/>
    <n v="1"/>
    <x v="122"/>
    <n v="2"/>
    <s v="Female"/>
    <n v="72"/>
    <n v="3"/>
    <x v="1"/>
    <x v="1"/>
    <n v="2"/>
    <s v="Married"/>
    <n v="4963"/>
    <n v="4510"/>
    <n v="9"/>
    <s v="Y"/>
    <x v="0"/>
    <n v="18"/>
    <n v="3"/>
    <n v="1"/>
    <n v="80"/>
    <n v="3"/>
    <n v="7"/>
    <n v="2"/>
    <n v="3"/>
    <n v="5"/>
    <n v="4"/>
    <n v="4"/>
    <n v="3"/>
    <n v="1"/>
    <x v="3"/>
  </r>
  <r>
    <n v="51"/>
    <s v="No"/>
    <s v="Travel_Rarely"/>
    <n v="684"/>
    <x v="1"/>
    <n v="6"/>
    <n v="3"/>
    <x v="0"/>
    <n v="1"/>
    <x v="123"/>
    <n v="1"/>
    <s v="Male"/>
    <n v="51"/>
    <n v="3"/>
    <x v="4"/>
    <x v="7"/>
    <n v="3"/>
    <s v="Single"/>
    <n v="19537"/>
    <n v="6462"/>
    <n v="7"/>
    <s v="Y"/>
    <x v="1"/>
    <n v="13"/>
    <n v="3"/>
    <n v="3"/>
    <n v="80"/>
    <n v="0"/>
    <n v="23"/>
    <n v="5"/>
    <n v="3"/>
    <n v="20"/>
    <n v="18"/>
    <n v="15"/>
    <n v="15"/>
    <n v="0"/>
    <x v="1"/>
  </r>
  <r>
    <n v="31"/>
    <s v="Yes"/>
    <s v="Travel_Rarely"/>
    <n v="249"/>
    <x v="0"/>
    <n v="6"/>
    <n v="4"/>
    <x v="0"/>
    <n v="1"/>
    <x v="124"/>
    <n v="2"/>
    <s v="Male"/>
    <n v="76"/>
    <n v="1"/>
    <x v="0"/>
    <x v="0"/>
    <n v="3"/>
    <s v="Married"/>
    <n v="6172"/>
    <n v="20739"/>
    <n v="4"/>
    <s v="Y"/>
    <x v="0"/>
    <n v="18"/>
    <n v="3"/>
    <n v="2"/>
    <n v="80"/>
    <n v="0"/>
    <n v="12"/>
    <n v="3"/>
    <n v="2"/>
    <n v="7"/>
    <n v="7"/>
    <n v="7"/>
    <n v="7"/>
    <n v="1"/>
    <x v="2"/>
  </r>
  <r>
    <n v="26"/>
    <s v="No"/>
    <s v="Travel_Rarely"/>
    <n v="841"/>
    <x v="1"/>
    <n v="6"/>
    <n v="3"/>
    <x v="1"/>
    <n v="1"/>
    <x v="125"/>
    <n v="3"/>
    <s v="Female"/>
    <n v="46"/>
    <n v="2"/>
    <x v="1"/>
    <x v="1"/>
    <n v="2"/>
    <s v="Married"/>
    <n v="2368"/>
    <n v="23300"/>
    <n v="1"/>
    <s v="Y"/>
    <x v="1"/>
    <n v="19"/>
    <n v="3"/>
    <n v="3"/>
    <n v="80"/>
    <n v="0"/>
    <n v="5"/>
    <n v="3"/>
    <n v="2"/>
    <n v="5"/>
    <n v="4"/>
    <n v="4"/>
    <n v="3"/>
    <n v="0"/>
    <x v="2"/>
  </r>
  <r>
    <n v="58"/>
    <s v="Yes"/>
    <s v="Travel_Rarely"/>
    <n v="147"/>
    <x v="1"/>
    <n v="23"/>
    <n v="4"/>
    <x v="2"/>
    <n v="1"/>
    <x v="126"/>
    <n v="4"/>
    <s v="Female"/>
    <n v="94"/>
    <n v="3"/>
    <x v="2"/>
    <x v="4"/>
    <n v="4"/>
    <s v="Married"/>
    <n v="10312"/>
    <n v="3465"/>
    <n v="1"/>
    <s v="Y"/>
    <x v="1"/>
    <n v="12"/>
    <n v="3"/>
    <n v="4"/>
    <n v="80"/>
    <n v="1"/>
    <n v="40"/>
    <n v="3"/>
    <n v="2"/>
    <n v="40"/>
    <n v="10"/>
    <n v="15"/>
    <n v="6"/>
    <n v="1"/>
    <x v="3"/>
  </r>
  <r>
    <n v="19"/>
    <s v="Yes"/>
    <s v="Travel_Rarely"/>
    <n v="528"/>
    <x v="0"/>
    <n v="22"/>
    <n v="1"/>
    <x v="3"/>
    <n v="1"/>
    <x v="127"/>
    <n v="4"/>
    <s v="Male"/>
    <n v="50"/>
    <n v="3"/>
    <x v="1"/>
    <x v="6"/>
    <n v="3"/>
    <s v="Single"/>
    <n v="1675"/>
    <n v="26820"/>
    <n v="1"/>
    <s v="Y"/>
    <x v="0"/>
    <n v="19"/>
    <n v="3"/>
    <n v="4"/>
    <n v="80"/>
    <n v="0"/>
    <n v="0"/>
    <n v="2"/>
    <n v="2"/>
    <n v="0"/>
    <n v="0"/>
    <n v="0"/>
    <n v="0"/>
    <n v="1"/>
    <x v="4"/>
  </r>
  <r>
    <n v="22"/>
    <s v="No"/>
    <s v="Travel_Rarely"/>
    <n v="594"/>
    <x v="1"/>
    <n v="2"/>
    <n v="1"/>
    <x v="4"/>
    <n v="1"/>
    <x v="128"/>
    <n v="3"/>
    <s v="Male"/>
    <n v="100"/>
    <n v="3"/>
    <x v="1"/>
    <x v="2"/>
    <n v="4"/>
    <s v="Married"/>
    <n v="2523"/>
    <n v="19299"/>
    <n v="0"/>
    <s v="Y"/>
    <x v="1"/>
    <n v="14"/>
    <n v="3"/>
    <n v="3"/>
    <n v="80"/>
    <n v="1"/>
    <n v="3"/>
    <n v="2"/>
    <n v="3"/>
    <n v="2"/>
    <n v="1"/>
    <n v="2"/>
    <n v="1"/>
    <n v="0"/>
    <x v="4"/>
  </r>
  <r>
    <n v="49"/>
    <s v="No"/>
    <s v="Travel_Rarely"/>
    <n v="470"/>
    <x v="1"/>
    <n v="20"/>
    <n v="4"/>
    <x v="2"/>
    <n v="1"/>
    <x v="129"/>
    <n v="3"/>
    <s v="Female"/>
    <n v="96"/>
    <n v="3"/>
    <x v="0"/>
    <x v="3"/>
    <n v="1"/>
    <s v="Married"/>
    <n v="6567"/>
    <n v="5549"/>
    <n v="1"/>
    <s v="Y"/>
    <x v="1"/>
    <n v="14"/>
    <n v="3"/>
    <n v="3"/>
    <n v="80"/>
    <n v="0"/>
    <n v="16"/>
    <n v="2"/>
    <n v="2"/>
    <n v="15"/>
    <n v="11"/>
    <n v="5"/>
    <n v="11"/>
    <n v="0"/>
    <x v="1"/>
  </r>
  <r>
    <n v="43"/>
    <s v="No"/>
    <s v="Travel_Frequently"/>
    <n v="957"/>
    <x v="1"/>
    <n v="28"/>
    <n v="3"/>
    <x v="2"/>
    <n v="1"/>
    <x v="130"/>
    <n v="2"/>
    <s v="Female"/>
    <n v="72"/>
    <n v="4"/>
    <x v="1"/>
    <x v="1"/>
    <n v="3"/>
    <s v="Single"/>
    <n v="4739"/>
    <n v="16090"/>
    <n v="4"/>
    <s v="Y"/>
    <x v="1"/>
    <n v="12"/>
    <n v="3"/>
    <n v="4"/>
    <n v="80"/>
    <n v="0"/>
    <n v="18"/>
    <n v="2"/>
    <n v="3"/>
    <n v="3"/>
    <n v="2"/>
    <n v="1"/>
    <n v="2"/>
    <n v="0"/>
    <x v="0"/>
  </r>
  <r>
    <n v="50"/>
    <s v="No"/>
    <s v="Travel_Frequently"/>
    <n v="809"/>
    <x v="0"/>
    <n v="12"/>
    <n v="3"/>
    <x v="3"/>
    <n v="1"/>
    <x v="131"/>
    <n v="3"/>
    <s v="Female"/>
    <n v="77"/>
    <n v="3"/>
    <x v="2"/>
    <x v="0"/>
    <n v="4"/>
    <s v="Single"/>
    <n v="9208"/>
    <n v="6645"/>
    <n v="4"/>
    <s v="Y"/>
    <x v="1"/>
    <n v="11"/>
    <n v="3"/>
    <n v="4"/>
    <n v="80"/>
    <n v="0"/>
    <n v="16"/>
    <n v="3"/>
    <n v="3"/>
    <n v="2"/>
    <n v="2"/>
    <n v="2"/>
    <n v="1"/>
    <n v="0"/>
    <x v="1"/>
  </r>
  <r>
    <n v="31"/>
    <s v="Yes"/>
    <s v="Travel_Rarely"/>
    <n v="542"/>
    <x v="0"/>
    <n v="20"/>
    <n v="3"/>
    <x v="0"/>
    <n v="1"/>
    <x v="132"/>
    <n v="2"/>
    <s v="Female"/>
    <n v="71"/>
    <n v="1"/>
    <x v="0"/>
    <x v="0"/>
    <n v="3"/>
    <s v="Married"/>
    <n v="4559"/>
    <n v="24788"/>
    <n v="3"/>
    <s v="Y"/>
    <x v="0"/>
    <n v="11"/>
    <n v="3"/>
    <n v="3"/>
    <n v="80"/>
    <n v="1"/>
    <n v="4"/>
    <n v="2"/>
    <n v="3"/>
    <n v="2"/>
    <n v="2"/>
    <n v="2"/>
    <n v="2"/>
    <n v="1"/>
    <x v="2"/>
  </r>
  <r>
    <n v="41"/>
    <s v="No"/>
    <s v="Travel_Rarely"/>
    <n v="802"/>
    <x v="0"/>
    <n v="9"/>
    <n v="1"/>
    <x v="0"/>
    <n v="1"/>
    <x v="133"/>
    <n v="3"/>
    <s v="Male"/>
    <n v="96"/>
    <n v="3"/>
    <x v="2"/>
    <x v="0"/>
    <n v="3"/>
    <s v="Divorced"/>
    <n v="8189"/>
    <n v="21196"/>
    <n v="3"/>
    <s v="Y"/>
    <x v="0"/>
    <n v="13"/>
    <n v="3"/>
    <n v="3"/>
    <n v="80"/>
    <n v="1"/>
    <n v="12"/>
    <n v="2"/>
    <n v="3"/>
    <n v="9"/>
    <n v="7"/>
    <n v="0"/>
    <n v="7"/>
    <n v="0"/>
    <x v="0"/>
  </r>
  <r>
    <n v="26"/>
    <s v="No"/>
    <s v="Travel_Rarely"/>
    <n v="1355"/>
    <x v="2"/>
    <n v="25"/>
    <n v="1"/>
    <x v="0"/>
    <n v="1"/>
    <x v="134"/>
    <n v="3"/>
    <s v="Female"/>
    <n v="61"/>
    <n v="3"/>
    <x v="1"/>
    <x v="8"/>
    <n v="3"/>
    <s v="Married"/>
    <n v="2942"/>
    <n v="8916"/>
    <n v="1"/>
    <s v="Y"/>
    <x v="1"/>
    <n v="23"/>
    <n v="4"/>
    <n v="4"/>
    <n v="80"/>
    <n v="1"/>
    <n v="8"/>
    <n v="3"/>
    <n v="3"/>
    <n v="8"/>
    <n v="7"/>
    <n v="5"/>
    <n v="7"/>
    <n v="0"/>
    <x v="2"/>
  </r>
  <r>
    <n v="36"/>
    <s v="No"/>
    <s v="Travel_Rarely"/>
    <n v="216"/>
    <x v="1"/>
    <n v="6"/>
    <n v="2"/>
    <x v="2"/>
    <n v="1"/>
    <x v="135"/>
    <n v="2"/>
    <s v="Male"/>
    <n v="84"/>
    <n v="3"/>
    <x v="0"/>
    <x v="3"/>
    <n v="2"/>
    <s v="Divorced"/>
    <n v="4941"/>
    <n v="2819"/>
    <n v="6"/>
    <s v="Y"/>
    <x v="1"/>
    <n v="20"/>
    <n v="4"/>
    <n v="4"/>
    <n v="80"/>
    <n v="2"/>
    <n v="7"/>
    <n v="0"/>
    <n v="3"/>
    <n v="3"/>
    <n v="2"/>
    <n v="0"/>
    <n v="1"/>
    <n v="0"/>
    <x v="0"/>
  </r>
  <r>
    <n v="51"/>
    <s v="Yes"/>
    <s v="Travel_Frequently"/>
    <n v="1150"/>
    <x v="1"/>
    <n v="8"/>
    <n v="4"/>
    <x v="0"/>
    <n v="1"/>
    <x v="136"/>
    <n v="1"/>
    <s v="Male"/>
    <n v="53"/>
    <n v="1"/>
    <x v="2"/>
    <x v="3"/>
    <n v="4"/>
    <s v="Single"/>
    <n v="10650"/>
    <n v="25150"/>
    <n v="2"/>
    <s v="Y"/>
    <x v="1"/>
    <n v="15"/>
    <n v="3"/>
    <n v="4"/>
    <n v="80"/>
    <n v="0"/>
    <n v="18"/>
    <n v="2"/>
    <n v="3"/>
    <n v="4"/>
    <n v="2"/>
    <n v="0"/>
    <n v="3"/>
    <n v="1"/>
    <x v="1"/>
  </r>
  <r>
    <n v="39"/>
    <s v="No"/>
    <s v="Travel_Rarely"/>
    <n v="1329"/>
    <x v="0"/>
    <n v="4"/>
    <n v="4"/>
    <x v="0"/>
    <n v="1"/>
    <x v="137"/>
    <n v="4"/>
    <s v="Female"/>
    <n v="47"/>
    <n v="2"/>
    <x v="0"/>
    <x v="0"/>
    <n v="3"/>
    <s v="Married"/>
    <n v="5902"/>
    <n v="14590"/>
    <n v="4"/>
    <s v="Y"/>
    <x v="1"/>
    <n v="14"/>
    <n v="3"/>
    <n v="3"/>
    <n v="80"/>
    <n v="1"/>
    <n v="17"/>
    <n v="1"/>
    <n v="4"/>
    <n v="15"/>
    <n v="11"/>
    <n v="5"/>
    <n v="9"/>
    <n v="0"/>
    <x v="0"/>
  </r>
  <r>
    <n v="25"/>
    <s v="No"/>
    <s v="Travel_Rarely"/>
    <n v="959"/>
    <x v="0"/>
    <n v="28"/>
    <n v="3"/>
    <x v="0"/>
    <n v="1"/>
    <x v="138"/>
    <n v="1"/>
    <s v="Male"/>
    <n v="41"/>
    <n v="2"/>
    <x v="0"/>
    <x v="0"/>
    <n v="3"/>
    <s v="Married"/>
    <n v="8639"/>
    <n v="24835"/>
    <n v="2"/>
    <s v="Y"/>
    <x v="1"/>
    <n v="18"/>
    <n v="3"/>
    <n v="4"/>
    <n v="80"/>
    <n v="0"/>
    <n v="6"/>
    <n v="3"/>
    <n v="3"/>
    <n v="2"/>
    <n v="2"/>
    <n v="2"/>
    <n v="2"/>
    <n v="0"/>
    <x v="4"/>
  </r>
  <r>
    <n v="30"/>
    <s v="No"/>
    <s v="Travel_Rarely"/>
    <n v="1240"/>
    <x v="2"/>
    <n v="9"/>
    <n v="3"/>
    <x v="5"/>
    <n v="1"/>
    <x v="139"/>
    <n v="3"/>
    <s v="Male"/>
    <n v="48"/>
    <n v="3"/>
    <x v="0"/>
    <x v="8"/>
    <n v="4"/>
    <s v="Married"/>
    <n v="6347"/>
    <n v="13982"/>
    <n v="0"/>
    <s v="Y"/>
    <x v="0"/>
    <n v="19"/>
    <n v="3"/>
    <n v="4"/>
    <n v="80"/>
    <n v="0"/>
    <n v="12"/>
    <n v="2"/>
    <n v="1"/>
    <n v="11"/>
    <n v="9"/>
    <n v="4"/>
    <n v="7"/>
    <n v="0"/>
    <x v="2"/>
  </r>
  <r>
    <n v="32"/>
    <s v="Yes"/>
    <s v="Travel_Rarely"/>
    <n v="1033"/>
    <x v="1"/>
    <n v="9"/>
    <n v="3"/>
    <x v="2"/>
    <n v="1"/>
    <x v="140"/>
    <n v="1"/>
    <s v="Female"/>
    <n v="41"/>
    <n v="3"/>
    <x v="1"/>
    <x v="2"/>
    <n v="1"/>
    <s v="Single"/>
    <n v="4200"/>
    <n v="10224"/>
    <n v="7"/>
    <s v="Y"/>
    <x v="1"/>
    <n v="22"/>
    <n v="4"/>
    <n v="1"/>
    <n v="80"/>
    <n v="0"/>
    <n v="10"/>
    <n v="2"/>
    <n v="4"/>
    <n v="5"/>
    <n v="4"/>
    <n v="0"/>
    <n v="4"/>
    <n v="1"/>
    <x v="2"/>
  </r>
  <r>
    <n v="45"/>
    <s v="No"/>
    <s v="Travel_Rarely"/>
    <n v="1316"/>
    <x v="1"/>
    <n v="29"/>
    <n v="3"/>
    <x v="2"/>
    <n v="1"/>
    <x v="141"/>
    <n v="3"/>
    <s v="Male"/>
    <n v="83"/>
    <n v="3"/>
    <x v="1"/>
    <x v="1"/>
    <n v="4"/>
    <s v="Single"/>
    <n v="3452"/>
    <n v="9752"/>
    <n v="5"/>
    <s v="Y"/>
    <x v="1"/>
    <n v="13"/>
    <n v="3"/>
    <n v="2"/>
    <n v="80"/>
    <n v="0"/>
    <n v="9"/>
    <n v="2"/>
    <n v="2"/>
    <n v="6"/>
    <n v="5"/>
    <n v="0"/>
    <n v="3"/>
    <n v="0"/>
    <x v="0"/>
  </r>
  <r>
    <n v="38"/>
    <s v="No"/>
    <s v="Travel_Rarely"/>
    <n v="364"/>
    <x v="1"/>
    <n v="3"/>
    <n v="5"/>
    <x v="4"/>
    <n v="1"/>
    <x v="142"/>
    <n v="4"/>
    <s v="Female"/>
    <n v="32"/>
    <n v="3"/>
    <x v="0"/>
    <x v="1"/>
    <n v="3"/>
    <s v="Single"/>
    <n v="4317"/>
    <n v="2302"/>
    <n v="3"/>
    <s v="Y"/>
    <x v="0"/>
    <n v="20"/>
    <n v="4"/>
    <n v="2"/>
    <n v="80"/>
    <n v="0"/>
    <n v="19"/>
    <n v="2"/>
    <n v="3"/>
    <n v="3"/>
    <n v="2"/>
    <n v="2"/>
    <n v="2"/>
    <n v="0"/>
    <x v="0"/>
  </r>
  <r>
    <n v="30"/>
    <s v="No"/>
    <s v="Travel_Rarely"/>
    <n v="438"/>
    <x v="1"/>
    <n v="18"/>
    <n v="3"/>
    <x v="0"/>
    <n v="1"/>
    <x v="143"/>
    <n v="1"/>
    <s v="Female"/>
    <n v="75"/>
    <n v="3"/>
    <x v="1"/>
    <x v="1"/>
    <n v="3"/>
    <s v="Single"/>
    <n v="2632"/>
    <n v="23910"/>
    <n v="1"/>
    <s v="Y"/>
    <x v="1"/>
    <n v="14"/>
    <n v="3"/>
    <n v="3"/>
    <n v="80"/>
    <n v="0"/>
    <n v="5"/>
    <n v="4"/>
    <n v="2"/>
    <n v="5"/>
    <n v="4"/>
    <n v="0"/>
    <n v="4"/>
    <n v="0"/>
    <x v="2"/>
  </r>
  <r>
    <n v="32"/>
    <s v="No"/>
    <s v="Travel_Frequently"/>
    <n v="689"/>
    <x v="0"/>
    <n v="9"/>
    <n v="2"/>
    <x v="2"/>
    <n v="1"/>
    <x v="144"/>
    <n v="4"/>
    <s v="Male"/>
    <n v="35"/>
    <n v="1"/>
    <x v="0"/>
    <x v="0"/>
    <n v="4"/>
    <s v="Divorced"/>
    <n v="4668"/>
    <n v="22812"/>
    <n v="0"/>
    <s v="Y"/>
    <x v="1"/>
    <n v="17"/>
    <n v="3"/>
    <n v="4"/>
    <n v="80"/>
    <n v="3"/>
    <n v="9"/>
    <n v="2"/>
    <n v="4"/>
    <n v="8"/>
    <n v="7"/>
    <n v="0"/>
    <n v="7"/>
    <n v="0"/>
    <x v="2"/>
  </r>
  <r>
    <n v="30"/>
    <s v="No"/>
    <s v="Travel_Rarely"/>
    <n v="201"/>
    <x v="1"/>
    <n v="5"/>
    <n v="3"/>
    <x v="4"/>
    <n v="1"/>
    <x v="145"/>
    <n v="4"/>
    <s v="Female"/>
    <n v="84"/>
    <n v="3"/>
    <x v="1"/>
    <x v="1"/>
    <n v="1"/>
    <s v="Divorced"/>
    <n v="3204"/>
    <n v="10415"/>
    <n v="5"/>
    <s v="Y"/>
    <x v="1"/>
    <n v="14"/>
    <n v="3"/>
    <n v="4"/>
    <n v="80"/>
    <n v="1"/>
    <n v="8"/>
    <n v="3"/>
    <n v="3"/>
    <n v="3"/>
    <n v="2"/>
    <n v="2"/>
    <n v="2"/>
    <n v="0"/>
    <x v="2"/>
  </r>
  <r>
    <n v="30"/>
    <s v="No"/>
    <s v="Travel_Rarely"/>
    <n v="1427"/>
    <x v="1"/>
    <n v="2"/>
    <n v="1"/>
    <x v="2"/>
    <n v="1"/>
    <x v="146"/>
    <n v="2"/>
    <s v="Male"/>
    <n v="35"/>
    <n v="2"/>
    <x v="1"/>
    <x v="2"/>
    <n v="4"/>
    <s v="Single"/>
    <n v="2720"/>
    <n v="11162"/>
    <n v="0"/>
    <s v="Y"/>
    <x v="1"/>
    <n v="13"/>
    <n v="3"/>
    <n v="4"/>
    <n v="80"/>
    <n v="0"/>
    <n v="6"/>
    <n v="3"/>
    <n v="3"/>
    <n v="5"/>
    <n v="3"/>
    <n v="1"/>
    <n v="2"/>
    <n v="0"/>
    <x v="2"/>
  </r>
  <r>
    <n v="41"/>
    <s v="No"/>
    <s v="Travel_Frequently"/>
    <n v="857"/>
    <x v="1"/>
    <n v="10"/>
    <n v="3"/>
    <x v="0"/>
    <n v="1"/>
    <x v="147"/>
    <n v="4"/>
    <s v="Male"/>
    <n v="91"/>
    <n v="2"/>
    <x v="3"/>
    <x v="5"/>
    <n v="1"/>
    <s v="Divorced"/>
    <n v="17181"/>
    <n v="12888"/>
    <n v="4"/>
    <s v="Y"/>
    <x v="1"/>
    <n v="13"/>
    <n v="3"/>
    <n v="2"/>
    <n v="80"/>
    <n v="1"/>
    <n v="21"/>
    <n v="2"/>
    <n v="2"/>
    <n v="7"/>
    <n v="6"/>
    <n v="7"/>
    <n v="7"/>
    <n v="0"/>
    <x v="0"/>
  </r>
  <r>
    <n v="41"/>
    <s v="No"/>
    <s v="Travel_Rarely"/>
    <n v="933"/>
    <x v="1"/>
    <n v="9"/>
    <n v="4"/>
    <x v="0"/>
    <n v="1"/>
    <x v="148"/>
    <n v="3"/>
    <s v="Male"/>
    <n v="94"/>
    <n v="3"/>
    <x v="1"/>
    <x v="2"/>
    <n v="1"/>
    <s v="Married"/>
    <n v="2238"/>
    <n v="6961"/>
    <n v="2"/>
    <s v="Y"/>
    <x v="1"/>
    <n v="21"/>
    <n v="4"/>
    <n v="4"/>
    <n v="80"/>
    <n v="1"/>
    <n v="7"/>
    <n v="2"/>
    <n v="3"/>
    <n v="5"/>
    <n v="0"/>
    <n v="1"/>
    <n v="4"/>
    <n v="0"/>
    <x v="0"/>
  </r>
  <r>
    <n v="19"/>
    <s v="No"/>
    <s v="Travel_Rarely"/>
    <n v="1181"/>
    <x v="1"/>
    <n v="3"/>
    <n v="1"/>
    <x v="2"/>
    <n v="1"/>
    <x v="149"/>
    <n v="2"/>
    <s v="Female"/>
    <n v="79"/>
    <n v="3"/>
    <x v="1"/>
    <x v="2"/>
    <n v="2"/>
    <s v="Single"/>
    <n v="1483"/>
    <n v="16102"/>
    <n v="1"/>
    <s v="Y"/>
    <x v="1"/>
    <n v="14"/>
    <n v="3"/>
    <n v="4"/>
    <n v="80"/>
    <n v="0"/>
    <n v="1"/>
    <n v="3"/>
    <n v="3"/>
    <n v="1"/>
    <n v="0"/>
    <n v="0"/>
    <n v="0"/>
    <n v="0"/>
    <x v="4"/>
  </r>
  <r>
    <n v="40"/>
    <s v="No"/>
    <s v="Travel_Frequently"/>
    <n v="1395"/>
    <x v="1"/>
    <n v="26"/>
    <n v="3"/>
    <x v="2"/>
    <n v="1"/>
    <x v="150"/>
    <n v="2"/>
    <s v="Female"/>
    <n v="54"/>
    <n v="3"/>
    <x v="0"/>
    <x v="1"/>
    <n v="2"/>
    <s v="Divorced"/>
    <n v="5605"/>
    <n v="8504"/>
    <n v="1"/>
    <s v="Y"/>
    <x v="1"/>
    <n v="11"/>
    <n v="3"/>
    <n v="1"/>
    <n v="80"/>
    <n v="1"/>
    <n v="20"/>
    <n v="2"/>
    <n v="3"/>
    <n v="20"/>
    <n v="7"/>
    <n v="2"/>
    <n v="13"/>
    <n v="0"/>
    <x v="0"/>
  </r>
  <r>
    <n v="35"/>
    <s v="No"/>
    <s v="Travel_Rarely"/>
    <n v="662"/>
    <x v="0"/>
    <n v="1"/>
    <n v="5"/>
    <x v="3"/>
    <n v="1"/>
    <x v="151"/>
    <n v="3"/>
    <s v="Male"/>
    <n v="94"/>
    <n v="3"/>
    <x v="2"/>
    <x v="0"/>
    <n v="2"/>
    <s v="Married"/>
    <n v="7295"/>
    <n v="11439"/>
    <n v="1"/>
    <s v="Y"/>
    <x v="1"/>
    <n v="13"/>
    <n v="3"/>
    <n v="1"/>
    <n v="80"/>
    <n v="2"/>
    <n v="10"/>
    <n v="3"/>
    <n v="3"/>
    <n v="10"/>
    <n v="8"/>
    <n v="0"/>
    <n v="6"/>
    <n v="0"/>
    <x v="2"/>
  </r>
  <r>
    <n v="53"/>
    <s v="No"/>
    <s v="Travel_Rarely"/>
    <n v="1436"/>
    <x v="0"/>
    <n v="6"/>
    <n v="2"/>
    <x v="3"/>
    <n v="1"/>
    <x v="152"/>
    <n v="2"/>
    <s v="Male"/>
    <n v="34"/>
    <n v="3"/>
    <x v="0"/>
    <x v="6"/>
    <n v="3"/>
    <s v="Married"/>
    <n v="2306"/>
    <n v="16047"/>
    <n v="2"/>
    <s v="Y"/>
    <x v="0"/>
    <n v="20"/>
    <n v="4"/>
    <n v="4"/>
    <n v="80"/>
    <n v="1"/>
    <n v="13"/>
    <n v="3"/>
    <n v="1"/>
    <n v="7"/>
    <n v="7"/>
    <n v="4"/>
    <n v="5"/>
    <n v="0"/>
    <x v="1"/>
  </r>
  <r>
    <n v="45"/>
    <s v="No"/>
    <s v="Travel_Rarely"/>
    <n v="194"/>
    <x v="1"/>
    <n v="9"/>
    <n v="3"/>
    <x v="0"/>
    <n v="1"/>
    <x v="153"/>
    <n v="2"/>
    <s v="Male"/>
    <n v="60"/>
    <n v="3"/>
    <x v="0"/>
    <x v="2"/>
    <n v="2"/>
    <s v="Divorced"/>
    <n v="2348"/>
    <n v="10901"/>
    <n v="8"/>
    <s v="Y"/>
    <x v="1"/>
    <n v="18"/>
    <n v="3"/>
    <n v="3"/>
    <n v="80"/>
    <n v="1"/>
    <n v="20"/>
    <n v="2"/>
    <n v="1"/>
    <n v="17"/>
    <n v="9"/>
    <n v="0"/>
    <n v="15"/>
    <n v="0"/>
    <x v="0"/>
  </r>
  <r>
    <n v="32"/>
    <s v="No"/>
    <s v="Travel_Frequently"/>
    <n v="967"/>
    <x v="0"/>
    <n v="8"/>
    <n v="3"/>
    <x v="3"/>
    <n v="1"/>
    <x v="154"/>
    <n v="2"/>
    <s v="Female"/>
    <n v="43"/>
    <n v="3"/>
    <x v="2"/>
    <x v="0"/>
    <n v="4"/>
    <s v="Single"/>
    <n v="8998"/>
    <n v="15589"/>
    <n v="1"/>
    <s v="Y"/>
    <x v="1"/>
    <n v="14"/>
    <n v="3"/>
    <n v="4"/>
    <n v="80"/>
    <n v="0"/>
    <n v="9"/>
    <n v="2"/>
    <n v="3"/>
    <n v="9"/>
    <n v="8"/>
    <n v="3"/>
    <n v="7"/>
    <n v="0"/>
    <x v="2"/>
  </r>
  <r>
    <n v="29"/>
    <s v="No"/>
    <s v="Non-Travel"/>
    <n v="1496"/>
    <x v="1"/>
    <n v="1"/>
    <n v="1"/>
    <x v="4"/>
    <n v="1"/>
    <x v="155"/>
    <n v="4"/>
    <s v="Male"/>
    <n v="41"/>
    <n v="3"/>
    <x v="0"/>
    <x v="3"/>
    <n v="3"/>
    <s v="Married"/>
    <n v="4319"/>
    <n v="26283"/>
    <n v="1"/>
    <s v="Y"/>
    <x v="1"/>
    <n v="13"/>
    <n v="3"/>
    <n v="1"/>
    <n v="80"/>
    <n v="1"/>
    <n v="10"/>
    <n v="1"/>
    <n v="3"/>
    <n v="10"/>
    <n v="7"/>
    <n v="0"/>
    <n v="9"/>
    <n v="0"/>
    <x v="2"/>
  </r>
  <r>
    <n v="51"/>
    <s v="No"/>
    <s v="Travel_Rarely"/>
    <n v="1169"/>
    <x v="1"/>
    <n v="7"/>
    <n v="4"/>
    <x v="2"/>
    <n v="1"/>
    <x v="156"/>
    <n v="2"/>
    <s v="Male"/>
    <n v="34"/>
    <n v="2"/>
    <x v="0"/>
    <x v="3"/>
    <n v="3"/>
    <s v="Married"/>
    <n v="6132"/>
    <n v="13983"/>
    <n v="2"/>
    <s v="Y"/>
    <x v="1"/>
    <n v="17"/>
    <n v="3"/>
    <n v="3"/>
    <n v="80"/>
    <n v="0"/>
    <n v="10"/>
    <n v="2"/>
    <n v="3"/>
    <n v="1"/>
    <n v="0"/>
    <n v="0"/>
    <n v="0"/>
    <n v="0"/>
    <x v="1"/>
  </r>
  <r>
    <n v="58"/>
    <s v="No"/>
    <s v="Travel_Rarely"/>
    <n v="1145"/>
    <x v="1"/>
    <n v="9"/>
    <n v="3"/>
    <x v="2"/>
    <n v="1"/>
    <x v="157"/>
    <n v="2"/>
    <s v="Female"/>
    <n v="75"/>
    <n v="2"/>
    <x v="1"/>
    <x v="1"/>
    <n v="2"/>
    <s v="Married"/>
    <n v="3346"/>
    <n v="11873"/>
    <n v="4"/>
    <s v="Y"/>
    <x v="0"/>
    <n v="20"/>
    <n v="4"/>
    <n v="2"/>
    <n v="80"/>
    <n v="1"/>
    <n v="9"/>
    <n v="3"/>
    <n v="2"/>
    <n v="1"/>
    <n v="0"/>
    <n v="0"/>
    <n v="0"/>
    <n v="0"/>
    <x v="3"/>
  </r>
  <r>
    <n v="40"/>
    <s v="No"/>
    <s v="Travel_Rarely"/>
    <n v="630"/>
    <x v="0"/>
    <n v="4"/>
    <n v="4"/>
    <x v="3"/>
    <n v="1"/>
    <x v="158"/>
    <n v="3"/>
    <s v="Male"/>
    <n v="67"/>
    <n v="2"/>
    <x v="2"/>
    <x v="0"/>
    <n v="4"/>
    <s v="Married"/>
    <n v="10855"/>
    <n v="8552"/>
    <n v="7"/>
    <s v="Y"/>
    <x v="1"/>
    <n v="11"/>
    <n v="3"/>
    <n v="1"/>
    <n v="80"/>
    <n v="1"/>
    <n v="15"/>
    <n v="2"/>
    <n v="2"/>
    <n v="12"/>
    <n v="11"/>
    <n v="2"/>
    <n v="11"/>
    <n v="0"/>
    <x v="0"/>
  </r>
  <r>
    <n v="34"/>
    <s v="No"/>
    <s v="Travel_Frequently"/>
    <n v="303"/>
    <x v="0"/>
    <n v="2"/>
    <n v="4"/>
    <x v="3"/>
    <n v="1"/>
    <x v="159"/>
    <n v="3"/>
    <s v="Female"/>
    <n v="75"/>
    <n v="3"/>
    <x v="1"/>
    <x v="6"/>
    <n v="3"/>
    <s v="Married"/>
    <n v="2231"/>
    <n v="11314"/>
    <n v="6"/>
    <s v="Y"/>
    <x v="1"/>
    <n v="18"/>
    <n v="3"/>
    <n v="4"/>
    <n v="80"/>
    <n v="1"/>
    <n v="6"/>
    <n v="3"/>
    <n v="3"/>
    <n v="4"/>
    <n v="3"/>
    <n v="1"/>
    <n v="2"/>
    <n v="0"/>
    <x v="2"/>
  </r>
  <r>
    <n v="22"/>
    <s v="No"/>
    <s v="Travel_Rarely"/>
    <n v="1256"/>
    <x v="1"/>
    <n v="19"/>
    <n v="1"/>
    <x v="2"/>
    <n v="1"/>
    <x v="160"/>
    <n v="3"/>
    <s v="Male"/>
    <n v="80"/>
    <n v="3"/>
    <x v="1"/>
    <x v="1"/>
    <n v="4"/>
    <s v="Married"/>
    <n v="2323"/>
    <n v="11992"/>
    <n v="1"/>
    <s v="Y"/>
    <x v="1"/>
    <n v="24"/>
    <n v="4"/>
    <n v="1"/>
    <n v="80"/>
    <n v="2"/>
    <n v="2"/>
    <n v="6"/>
    <n v="3"/>
    <n v="2"/>
    <n v="2"/>
    <n v="2"/>
    <n v="2"/>
    <n v="0"/>
    <x v="4"/>
  </r>
  <r>
    <n v="27"/>
    <s v="No"/>
    <s v="Non-Travel"/>
    <n v="691"/>
    <x v="1"/>
    <n v="9"/>
    <n v="3"/>
    <x v="2"/>
    <n v="1"/>
    <x v="161"/>
    <n v="4"/>
    <s v="Male"/>
    <n v="57"/>
    <n v="3"/>
    <x v="1"/>
    <x v="1"/>
    <n v="2"/>
    <s v="Divorced"/>
    <n v="2024"/>
    <n v="5970"/>
    <n v="6"/>
    <s v="Y"/>
    <x v="1"/>
    <n v="18"/>
    <n v="3"/>
    <n v="4"/>
    <n v="80"/>
    <n v="1"/>
    <n v="6"/>
    <n v="1"/>
    <n v="1"/>
    <n v="2"/>
    <n v="2"/>
    <n v="2"/>
    <n v="2"/>
    <n v="0"/>
    <x v="2"/>
  </r>
  <r>
    <n v="28"/>
    <s v="No"/>
    <s v="Travel_Rarely"/>
    <n v="440"/>
    <x v="1"/>
    <n v="21"/>
    <n v="3"/>
    <x v="2"/>
    <n v="1"/>
    <x v="162"/>
    <n v="3"/>
    <s v="Male"/>
    <n v="42"/>
    <n v="3"/>
    <x v="1"/>
    <x v="1"/>
    <n v="4"/>
    <s v="Married"/>
    <n v="2713"/>
    <n v="6672"/>
    <n v="1"/>
    <s v="Y"/>
    <x v="1"/>
    <n v="11"/>
    <n v="3"/>
    <n v="3"/>
    <n v="80"/>
    <n v="1"/>
    <n v="5"/>
    <n v="2"/>
    <n v="1"/>
    <n v="5"/>
    <n v="2"/>
    <n v="0"/>
    <n v="2"/>
    <n v="0"/>
    <x v="2"/>
  </r>
  <r>
    <n v="57"/>
    <s v="No"/>
    <s v="Travel_Rarely"/>
    <n v="334"/>
    <x v="1"/>
    <n v="24"/>
    <n v="2"/>
    <x v="0"/>
    <n v="1"/>
    <x v="163"/>
    <n v="3"/>
    <s v="Male"/>
    <n v="83"/>
    <n v="4"/>
    <x v="2"/>
    <x v="4"/>
    <n v="4"/>
    <s v="Divorced"/>
    <n v="9439"/>
    <n v="23402"/>
    <n v="3"/>
    <s v="Y"/>
    <x v="0"/>
    <n v="16"/>
    <n v="3"/>
    <n v="2"/>
    <n v="80"/>
    <n v="1"/>
    <n v="12"/>
    <n v="2"/>
    <n v="1"/>
    <n v="5"/>
    <n v="3"/>
    <n v="1"/>
    <n v="4"/>
    <n v="0"/>
    <x v="3"/>
  </r>
  <r>
    <n v="27"/>
    <s v="No"/>
    <s v="Non-Travel"/>
    <n v="1450"/>
    <x v="1"/>
    <n v="3"/>
    <n v="3"/>
    <x v="2"/>
    <n v="1"/>
    <x v="164"/>
    <n v="3"/>
    <s v="Male"/>
    <n v="79"/>
    <n v="2"/>
    <x v="1"/>
    <x v="1"/>
    <n v="3"/>
    <s v="Divorced"/>
    <n v="2566"/>
    <n v="25326"/>
    <n v="1"/>
    <s v="Y"/>
    <x v="0"/>
    <n v="15"/>
    <n v="3"/>
    <n v="4"/>
    <n v="80"/>
    <n v="1"/>
    <n v="1"/>
    <n v="2"/>
    <n v="2"/>
    <n v="1"/>
    <n v="1"/>
    <n v="0"/>
    <n v="1"/>
    <n v="0"/>
    <x v="2"/>
  </r>
  <r>
    <n v="50"/>
    <s v="No"/>
    <s v="Travel_Rarely"/>
    <n v="1452"/>
    <x v="1"/>
    <n v="11"/>
    <n v="3"/>
    <x v="0"/>
    <n v="1"/>
    <x v="165"/>
    <n v="3"/>
    <s v="Female"/>
    <n v="53"/>
    <n v="3"/>
    <x v="4"/>
    <x v="5"/>
    <n v="2"/>
    <s v="Single"/>
    <n v="19926"/>
    <n v="17053"/>
    <n v="3"/>
    <s v="Y"/>
    <x v="1"/>
    <n v="15"/>
    <n v="3"/>
    <n v="2"/>
    <n v="80"/>
    <n v="0"/>
    <n v="21"/>
    <n v="5"/>
    <n v="3"/>
    <n v="5"/>
    <n v="4"/>
    <n v="4"/>
    <n v="4"/>
    <n v="0"/>
    <x v="1"/>
  </r>
  <r>
    <n v="41"/>
    <s v="No"/>
    <s v="Travel_Rarely"/>
    <n v="465"/>
    <x v="1"/>
    <n v="14"/>
    <n v="3"/>
    <x v="0"/>
    <n v="1"/>
    <x v="166"/>
    <n v="1"/>
    <s v="Male"/>
    <n v="56"/>
    <n v="3"/>
    <x v="1"/>
    <x v="1"/>
    <n v="3"/>
    <s v="Divorced"/>
    <n v="2451"/>
    <n v="4609"/>
    <n v="4"/>
    <s v="Y"/>
    <x v="1"/>
    <n v="12"/>
    <n v="3"/>
    <n v="1"/>
    <n v="80"/>
    <n v="1"/>
    <n v="13"/>
    <n v="2"/>
    <n v="3"/>
    <n v="9"/>
    <n v="8"/>
    <n v="1"/>
    <n v="8"/>
    <n v="0"/>
    <x v="0"/>
  </r>
  <r>
    <n v="30"/>
    <s v="No"/>
    <s v="Travel_Rarely"/>
    <n v="1339"/>
    <x v="0"/>
    <n v="5"/>
    <n v="3"/>
    <x v="0"/>
    <n v="1"/>
    <x v="167"/>
    <n v="2"/>
    <s v="Female"/>
    <n v="41"/>
    <n v="3"/>
    <x v="2"/>
    <x v="0"/>
    <n v="4"/>
    <s v="Married"/>
    <n v="9419"/>
    <n v="8053"/>
    <n v="2"/>
    <s v="Y"/>
    <x v="1"/>
    <n v="12"/>
    <n v="3"/>
    <n v="3"/>
    <n v="80"/>
    <n v="1"/>
    <n v="12"/>
    <n v="2"/>
    <n v="3"/>
    <n v="10"/>
    <n v="9"/>
    <n v="7"/>
    <n v="4"/>
    <n v="0"/>
    <x v="2"/>
  </r>
  <r>
    <n v="38"/>
    <s v="No"/>
    <s v="Travel_Rarely"/>
    <n v="702"/>
    <x v="0"/>
    <n v="1"/>
    <n v="4"/>
    <x v="0"/>
    <n v="1"/>
    <x v="168"/>
    <n v="1"/>
    <s v="Female"/>
    <n v="59"/>
    <n v="2"/>
    <x v="0"/>
    <x v="0"/>
    <n v="4"/>
    <s v="Single"/>
    <n v="8686"/>
    <n v="12930"/>
    <n v="4"/>
    <s v="Y"/>
    <x v="1"/>
    <n v="22"/>
    <n v="4"/>
    <n v="3"/>
    <n v="80"/>
    <n v="0"/>
    <n v="12"/>
    <n v="2"/>
    <n v="4"/>
    <n v="8"/>
    <n v="3"/>
    <n v="0"/>
    <n v="7"/>
    <n v="0"/>
    <x v="0"/>
  </r>
  <r>
    <n v="32"/>
    <s v="No"/>
    <s v="Travel_Rarely"/>
    <n v="120"/>
    <x v="1"/>
    <n v="6"/>
    <n v="5"/>
    <x v="0"/>
    <n v="1"/>
    <x v="169"/>
    <n v="3"/>
    <s v="Male"/>
    <n v="43"/>
    <n v="3"/>
    <x v="1"/>
    <x v="1"/>
    <n v="3"/>
    <s v="Single"/>
    <n v="3038"/>
    <n v="12430"/>
    <n v="3"/>
    <s v="Y"/>
    <x v="1"/>
    <n v="20"/>
    <n v="4"/>
    <n v="1"/>
    <n v="80"/>
    <n v="0"/>
    <n v="8"/>
    <n v="2"/>
    <n v="3"/>
    <n v="5"/>
    <n v="4"/>
    <n v="1"/>
    <n v="4"/>
    <n v="0"/>
    <x v="2"/>
  </r>
  <r>
    <n v="27"/>
    <s v="No"/>
    <s v="Travel_Rarely"/>
    <n v="1157"/>
    <x v="1"/>
    <n v="17"/>
    <n v="3"/>
    <x v="4"/>
    <n v="1"/>
    <x v="170"/>
    <n v="3"/>
    <s v="Male"/>
    <n v="51"/>
    <n v="3"/>
    <x v="1"/>
    <x v="1"/>
    <n v="2"/>
    <s v="Married"/>
    <n v="3058"/>
    <n v="13364"/>
    <n v="0"/>
    <s v="Y"/>
    <x v="0"/>
    <n v="16"/>
    <n v="3"/>
    <n v="4"/>
    <n v="80"/>
    <n v="1"/>
    <n v="6"/>
    <n v="3"/>
    <n v="2"/>
    <n v="5"/>
    <n v="2"/>
    <n v="1"/>
    <n v="1"/>
    <n v="0"/>
    <x v="2"/>
  </r>
  <r>
    <n v="19"/>
    <s v="Yes"/>
    <s v="Travel_Frequently"/>
    <n v="602"/>
    <x v="0"/>
    <n v="1"/>
    <n v="1"/>
    <x v="4"/>
    <n v="1"/>
    <x v="171"/>
    <n v="3"/>
    <s v="Female"/>
    <n v="100"/>
    <n v="1"/>
    <x v="1"/>
    <x v="6"/>
    <n v="1"/>
    <s v="Single"/>
    <n v="2325"/>
    <n v="20989"/>
    <n v="0"/>
    <s v="Y"/>
    <x v="1"/>
    <n v="21"/>
    <n v="4"/>
    <n v="1"/>
    <n v="80"/>
    <n v="0"/>
    <n v="1"/>
    <n v="5"/>
    <n v="4"/>
    <n v="0"/>
    <n v="0"/>
    <n v="0"/>
    <n v="0"/>
    <n v="1"/>
    <x v="4"/>
  </r>
  <r>
    <n v="36"/>
    <s v="No"/>
    <s v="Travel_Frequently"/>
    <n v="1480"/>
    <x v="1"/>
    <n v="3"/>
    <n v="2"/>
    <x v="2"/>
    <n v="1"/>
    <x v="172"/>
    <n v="4"/>
    <s v="Male"/>
    <n v="30"/>
    <n v="3"/>
    <x v="1"/>
    <x v="2"/>
    <n v="2"/>
    <s v="Single"/>
    <n v="2088"/>
    <n v="15062"/>
    <n v="4"/>
    <s v="Y"/>
    <x v="1"/>
    <n v="12"/>
    <n v="3"/>
    <n v="3"/>
    <n v="80"/>
    <n v="0"/>
    <n v="13"/>
    <n v="3"/>
    <n v="2"/>
    <n v="8"/>
    <n v="7"/>
    <n v="7"/>
    <n v="2"/>
    <n v="0"/>
    <x v="0"/>
  </r>
  <r>
    <n v="30"/>
    <s v="No"/>
    <s v="Non-Travel"/>
    <n v="111"/>
    <x v="1"/>
    <n v="9"/>
    <n v="3"/>
    <x v="2"/>
    <n v="1"/>
    <x v="173"/>
    <n v="3"/>
    <s v="Male"/>
    <n v="66"/>
    <n v="3"/>
    <x v="0"/>
    <x v="2"/>
    <n v="1"/>
    <s v="Divorced"/>
    <n v="3072"/>
    <n v="11012"/>
    <n v="1"/>
    <s v="Y"/>
    <x v="1"/>
    <n v="11"/>
    <n v="3"/>
    <n v="3"/>
    <n v="80"/>
    <n v="2"/>
    <n v="12"/>
    <n v="4"/>
    <n v="3"/>
    <n v="12"/>
    <n v="9"/>
    <n v="6"/>
    <n v="10"/>
    <n v="0"/>
    <x v="2"/>
  </r>
  <r>
    <n v="45"/>
    <s v="No"/>
    <s v="Travel_Rarely"/>
    <n v="1268"/>
    <x v="0"/>
    <n v="4"/>
    <n v="2"/>
    <x v="0"/>
    <n v="1"/>
    <x v="174"/>
    <n v="3"/>
    <s v="Female"/>
    <n v="30"/>
    <n v="3"/>
    <x v="0"/>
    <x v="0"/>
    <n v="1"/>
    <s v="Divorced"/>
    <n v="5006"/>
    <n v="6319"/>
    <n v="4"/>
    <s v="Y"/>
    <x v="0"/>
    <n v="11"/>
    <n v="3"/>
    <n v="1"/>
    <n v="80"/>
    <n v="1"/>
    <n v="9"/>
    <n v="3"/>
    <n v="4"/>
    <n v="5"/>
    <n v="4"/>
    <n v="0"/>
    <n v="3"/>
    <n v="0"/>
    <x v="0"/>
  </r>
  <r>
    <n v="56"/>
    <s v="No"/>
    <s v="Travel_Rarely"/>
    <n v="713"/>
    <x v="1"/>
    <n v="8"/>
    <n v="3"/>
    <x v="0"/>
    <n v="1"/>
    <x v="175"/>
    <n v="3"/>
    <s v="Female"/>
    <n v="67"/>
    <n v="3"/>
    <x v="1"/>
    <x v="1"/>
    <n v="1"/>
    <s v="Divorced"/>
    <n v="4257"/>
    <n v="13939"/>
    <n v="4"/>
    <s v="Y"/>
    <x v="0"/>
    <n v="18"/>
    <n v="3"/>
    <n v="3"/>
    <n v="80"/>
    <n v="1"/>
    <n v="19"/>
    <n v="3"/>
    <n v="3"/>
    <n v="2"/>
    <n v="2"/>
    <n v="2"/>
    <n v="2"/>
    <n v="0"/>
    <x v="3"/>
  </r>
  <r>
    <n v="33"/>
    <s v="No"/>
    <s v="Travel_Rarely"/>
    <n v="134"/>
    <x v="1"/>
    <n v="2"/>
    <n v="3"/>
    <x v="0"/>
    <n v="1"/>
    <x v="176"/>
    <n v="3"/>
    <s v="Male"/>
    <n v="90"/>
    <n v="3"/>
    <x v="1"/>
    <x v="1"/>
    <n v="4"/>
    <s v="Single"/>
    <n v="2500"/>
    <n v="10515"/>
    <n v="0"/>
    <s v="Y"/>
    <x v="1"/>
    <n v="14"/>
    <n v="3"/>
    <n v="1"/>
    <n v="80"/>
    <n v="0"/>
    <n v="4"/>
    <n v="2"/>
    <n v="4"/>
    <n v="3"/>
    <n v="1"/>
    <n v="0"/>
    <n v="2"/>
    <n v="0"/>
    <x v="2"/>
  </r>
  <r>
    <n v="19"/>
    <s v="Yes"/>
    <s v="Travel_Rarely"/>
    <n v="303"/>
    <x v="1"/>
    <n v="2"/>
    <n v="3"/>
    <x v="0"/>
    <n v="1"/>
    <x v="177"/>
    <n v="2"/>
    <s v="Male"/>
    <n v="47"/>
    <n v="2"/>
    <x v="1"/>
    <x v="2"/>
    <n v="4"/>
    <s v="Single"/>
    <n v="1102"/>
    <n v="9241"/>
    <n v="1"/>
    <s v="Y"/>
    <x v="1"/>
    <n v="22"/>
    <n v="4"/>
    <n v="3"/>
    <n v="80"/>
    <n v="0"/>
    <n v="1"/>
    <n v="3"/>
    <n v="2"/>
    <n v="1"/>
    <n v="0"/>
    <n v="1"/>
    <n v="0"/>
    <n v="1"/>
    <x v="4"/>
  </r>
  <r>
    <n v="46"/>
    <s v="No"/>
    <s v="Travel_Rarely"/>
    <n v="526"/>
    <x v="0"/>
    <n v="1"/>
    <n v="2"/>
    <x v="3"/>
    <n v="1"/>
    <x v="178"/>
    <n v="2"/>
    <s v="Female"/>
    <n v="92"/>
    <n v="3"/>
    <x v="2"/>
    <x v="0"/>
    <n v="1"/>
    <s v="Divorced"/>
    <n v="10453"/>
    <n v="2137"/>
    <n v="1"/>
    <s v="Y"/>
    <x v="1"/>
    <n v="25"/>
    <n v="4"/>
    <n v="3"/>
    <n v="80"/>
    <n v="3"/>
    <n v="24"/>
    <n v="2"/>
    <n v="3"/>
    <n v="24"/>
    <n v="13"/>
    <n v="15"/>
    <n v="7"/>
    <n v="0"/>
    <x v="1"/>
  </r>
  <r>
    <n v="38"/>
    <s v="No"/>
    <s v="Travel_Rarely"/>
    <n v="1380"/>
    <x v="1"/>
    <n v="9"/>
    <n v="2"/>
    <x v="0"/>
    <n v="1"/>
    <x v="179"/>
    <n v="3"/>
    <s v="Female"/>
    <n v="75"/>
    <n v="3"/>
    <x v="1"/>
    <x v="2"/>
    <n v="4"/>
    <s v="Single"/>
    <n v="2288"/>
    <n v="6319"/>
    <n v="1"/>
    <s v="Y"/>
    <x v="1"/>
    <n v="12"/>
    <n v="3"/>
    <n v="3"/>
    <n v="80"/>
    <n v="0"/>
    <n v="2"/>
    <n v="3"/>
    <n v="3"/>
    <n v="2"/>
    <n v="2"/>
    <n v="2"/>
    <n v="1"/>
    <n v="0"/>
    <x v="0"/>
  </r>
  <r>
    <n v="31"/>
    <s v="No"/>
    <s v="Travel_Rarely"/>
    <n v="140"/>
    <x v="1"/>
    <n v="12"/>
    <n v="1"/>
    <x v="2"/>
    <n v="1"/>
    <x v="180"/>
    <n v="3"/>
    <s v="Female"/>
    <n v="95"/>
    <n v="3"/>
    <x v="1"/>
    <x v="1"/>
    <n v="4"/>
    <s v="Married"/>
    <n v="3929"/>
    <n v="6984"/>
    <n v="8"/>
    <s v="Y"/>
    <x v="0"/>
    <n v="23"/>
    <n v="4"/>
    <n v="3"/>
    <n v="80"/>
    <n v="1"/>
    <n v="7"/>
    <n v="0"/>
    <n v="3"/>
    <n v="4"/>
    <n v="2"/>
    <n v="0"/>
    <n v="2"/>
    <n v="0"/>
    <x v="2"/>
  </r>
  <r>
    <n v="34"/>
    <s v="No"/>
    <s v="Travel_Rarely"/>
    <n v="629"/>
    <x v="1"/>
    <n v="27"/>
    <n v="2"/>
    <x v="2"/>
    <n v="1"/>
    <x v="181"/>
    <n v="4"/>
    <s v="Female"/>
    <n v="95"/>
    <n v="3"/>
    <x v="1"/>
    <x v="1"/>
    <n v="2"/>
    <s v="Single"/>
    <n v="2311"/>
    <n v="5711"/>
    <n v="2"/>
    <s v="Y"/>
    <x v="1"/>
    <n v="15"/>
    <n v="3"/>
    <n v="4"/>
    <n v="80"/>
    <n v="0"/>
    <n v="9"/>
    <n v="3"/>
    <n v="3"/>
    <n v="3"/>
    <n v="2"/>
    <n v="1"/>
    <n v="2"/>
    <n v="0"/>
    <x v="2"/>
  </r>
  <r>
    <n v="41"/>
    <s v="Yes"/>
    <s v="Travel_Rarely"/>
    <n v="1356"/>
    <x v="0"/>
    <n v="20"/>
    <n v="2"/>
    <x v="3"/>
    <n v="1"/>
    <x v="182"/>
    <n v="2"/>
    <s v="Female"/>
    <n v="70"/>
    <n v="3"/>
    <x v="1"/>
    <x v="6"/>
    <n v="2"/>
    <s v="Single"/>
    <n v="3140"/>
    <n v="21728"/>
    <n v="1"/>
    <s v="Y"/>
    <x v="0"/>
    <n v="22"/>
    <n v="4"/>
    <n v="4"/>
    <n v="80"/>
    <n v="0"/>
    <n v="4"/>
    <n v="5"/>
    <n v="2"/>
    <n v="4"/>
    <n v="3"/>
    <n v="0"/>
    <n v="2"/>
    <n v="1"/>
    <x v="0"/>
  </r>
  <r>
    <n v="50"/>
    <s v="No"/>
    <s v="Travel_Rarely"/>
    <n v="328"/>
    <x v="1"/>
    <n v="1"/>
    <n v="3"/>
    <x v="2"/>
    <n v="1"/>
    <x v="183"/>
    <n v="3"/>
    <s v="Male"/>
    <n v="86"/>
    <n v="2"/>
    <x v="1"/>
    <x v="2"/>
    <n v="3"/>
    <s v="Married"/>
    <n v="3690"/>
    <n v="3425"/>
    <n v="2"/>
    <s v="Y"/>
    <x v="1"/>
    <n v="15"/>
    <n v="3"/>
    <n v="4"/>
    <n v="80"/>
    <n v="1"/>
    <n v="5"/>
    <n v="2"/>
    <n v="2"/>
    <n v="3"/>
    <n v="2"/>
    <n v="0"/>
    <n v="2"/>
    <n v="0"/>
    <x v="1"/>
  </r>
  <r>
    <n v="53"/>
    <s v="No"/>
    <s v="Travel_Rarely"/>
    <n v="1084"/>
    <x v="1"/>
    <n v="13"/>
    <n v="2"/>
    <x v="2"/>
    <n v="1"/>
    <x v="184"/>
    <n v="4"/>
    <s v="Female"/>
    <n v="57"/>
    <n v="4"/>
    <x v="0"/>
    <x v="3"/>
    <n v="1"/>
    <s v="Divorced"/>
    <n v="4450"/>
    <n v="26250"/>
    <n v="1"/>
    <s v="Y"/>
    <x v="1"/>
    <n v="11"/>
    <n v="3"/>
    <n v="3"/>
    <n v="80"/>
    <n v="2"/>
    <n v="5"/>
    <n v="3"/>
    <n v="3"/>
    <n v="4"/>
    <n v="2"/>
    <n v="1"/>
    <n v="3"/>
    <n v="0"/>
    <x v="1"/>
  </r>
  <r>
    <n v="33"/>
    <s v="No"/>
    <s v="Travel_Rarely"/>
    <n v="931"/>
    <x v="1"/>
    <n v="14"/>
    <n v="3"/>
    <x v="2"/>
    <n v="1"/>
    <x v="185"/>
    <n v="4"/>
    <s v="Female"/>
    <n v="72"/>
    <n v="3"/>
    <x v="1"/>
    <x v="1"/>
    <n v="2"/>
    <s v="Married"/>
    <n v="2756"/>
    <n v="4673"/>
    <n v="1"/>
    <s v="Y"/>
    <x v="1"/>
    <n v="13"/>
    <n v="3"/>
    <n v="4"/>
    <n v="80"/>
    <n v="1"/>
    <n v="8"/>
    <n v="5"/>
    <n v="3"/>
    <n v="8"/>
    <n v="7"/>
    <n v="1"/>
    <n v="6"/>
    <n v="0"/>
    <x v="2"/>
  </r>
  <r>
    <n v="40"/>
    <s v="No"/>
    <s v="Travel_Rarely"/>
    <n v="989"/>
    <x v="1"/>
    <n v="4"/>
    <n v="1"/>
    <x v="2"/>
    <n v="1"/>
    <x v="186"/>
    <n v="4"/>
    <s v="Female"/>
    <n v="46"/>
    <n v="3"/>
    <x v="4"/>
    <x v="5"/>
    <n v="3"/>
    <s v="Married"/>
    <n v="19033"/>
    <n v="6499"/>
    <n v="1"/>
    <s v="Y"/>
    <x v="1"/>
    <n v="14"/>
    <n v="3"/>
    <n v="2"/>
    <n v="80"/>
    <n v="1"/>
    <n v="21"/>
    <n v="2"/>
    <n v="3"/>
    <n v="20"/>
    <n v="8"/>
    <n v="9"/>
    <n v="9"/>
    <n v="0"/>
    <x v="0"/>
  </r>
  <r>
    <n v="55"/>
    <s v="No"/>
    <s v="Travel_Rarely"/>
    <n v="692"/>
    <x v="1"/>
    <n v="14"/>
    <n v="4"/>
    <x v="2"/>
    <n v="1"/>
    <x v="187"/>
    <n v="3"/>
    <s v="Male"/>
    <n v="61"/>
    <n v="4"/>
    <x v="4"/>
    <x v="7"/>
    <n v="2"/>
    <s v="Single"/>
    <n v="18722"/>
    <n v="13339"/>
    <n v="8"/>
    <s v="Y"/>
    <x v="1"/>
    <n v="11"/>
    <n v="3"/>
    <n v="4"/>
    <n v="80"/>
    <n v="0"/>
    <n v="36"/>
    <n v="3"/>
    <n v="3"/>
    <n v="24"/>
    <n v="15"/>
    <n v="2"/>
    <n v="15"/>
    <n v="0"/>
    <x v="1"/>
  </r>
  <r>
    <n v="34"/>
    <s v="No"/>
    <s v="Travel_Frequently"/>
    <n v="1069"/>
    <x v="1"/>
    <n v="2"/>
    <n v="1"/>
    <x v="0"/>
    <n v="1"/>
    <x v="188"/>
    <n v="4"/>
    <s v="Male"/>
    <n v="45"/>
    <n v="2"/>
    <x v="0"/>
    <x v="3"/>
    <n v="3"/>
    <s v="Married"/>
    <n v="9547"/>
    <n v="14074"/>
    <n v="1"/>
    <s v="Y"/>
    <x v="1"/>
    <n v="17"/>
    <n v="3"/>
    <n v="3"/>
    <n v="80"/>
    <n v="0"/>
    <n v="10"/>
    <n v="2"/>
    <n v="2"/>
    <n v="10"/>
    <n v="9"/>
    <n v="1"/>
    <n v="9"/>
    <n v="0"/>
    <x v="2"/>
  </r>
  <r>
    <n v="51"/>
    <s v="No"/>
    <s v="Travel_Rarely"/>
    <n v="313"/>
    <x v="1"/>
    <n v="3"/>
    <n v="3"/>
    <x v="2"/>
    <n v="1"/>
    <x v="189"/>
    <n v="4"/>
    <s v="Female"/>
    <n v="98"/>
    <n v="3"/>
    <x v="3"/>
    <x v="4"/>
    <n v="2"/>
    <s v="Single"/>
    <n v="13734"/>
    <n v="7192"/>
    <n v="3"/>
    <s v="Y"/>
    <x v="1"/>
    <n v="18"/>
    <n v="3"/>
    <n v="3"/>
    <n v="80"/>
    <n v="0"/>
    <n v="21"/>
    <n v="6"/>
    <n v="3"/>
    <n v="7"/>
    <n v="7"/>
    <n v="1"/>
    <n v="0"/>
    <n v="0"/>
    <x v="1"/>
  </r>
  <r>
    <n v="52"/>
    <s v="No"/>
    <s v="Travel_Rarely"/>
    <n v="699"/>
    <x v="1"/>
    <n v="1"/>
    <n v="4"/>
    <x v="0"/>
    <n v="1"/>
    <x v="190"/>
    <n v="3"/>
    <s v="Male"/>
    <n v="65"/>
    <n v="2"/>
    <x v="4"/>
    <x v="5"/>
    <n v="3"/>
    <s v="Married"/>
    <n v="19999"/>
    <n v="5678"/>
    <n v="0"/>
    <s v="Y"/>
    <x v="1"/>
    <n v="14"/>
    <n v="3"/>
    <n v="1"/>
    <n v="80"/>
    <n v="1"/>
    <n v="34"/>
    <n v="5"/>
    <n v="3"/>
    <n v="33"/>
    <n v="18"/>
    <n v="11"/>
    <n v="9"/>
    <n v="0"/>
    <x v="1"/>
  </r>
  <r>
    <n v="27"/>
    <s v="No"/>
    <s v="Travel_Rarely"/>
    <n v="894"/>
    <x v="1"/>
    <n v="9"/>
    <n v="3"/>
    <x v="2"/>
    <n v="1"/>
    <x v="191"/>
    <n v="4"/>
    <s v="Female"/>
    <n v="99"/>
    <n v="3"/>
    <x v="1"/>
    <x v="1"/>
    <n v="2"/>
    <s v="Single"/>
    <n v="2279"/>
    <n v="11781"/>
    <n v="1"/>
    <s v="Y"/>
    <x v="1"/>
    <n v="16"/>
    <n v="3"/>
    <n v="4"/>
    <n v="80"/>
    <n v="0"/>
    <n v="7"/>
    <n v="2"/>
    <n v="2"/>
    <n v="7"/>
    <n v="7"/>
    <n v="0"/>
    <n v="3"/>
    <n v="0"/>
    <x v="2"/>
  </r>
  <r>
    <n v="35"/>
    <s v="Yes"/>
    <s v="Travel_Rarely"/>
    <n v="556"/>
    <x v="1"/>
    <n v="23"/>
    <n v="2"/>
    <x v="0"/>
    <n v="1"/>
    <x v="192"/>
    <n v="2"/>
    <s v="Male"/>
    <n v="50"/>
    <n v="2"/>
    <x v="0"/>
    <x v="3"/>
    <n v="3"/>
    <s v="Married"/>
    <n v="5916"/>
    <n v="15497"/>
    <n v="3"/>
    <s v="Y"/>
    <x v="0"/>
    <n v="13"/>
    <n v="3"/>
    <n v="1"/>
    <n v="80"/>
    <n v="0"/>
    <n v="8"/>
    <n v="1"/>
    <n v="3"/>
    <n v="1"/>
    <n v="0"/>
    <n v="0"/>
    <n v="1"/>
    <n v="1"/>
    <x v="2"/>
  </r>
  <r>
    <n v="43"/>
    <s v="No"/>
    <s v="Non-Travel"/>
    <n v="1344"/>
    <x v="1"/>
    <n v="7"/>
    <n v="3"/>
    <x v="2"/>
    <n v="1"/>
    <x v="193"/>
    <n v="4"/>
    <s v="Male"/>
    <n v="37"/>
    <n v="4"/>
    <x v="1"/>
    <x v="1"/>
    <n v="4"/>
    <s v="Divorced"/>
    <n v="2089"/>
    <n v="5228"/>
    <n v="4"/>
    <s v="Y"/>
    <x v="1"/>
    <n v="14"/>
    <n v="3"/>
    <n v="4"/>
    <n v="80"/>
    <n v="3"/>
    <n v="7"/>
    <n v="3"/>
    <n v="4"/>
    <n v="5"/>
    <n v="4"/>
    <n v="2"/>
    <n v="2"/>
    <n v="0"/>
    <x v="0"/>
  </r>
  <r>
    <n v="45"/>
    <s v="No"/>
    <s v="Non-Travel"/>
    <n v="1195"/>
    <x v="1"/>
    <n v="2"/>
    <n v="2"/>
    <x v="2"/>
    <n v="1"/>
    <x v="194"/>
    <n v="1"/>
    <s v="Male"/>
    <n v="65"/>
    <n v="2"/>
    <x v="3"/>
    <x v="5"/>
    <n v="4"/>
    <s v="Married"/>
    <n v="16792"/>
    <n v="20462"/>
    <n v="9"/>
    <s v="Y"/>
    <x v="1"/>
    <n v="23"/>
    <n v="4"/>
    <n v="4"/>
    <n v="80"/>
    <n v="1"/>
    <n v="22"/>
    <n v="1"/>
    <n v="3"/>
    <n v="20"/>
    <n v="8"/>
    <n v="11"/>
    <n v="8"/>
    <n v="0"/>
    <x v="0"/>
  </r>
  <r>
    <n v="37"/>
    <s v="No"/>
    <s v="Travel_Rarely"/>
    <n v="290"/>
    <x v="1"/>
    <n v="21"/>
    <n v="3"/>
    <x v="0"/>
    <n v="1"/>
    <x v="195"/>
    <n v="2"/>
    <s v="Male"/>
    <n v="65"/>
    <n v="4"/>
    <x v="1"/>
    <x v="1"/>
    <n v="1"/>
    <s v="Married"/>
    <n v="3564"/>
    <n v="22977"/>
    <n v="1"/>
    <s v="Y"/>
    <x v="0"/>
    <n v="12"/>
    <n v="3"/>
    <n v="1"/>
    <n v="80"/>
    <n v="1"/>
    <n v="8"/>
    <n v="3"/>
    <n v="2"/>
    <n v="8"/>
    <n v="7"/>
    <n v="1"/>
    <n v="7"/>
    <n v="0"/>
    <x v="0"/>
  </r>
  <r>
    <n v="35"/>
    <s v="No"/>
    <s v="Travel_Frequently"/>
    <n v="138"/>
    <x v="1"/>
    <n v="2"/>
    <n v="3"/>
    <x v="2"/>
    <n v="1"/>
    <x v="196"/>
    <n v="2"/>
    <s v="Female"/>
    <n v="37"/>
    <n v="3"/>
    <x v="0"/>
    <x v="2"/>
    <n v="2"/>
    <s v="Single"/>
    <n v="4425"/>
    <n v="15986"/>
    <n v="5"/>
    <s v="Y"/>
    <x v="1"/>
    <n v="11"/>
    <n v="3"/>
    <n v="4"/>
    <n v="80"/>
    <n v="0"/>
    <n v="10"/>
    <n v="5"/>
    <n v="3"/>
    <n v="6"/>
    <n v="2"/>
    <n v="1"/>
    <n v="2"/>
    <n v="0"/>
    <x v="2"/>
  </r>
  <r>
    <n v="42"/>
    <s v="No"/>
    <s v="Non-Travel"/>
    <n v="926"/>
    <x v="1"/>
    <n v="21"/>
    <n v="2"/>
    <x v="2"/>
    <n v="1"/>
    <x v="197"/>
    <n v="3"/>
    <s v="Female"/>
    <n v="36"/>
    <n v="3"/>
    <x v="0"/>
    <x v="3"/>
    <n v="3"/>
    <s v="Divorced"/>
    <n v="5265"/>
    <n v="16439"/>
    <n v="2"/>
    <s v="Y"/>
    <x v="1"/>
    <n v="16"/>
    <n v="3"/>
    <n v="2"/>
    <n v="80"/>
    <n v="1"/>
    <n v="11"/>
    <n v="5"/>
    <n v="3"/>
    <n v="5"/>
    <n v="3"/>
    <n v="0"/>
    <n v="2"/>
    <n v="0"/>
    <x v="0"/>
  </r>
  <r>
    <n v="38"/>
    <s v="No"/>
    <s v="Travel_Rarely"/>
    <n v="1261"/>
    <x v="1"/>
    <n v="2"/>
    <n v="4"/>
    <x v="0"/>
    <n v="1"/>
    <x v="198"/>
    <n v="4"/>
    <s v="Male"/>
    <n v="88"/>
    <n v="3"/>
    <x v="0"/>
    <x v="3"/>
    <n v="3"/>
    <s v="Married"/>
    <n v="6553"/>
    <n v="7259"/>
    <n v="9"/>
    <s v="Y"/>
    <x v="1"/>
    <n v="14"/>
    <n v="3"/>
    <n v="2"/>
    <n v="80"/>
    <n v="0"/>
    <n v="14"/>
    <n v="3"/>
    <n v="3"/>
    <n v="1"/>
    <n v="0"/>
    <n v="0"/>
    <n v="0"/>
    <n v="0"/>
    <x v="0"/>
  </r>
  <r>
    <n v="38"/>
    <s v="No"/>
    <s v="Travel_Rarely"/>
    <n v="1084"/>
    <x v="1"/>
    <n v="29"/>
    <n v="3"/>
    <x v="4"/>
    <n v="1"/>
    <x v="199"/>
    <n v="4"/>
    <s v="Male"/>
    <n v="54"/>
    <n v="3"/>
    <x v="0"/>
    <x v="3"/>
    <n v="4"/>
    <s v="Married"/>
    <n v="6261"/>
    <n v="4185"/>
    <n v="3"/>
    <s v="Y"/>
    <x v="1"/>
    <n v="18"/>
    <n v="3"/>
    <n v="1"/>
    <n v="80"/>
    <n v="1"/>
    <n v="9"/>
    <n v="3"/>
    <n v="1"/>
    <n v="7"/>
    <n v="7"/>
    <n v="1"/>
    <n v="7"/>
    <n v="0"/>
    <x v="0"/>
  </r>
  <r>
    <n v="27"/>
    <s v="No"/>
    <s v="Travel_Frequently"/>
    <n v="472"/>
    <x v="1"/>
    <n v="1"/>
    <n v="1"/>
    <x v="4"/>
    <n v="1"/>
    <x v="200"/>
    <n v="3"/>
    <s v="Male"/>
    <n v="60"/>
    <n v="2"/>
    <x v="0"/>
    <x v="3"/>
    <n v="1"/>
    <s v="Married"/>
    <n v="4298"/>
    <n v="9679"/>
    <n v="5"/>
    <s v="Y"/>
    <x v="1"/>
    <n v="19"/>
    <n v="3"/>
    <n v="3"/>
    <n v="80"/>
    <n v="1"/>
    <n v="6"/>
    <n v="1"/>
    <n v="3"/>
    <n v="2"/>
    <n v="2"/>
    <n v="2"/>
    <n v="0"/>
    <n v="0"/>
    <x v="2"/>
  </r>
  <r>
    <n v="49"/>
    <s v="No"/>
    <s v="Non-Travel"/>
    <n v="1002"/>
    <x v="1"/>
    <n v="18"/>
    <n v="4"/>
    <x v="0"/>
    <n v="1"/>
    <x v="201"/>
    <n v="4"/>
    <s v="Male"/>
    <n v="92"/>
    <n v="3"/>
    <x v="0"/>
    <x v="3"/>
    <n v="4"/>
    <s v="Divorced"/>
    <n v="6804"/>
    <n v="23793"/>
    <n v="1"/>
    <s v="Y"/>
    <x v="0"/>
    <n v="15"/>
    <n v="3"/>
    <n v="1"/>
    <n v="80"/>
    <n v="2"/>
    <n v="7"/>
    <n v="0"/>
    <n v="3"/>
    <n v="7"/>
    <n v="7"/>
    <n v="1"/>
    <n v="7"/>
    <n v="0"/>
    <x v="1"/>
  </r>
  <r>
    <n v="34"/>
    <s v="No"/>
    <s v="Travel_Frequently"/>
    <n v="878"/>
    <x v="1"/>
    <n v="10"/>
    <n v="4"/>
    <x v="2"/>
    <n v="1"/>
    <x v="202"/>
    <n v="4"/>
    <s v="Male"/>
    <n v="43"/>
    <n v="3"/>
    <x v="1"/>
    <x v="1"/>
    <n v="3"/>
    <s v="Divorced"/>
    <n v="3815"/>
    <n v="5972"/>
    <n v="1"/>
    <s v="Y"/>
    <x v="0"/>
    <n v="17"/>
    <n v="3"/>
    <n v="4"/>
    <n v="80"/>
    <n v="1"/>
    <n v="5"/>
    <n v="4"/>
    <n v="4"/>
    <n v="5"/>
    <n v="3"/>
    <n v="2"/>
    <n v="0"/>
    <n v="0"/>
    <x v="2"/>
  </r>
  <r>
    <n v="40"/>
    <s v="No"/>
    <s v="Travel_Rarely"/>
    <n v="905"/>
    <x v="1"/>
    <n v="19"/>
    <n v="2"/>
    <x v="2"/>
    <n v="1"/>
    <x v="203"/>
    <n v="3"/>
    <s v="Male"/>
    <n v="99"/>
    <n v="3"/>
    <x v="0"/>
    <x v="2"/>
    <n v="4"/>
    <s v="Married"/>
    <n v="2741"/>
    <n v="16523"/>
    <n v="8"/>
    <s v="Y"/>
    <x v="0"/>
    <n v="15"/>
    <n v="3"/>
    <n v="3"/>
    <n v="80"/>
    <n v="1"/>
    <n v="15"/>
    <n v="2"/>
    <n v="4"/>
    <n v="7"/>
    <n v="2"/>
    <n v="3"/>
    <n v="7"/>
    <n v="0"/>
    <x v="0"/>
  </r>
  <r>
    <n v="38"/>
    <s v="Yes"/>
    <s v="Travel_Rarely"/>
    <n v="1180"/>
    <x v="1"/>
    <n v="29"/>
    <n v="1"/>
    <x v="2"/>
    <n v="1"/>
    <x v="204"/>
    <n v="2"/>
    <s v="Male"/>
    <n v="70"/>
    <n v="3"/>
    <x v="0"/>
    <x v="4"/>
    <n v="1"/>
    <s v="Married"/>
    <n v="6673"/>
    <n v="11354"/>
    <n v="7"/>
    <s v="Y"/>
    <x v="0"/>
    <n v="19"/>
    <n v="3"/>
    <n v="2"/>
    <n v="80"/>
    <n v="0"/>
    <n v="17"/>
    <n v="2"/>
    <n v="3"/>
    <n v="1"/>
    <n v="0"/>
    <n v="0"/>
    <n v="0"/>
    <n v="1"/>
    <x v="0"/>
  </r>
  <r>
    <n v="29"/>
    <s v="Yes"/>
    <s v="Travel_Rarely"/>
    <n v="121"/>
    <x v="0"/>
    <n v="27"/>
    <n v="3"/>
    <x v="3"/>
    <n v="1"/>
    <x v="205"/>
    <n v="2"/>
    <s v="Female"/>
    <n v="35"/>
    <n v="3"/>
    <x v="2"/>
    <x v="0"/>
    <n v="4"/>
    <s v="Married"/>
    <n v="7639"/>
    <n v="24525"/>
    <n v="1"/>
    <s v="Y"/>
    <x v="1"/>
    <n v="22"/>
    <n v="4"/>
    <n v="4"/>
    <n v="80"/>
    <n v="3"/>
    <n v="10"/>
    <n v="3"/>
    <n v="2"/>
    <n v="10"/>
    <n v="4"/>
    <n v="1"/>
    <n v="9"/>
    <n v="1"/>
    <x v="2"/>
  </r>
  <r>
    <n v="22"/>
    <s v="No"/>
    <s v="Travel_Rarely"/>
    <n v="1136"/>
    <x v="1"/>
    <n v="5"/>
    <n v="3"/>
    <x v="0"/>
    <n v="1"/>
    <x v="206"/>
    <n v="4"/>
    <s v="Male"/>
    <n v="60"/>
    <n v="4"/>
    <x v="1"/>
    <x v="1"/>
    <n v="2"/>
    <s v="Divorced"/>
    <n v="2328"/>
    <n v="12392"/>
    <n v="1"/>
    <s v="Y"/>
    <x v="0"/>
    <n v="16"/>
    <n v="3"/>
    <n v="1"/>
    <n v="80"/>
    <n v="1"/>
    <n v="4"/>
    <n v="2"/>
    <n v="2"/>
    <n v="4"/>
    <n v="2"/>
    <n v="2"/>
    <n v="2"/>
    <n v="0"/>
    <x v="4"/>
  </r>
  <r>
    <n v="36"/>
    <s v="No"/>
    <s v="Travel_Frequently"/>
    <n v="635"/>
    <x v="1"/>
    <n v="18"/>
    <n v="1"/>
    <x v="2"/>
    <n v="1"/>
    <x v="207"/>
    <n v="2"/>
    <s v="Female"/>
    <n v="73"/>
    <n v="3"/>
    <x v="1"/>
    <x v="2"/>
    <n v="4"/>
    <s v="Single"/>
    <n v="2153"/>
    <n v="7703"/>
    <n v="1"/>
    <s v="Y"/>
    <x v="1"/>
    <n v="13"/>
    <n v="3"/>
    <n v="1"/>
    <n v="80"/>
    <n v="0"/>
    <n v="8"/>
    <n v="2"/>
    <n v="3"/>
    <n v="8"/>
    <n v="1"/>
    <n v="1"/>
    <n v="7"/>
    <n v="0"/>
    <x v="0"/>
  </r>
  <r>
    <n v="40"/>
    <s v="No"/>
    <s v="Non-Travel"/>
    <n v="1151"/>
    <x v="1"/>
    <n v="9"/>
    <n v="5"/>
    <x v="0"/>
    <n v="1"/>
    <x v="208"/>
    <n v="4"/>
    <s v="Male"/>
    <n v="63"/>
    <n v="2"/>
    <x v="0"/>
    <x v="4"/>
    <n v="4"/>
    <s v="Married"/>
    <n v="4876"/>
    <n v="14242"/>
    <n v="9"/>
    <s v="Y"/>
    <x v="1"/>
    <n v="14"/>
    <n v="3"/>
    <n v="4"/>
    <n v="80"/>
    <n v="1"/>
    <n v="5"/>
    <n v="5"/>
    <n v="1"/>
    <n v="3"/>
    <n v="2"/>
    <n v="0"/>
    <n v="2"/>
    <n v="0"/>
    <x v="0"/>
  </r>
  <r>
    <n v="46"/>
    <s v="No"/>
    <s v="Travel_Rarely"/>
    <n v="644"/>
    <x v="1"/>
    <n v="1"/>
    <n v="4"/>
    <x v="2"/>
    <n v="1"/>
    <x v="209"/>
    <n v="4"/>
    <s v="Male"/>
    <n v="97"/>
    <n v="3"/>
    <x v="2"/>
    <x v="4"/>
    <n v="1"/>
    <s v="Divorced"/>
    <n v="9396"/>
    <n v="12368"/>
    <n v="7"/>
    <s v="Y"/>
    <x v="1"/>
    <n v="16"/>
    <n v="3"/>
    <n v="3"/>
    <n v="80"/>
    <n v="1"/>
    <n v="17"/>
    <n v="3"/>
    <n v="3"/>
    <n v="4"/>
    <n v="2"/>
    <n v="0"/>
    <n v="3"/>
    <n v="0"/>
    <x v="1"/>
  </r>
  <r>
    <n v="32"/>
    <s v="Yes"/>
    <s v="Travel_Rarely"/>
    <n v="1045"/>
    <x v="0"/>
    <n v="4"/>
    <n v="4"/>
    <x v="2"/>
    <n v="1"/>
    <x v="210"/>
    <n v="4"/>
    <s v="Male"/>
    <n v="32"/>
    <n v="1"/>
    <x v="2"/>
    <x v="0"/>
    <n v="4"/>
    <s v="Married"/>
    <n v="10400"/>
    <n v="25812"/>
    <n v="1"/>
    <s v="Y"/>
    <x v="1"/>
    <n v="11"/>
    <n v="3"/>
    <n v="3"/>
    <n v="80"/>
    <n v="0"/>
    <n v="14"/>
    <n v="2"/>
    <n v="2"/>
    <n v="14"/>
    <n v="8"/>
    <n v="9"/>
    <n v="8"/>
    <n v="1"/>
    <x v="2"/>
  </r>
  <r>
    <n v="30"/>
    <s v="No"/>
    <s v="Non-Travel"/>
    <n v="829"/>
    <x v="1"/>
    <n v="1"/>
    <n v="1"/>
    <x v="0"/>
    <n v="1"/>
    <x v="211"/>
    <n v="3"/>
    <s v="Male"/>
    <n v="88"/>
    <n v="2"/>
    <x v="2"/>
    <x v="3"/>
    <n v="3"/>
    <s v="Single"/>
    <n v="8474"/>
    <n v="20925"/>
    <n v="1"/>
    <s v="Y"/>
    <x v="1"/>
    <n v="22"/>
    <n v="4"/>
    <n v="3"/>
    <n v="80"/>
    <n v="0"/>
    <n v="12"/>
    <n v="2"/>
    <n v="3"/>
    <n v="11"/>
    <n v="8"/>
    <n v="5"/>
    <n v="8"/>
    <n v="0"/>
    <x v="2"/>
  </r>
  <r>
    <n v="27"/>
    <s v="No"/>
    <s v="Travel_Frequently"/>
    <n v="1242"/>
    <x v="0"/>
    <n v="20"/>
    <n v="3"/>
    <x v="0"/>
    <n v="1"/>
    <x v="212"/>
    <n v="4"/>
    <s v="Female"/>
    <n v="90"/>
    <n v="3"/>
    <x v="0"/>
    <x v="0"/>
    <n v="3"/>
    <s v="Single"/>
    <n v="9981"/>
    <n v="12916"/>
    <n v="1"/>
    <s v="Y"/>
    <x v="1"/>
    <n v="14"/>
    <n v="3"/>
    <n v="4"/>
    <n v="80"/>
    <n v="0"/>
    <n v="7"/>
    <n v="2"/>
    <n v="3"/>
    <n v="7"/>
    <n v="7"/>
    <n v="0"/>
    <n v="7"/>
    <n v="0"/>
    <x v="2"/>
  </r>
  <r>
    <n v="51"/>
    <s v="No"/>
    <s v="Travel_Rarely"/>
    <n v="1469"/>
    <x v="1"/>
    <n v="8"/>
    <n v="4"/>
    <x v="0"/>
    <n v="1"/>
    <x v="213"/>
    <n v="2"/>
    <s v="Male"/>
    <n v="81"/>
    <n v="2"/>
    <x v="2"/>
    <x v="7"/>
    <n v="2"/>
    <s v="Married"/>
    <n v="12490"/>
    <n v="15736"/>
    <n v="5"/>
    <s v="Y"/>
    <x v="1"/>
    <n v="16"/>
    <n v="3"/>
    <n v="4"/>
    <n v="80"/>
    <n v="2"/>
    <n v="16"/>
    <n v="5"/>
    <n v="1"/>
    <n v="10"/>
    <n v="9"/>
    <n v="4"/>
    <n v="7"/>
    <n v="0"/>
    <x v="1"/>
  </r>
  <r>
    <n v="30"/>
    <s v="Yes"/>
    <s v="Travel_Rarely"/>
    <n v="1005"/>
    <x v="1"/>
    <n v="3"/>
    <n v="3"/>
    <x v="4"/>
    <n v="1"/>
    <x v="214"/>
    <n v="4"/>
    <s v="Female"/>
    <n v="88"/>
    <n v="3"/>
    <x v="1"/>
    <x v="1"/>
    <n v="1"/>
    <s v="Single"/>
    <n v="2657"/>
    <n v="8556"/>
    <n v="5"/>
    <s v="Y"/>
    <x v="0"/>
    <n v="11"/>
    <n v="3"/>
    <n v="3"/>
    <n v="80"/>
    <n v="0"/>
    <n v="8"/>
    <n v="5"/>
    <n v="3"/>
    <n v="5"/>
    <n v="2"/>
    <n v="0"/>
    <n v="4"/>
    <n v="1"/>
    <x v="2"/>
  </r>
  <r>
    <n v="41"/>
    <s v="No"/>
    <s v="Travel_Rarely"/>
    <n v="896"/>
    <x v="0"/>
    <n v="6"/>
    <n v="3"/>
    <x v="0"/>
    <n v="1"/>
    <x v="215"/>
    <n v="4"/>
    <s v="Female"/>
    <n v="75"/>
    <n v="3"/>
    <x v="2"/>
    <x v="5"/>
    <n v="4"/>
    <s v="Single"/>
    <n v="13591"/>
    <n v="14674"/>
    <n v="3"/>
    <s v="Y"/>
    <x v="0"/>
    <n v="18"/>
    <n v="3"/>
    <n v="3"/>
    <n v="80"/>
    <n v="0"/>
    <n v="16"/>
    <n v="3"/>
    <n v="3"/>
    <n v="1"/>
    <n v="0"/>
    <n v="0"/>
    <n v="0"/>
    <n v="0"/>
    <x v="0"/>
  </r>
  <r>
    <n v="30"/>
    <s v="Yes"/>
    <s v="Travel_Frequently"/>
    <n v="334"/>
    <x v="0"/>
    <n v="26"/>
    <n v="4"/>
    <x v="3"/>
    <n v="1"/>
    <x v="216"/>
    <n v="3"/>
    <s v="Female"/>
    <n v="52"/>
    <n v="2"/>
    <x v="0"/>
    <x v="0"/>
    <n v="1"/>
    <s v="Single"/>
    <n v="6696"/>
    <n v="22967"/>
    <n v="5"/>
    <s v="Y"/>
    <x v="1"/>
    <n v="15"/>
    <n v="3"/>
    <n v="3"/>
    <n v="80"/>
    <n v="0"/>
    <n v="9"/>
    <n v="5"/>
    <n v="2"/>
    <n v="6"/>
    <n v="3"/>
    <n v="0"/>
    <n v="1"/>
    <n v="1"/>
    <x v="2"/>
  </r>
  <r>
    <n v="29"/>
    <s v="Yes"/>
    <s v="Travel_Rarely"/>
    <n v="992"/>
    <x v="1"/>
    <n v="1"/>
    <n v="3"/>
    <x v="4"/>
    <n v="1"/>
    <x v="217"/>
    <n v="3"/>
    <s v="Male"/>
    <n v="85"/>
    <n v="3"/>
    <x v="1"/>
    <x v="1"/>
    <n v="3"/>
    <s v="Single"/>
    <n v="2058"/>
    <n v="19757"/>
    <n v="0"/>
    <s v="Y"/>
    <x v="1"/>
    <n v="14"/>
    <n v="3"/>
    <n v="4"/>
    <n v="80"/>
    <n v="0"/>
    <n v="7"/>
    <n v="1"/>
    <n v="2"/>
    <n v="6"/>
    <n v="2"/>
    <n v="1"/>
    <n v="5"/>
    <n v="1"/>
    <x v="2"/>
  </r>
  <r>
    <n v="45"/>
    <s v="No"/>
    <s v="Non-Travel"/>
    <n v="1052"/>
    <x v="0"/>
    <n v="6"/>
    <n v="3"/>
    <x v="2"/>
    <n v="1"/>
    <x v="218"/>
    <n v="4"/>
    <s v="Female"/>
    <n v="57"/>
    <n v="2"/>
    <x v="2"/>
    <x v="0"/>
    <n v="4"/>
    <s v="Single"/>
    <n v="8865"/>
    <n v="16840"/>
    <n v="6"/>
    <s v="Y"/>
    <x v="1"/>
    <n v="12"/>
    <n v="3"/>
    <n v="4"/>
    <n v="80"/>
    <n v="0"/>
    <n v="23"/>
    <n v="2"/>
    <n v="3"/>
    <n v="19"/>
    <n v="7"/>
    <n v="12"/>
    <n v="8"/>
    <n v="0"/>
    <x v="0"/>
  </r>
  <r>
    <n v="54"/>
    <s v="No"/>
    <s v="Travel_Rarely"/>
    <n v="1147"/>
    <x v="0"/>
    <n v="3"/>
    <n v="3"/>
    <x v="3"/>
    <n v="1"/>
    <x v="219"/>
    <n v="4"/>
    <s v="Female"/>
    <n v="52"/>
    <n v="3"/>
    <x v="0"/>
    <x v="0"/>
    <n v="1"/>
    <s v="Married"/>
    <n v="5940"/>
    <n v="17011"/>
    <n v="2"/>
    <s v="Y"/>
    <x v="1"/>
    <n v="14"/>
    <n v="3"/>
    <n v="4"/>
    <n v="80"/>
    <n v="1"/>
    <n v="16"/>
    <n v="4"/>
    <n v="3"/>
    <n v="6"/>
    <n v="2"/>
    <n v="0"/>
    <n v="5"/>
    <n v="0"/>
    <x v="1"/>
  </r>
  <r>
    <n v="36"/>
    <s v="No"/>
    <s v="Travel_Rarely"/>
    <n v="1396"/>
    <x v="1"/>
    <n v="5"/>
    <n v="2"/>
    <x v="0"/>
    <n v="1"/>
    <x v="220"/>
    <n v="4"/>
    <s v="Male"/>
    <n v="62"/>
    <n v="3"/>
    <x v="0"/>
    <x v="2"/>
    <n v="2"/>
    <s v="Single"/>
    <n v="5914"/>
    <n v="9945"/>
    <n v="8"/>
    <s v="Y"/>
    <x v="1"/>
    <n v="16"/>
    <n v="3"/>
    <n v="4"/>
    <n v="80"/>
    <n v="0"/>
    <n v="16"/>
    <n v="3"/>
    <n v="4"/>
    <n v="13"/>
    <n v="11"/>
    <n v="3"/>
    <n v="7"/>
    <n v="0"/>
    <x v="0"/>
  </r>
  <r>
    <n v="33"/>
    <s v="No"/>
    <s v="Travel_Rarely"/>
    <n v="147"/>
    <x v="1"/>
    <n v="4"/>
    <n v="4"/>
    <x v="2"/>
    <n v="1"/>
    <x v="221"/>
    <n v="3"/>
    <s v="Female"/>
    <n v="47"/>
    <n v="2"/>
    <x v="1"/>
    <x v="1"/>
    <n v="2"/>
    <s v="Married"/>
    <n v="2622"/>
    <n v="13248"/>
    <n v="6"/>
    <s v="Y"/>
    <x v="1"/>
    <n v="21"/>
    <n v="4"/>
    <n v="4"/>
    <n v="80"/>
    <n v="0"/>
    <n v="7"/>
    <n v="3"/>
    <n v="3"/>
    <n v="3"/>
    <n v="2"/>
    <n v="1"/>
    <n v="1"/>
    <n v="0"/>
    <x v="2"/>
  </r>
  <r>
    <n v="37"/>
    <s v="No"/>
    <s v="Travel_Frequently"/>
    <n v="663"/>
    <x v="1"/>
    <n v="11"/>
    <n v="3"/>
    <x v="1"/>
    <n v="1"/>
    <x v="222"/>
    <n v="2"/>
    <s v="Male"/>
    <n v="47"/>
    <n v="3"/>
    <x v="2"/>
    <x v="7"/>
    <n v="4"/>
    <s v="Divorced"/>
    <n v="12185"/>
    <n v="10056"/>
    <n v="1"/>
    <s v="Y"/>
    <x v="0"/>
    <n v="14"/>
    <n v="3"/>
    <n v="3"/>
    <n v="80"/>
    <n v="3"/>
    <n v="10"/>
    <n v="1"/>
    <n v="3"/>
    <n v="10"/>
    <n v="8"/>
    <n v="0"/>
    <n v="7"/>
    <n v="0"/>
    <x v="0"/>
  </r>
  <r>
    <n v="38"/>
    <s v="No"/>
    <s v="Travel_Rarely"/>
    <n v="119"/>
    <x v="0"/>
    <n v="3"/>
    <n v="3"/>
    <x v="0"/>
    <n v="1"/>
    <x v="223"/>
    <n v="1"/>
    <s v="Male"/>
    <n v="76"/>
    <n v="3"/>
    <x v="2"/>
    <x v="0"/>
    <n v="3"/>
    <s v="Divorced"/>
    <n v="10609"/>
    <n v="9647"/>
    <n v="0"/>
    <s v="Y"/>
    <x v="1"/>
    <n v="12"/>
    <n v="3"/>
    <n v="3"/>
    <n v="80"/>
    <n v="2"/>
    <n v="17"/>
    <n v="6"/>
    <n v="2"/>
    <n v="16"/>
    <n v="10"/>
    <n v="5"/>
    <n v="13"/>
    <n v="0"/>
    <x v="0"/>
  </r>
  <r>
    <n v="31"/>
    <s v="No"/>
    <s v="Non-Travel"/>
    <n v="979"/>
    <x v="1"/>
    <n v="1"/>
    <n v="4"/>
    <x v="2"/>
    <n v="1"/>
    <x v="224"/>
    <n v="3"/>
    <s v="Male"/>
    <n v="90"/>
    <n v="1"/>
    <x v="0"/>
    <x v="3"/>
    <n v="3"/>
    <s v="Married"/>
    <n v="4345"/>
    <n v="4381"/>
    <n v="0"/>
    <s v="Y"/>
    <x v="1"/>
    <n v="12"/>
    <n v="3"/>
    <n v="4"/>
    <n v="80"/>
    <n v="1"/>
    <n v="6"/>
    <n v="2"/>
    <n v="3"/>
    <n v="5"/>
    <n v="4"/>
    <n v="1"/>
    <n v="4"/>
    <n v="0"/>
    <x v="2"/>
  </r>
  <r>
    <n v="59"/>
    <s v="No"/>
    <s v="Travel_Rarely"/>
    <n v="142"/>
    <x v="1"/>
    <n v="3"/>
    <n v="3"/>
    <x v="0"/>
    <n v="1"/>
    <x v="225"/>
    <n v="3"/>
    <s v="Male"/>
    <n v="70"/>
    <n v="2"/>
    <x v="1"/>
    <x v="1"/>
    <n v="4"/>
    <s v="Married"/>
    <n v="2177"/>
    <n v="8456"/>
    <n v="3"/>
    <s v="Y"/>
    <x v="1"/>
    <n v="17"/>
    <n v="3"/>
    <n v="1"/>
    <n v="80"/>
    <n v="1"/>
    <n v="7"/>
    <n v="6"/>
    <n v="3"/>
    <n v="1"/>
    <n v="0"/>
    <n v="0"/>
    <n v="0"/>
    <n v="0"/>
    <x v="3"/>
  </r>
  <r>
    <n v="37"/>
    <s v="No"/>
    <s v="Travel_Frequently"/>
    <n v="319"/>
    <x v="0"/>
    <n v="4"/>
    <n v="4"/>
    <x v="3"/>
    <n v="1"/>
    <x v="226"/>
    <n v="1"/>
    <s v="Male"/>
    <n v="41"/>
    <n v="3"/>
    <x v="1"/>
    <x v="6"/>
    <n v="4"/>
    <s v="Divorced"/>
    <n v="2793"/>
    <n v="2539"/>
    <n v="4"/>
    <s v="Y"/>
    <x v="1"/>
    <n v="17"/>
    <n v="3"/>
    <n v="3"/>
    <n v="80"/>
    <n v="1"/>
    <n v="13"/>
    <n v="2"/>
    <n v="3"/>
    <n v="9"/>
    <n v="8"/>
    <n v="5"/>
    <n v="8"/>
    <n v="0"/>
    <x v="0"/>
  </r>
  <r>
    <n v="29"/>
    <s v="No"/>
    <s v="Travel_Frequently"/>
    <n v="1413"/>
    <x v="0"/>
    <n v="1"/>
    <n v="1"/>
    <x v="2"/>
    <n v="1"/>
    <x v="227"/>
    <n v="2"/>
    <s v="Female"/>
    <n v="42"/>
    <n v="3"/>
    <x v="2"/>
    <x v="0"/>
    <n v="4"/>
    <s v="Married"/>
    <n v="7918"/>
    <n v="6599"/>
    <n v="1"/>
    <s v="Y"/>
    <x v="1"/>
    <n v="14"/>
    <n v="3"/>
    <n v="4"/>
    <n v="80"/>
    <n v="1"/>
    <n v="11"/>
    <n v="5"/>
    <n v="3"/>
    <n v="11"/>
    <n v="10"/>
    <n v="4"/>
    <n v="1"/>
    <n v="0"/>
    <x v="2"/>
  </r>
  <r>
    <n v="35"/>
    <s v="No"/>
    <s v="Travel_Frequently"/>
    <n v="944"/>
    <x v="0"/>
    <n v="1"/>
    <n v="3"/>
    <x v="3"/>
    <n v="1"/>
    <x v="228"/>
    <n v="3"/>
    <s v="Female"/>
    <n v="92"/>
    <n v="3"/>
    <x v="2"/>
    <x v="0"/>
    <n v="3"/>
    <s v="Single"/>
    <n v="8789"/>
    <n v="9096"/>
    <n v="1"/>
    <s v="Y"/>
    <x v="1"/>
    <n v="14"/>
    <n v="3"/>
    <n v="1"/>
    <n v="80"/>
    <n v="0"/>
    <n v="10"/>
    <n v="3"/>
    <n v="4"/>
    <n v="10"/>
    <n v="7"/>
    <n v="0"/>
    <n v="8"/>
    <n v="0"/>
    <x v="2"/>
  </r>
  <r>
    <n v="29"/>
    <s v="Yes"/>
    <s v="Travel_Rarely"/>
    <n v="896"/>
    <x v="1"/>
    <n v="18"/>
    <n v="1"/>
    <x v="2"/>
    <n v="1"/>
    <x v="229"/>
    <n v="3"/>
    <s v="Male"/>
    <n v="86"/>
    <n v="2"/>
    <x v="1"/>
    <x v="1"/>
    <n v="4"/>
    <s v="Single"/>
    <n v="2389"/>
    <n v="14961"/>
    <n v="1"/>
    <s v="Y"/>
    <x v="0"/>
    <n v="13"/>
    <n v="3"/>
    <n v="3"/>
    <n v="80"/>
    <n v="0"/>
    <n v="4"/>
    <n v="3"/>
    <n v="2"/>
    <n v="4"/>
    <n v="3"/>
    <n v="0"/>
    <n v="1"/>
    <n v="1"/>
    <x v="2"/>
  </r>
  <r>
    <n v="52"/>
    <s v="No"/>
    <s v="Travel_Rarely"/>
    <n v="1323"/>
    <x v="1"/>
    <n v="2"/>
    <n v="3"/>
    <x v="0"/>
    <n v="1"/>
    <x v="230"/>
    <n v="3"/>
    <s v="Female"/>
    <n v="89"/>
    <n v="2"/>
    <x v="1"/>
    <x v="2"/>
    <n v="4"/>
    <s v="Single"/>
    <n v="3212"/>
    <n v="3300"/>
    <n v="7"/>
    <s v="Y"/>
    <x v="1"/>
    <n v="15"/>
    <n v="3"/>
    <n v="2"/>
    <n v="80"/>
    <n v="0"/>
    <n v="6"/>
    <n v="3"/>
    <n v="2"/>
    <n v="2"/>
    <n v="2"/>
    <n v="2"/>
    <n v="2"/>
    <n v="0"/>
    <x v="1"/>
  </r>
  <r>
    <n v="42"/>
    <s v="No"/>
    <s v="Travel_Rarely"/>
    <n v="532"/>
    <x v="1"/>
    <n v="4"/>
    <n v="2"/>
    <x v="4"/>
    <n v="1"/>
    <x v="231"/>
    <n v="3"/>
    <s v="Male"/>
    <n v="58"/>
    <n v="3"/>
    <x v="4"/>
    <x v="5"/>
    <n v="4"/>
    <s v="Married"/>
    <n v="19232"/>
    <n v="4933"/>
    <n v="1"/>
    <s v="Y"/>
    <x v="1"/>
    <n v="11"/>
    <n v="3"/>
    <n v="4"/>
    <n v="80"/>
    <n v="0"/>
    <n v="22"/>
    <n v="3"/>
    <n v="3"/>
    <n v="22"/>
    <n v="17"/>
    <n v="11"/>
    <n v="15"/>
    <n v="0"/>
    <x v="0"/>
  </r>
  <r>
    <n v="59"/>
    <s v="No"/>
    <s v="Travel_Rarely"/>
    <n v="818"/>
    <x v="2"/>
    <n v="6"/>
    <n v="2"/>
    <x v="2"/>
    <n v="1"/>
    <x v="232"/>
    <n v="2"/>
    <s v="Male"/>
    <n v="52"/>
    <n v="3"/>
    <x v="1"/>
    <x v="8"/>
    <n v="3"/>
    <s v="Married"/>
    <n v="2267"/>
    <n v="25657"/>
    <n v="8"/>
    <s v="Y"/>
    <x v="1"/>
    <n v="17"/>
    <n v="3"/>
    <n v="4"/>
    <n v="80"/>
    <n v="0"/>
    <n v="7"/>
    <n v="2"/>
    <n v="2"/>
    <n v="2"/>
    <n v="2"/>
    <n v="2"/>
    <n v="2"/>
    <n v="0"/>
    <x v="3"/>
  </r>
  <r>
    <n v="50"/>
    <s v="No"/>
    <s v="Travel_Rarely"/>
    <n v="854"/>
    <x v="0"/>
    <n v="1"/>
    <n v="4"/>
    <x v="2"/>
    <n v="1"/>
    <x v="233"/>
    <n v="4"/>
    <s v="Female"/>
    <n v="68"/>
    <n v="3"/>
    <x v="4"/>
    <x v="5"/>
    <n v="4"/>
    <s v="Divorced"/>
    <n v="19517"/>
    <n v="24118"/>
    <n v="3"/>
    <s v="Y"/>
    <x v="1"/>
    <n v="11"/>
    <n v="3"/>
    <n v="3"/>
    <n v="80"/>
    <n v="1"/>
    <n v="32"/>
    <n v="3"/>
    <n v="2"/>
    <n v="7"/>
    <n v="0"/>
    <n v="0"/>
    <n v="6"/>
    <n v="0"/>
    <x v="1"/>
  </r>
  <r>
    <n v="33"/>
    <s v="Yes"/>
    <s v="Travel_Rarely"/>
    <n v="813"/>
    <x v="1"/>
    <n v="14"/>
    <n v="3"/>
    <x v="2"/>
    <n v="1"/>
    <x v="234"/>
    <n v="3"/>
    <s v="Male"/>
    <n v="58"/>
    <n v="3"/>
    <x v="1"/>
    <x v="2"/>
    <n v="4"/>
    <s v="Married"/>
    <n v="2436"/>
    <n v="22149"/>
    <n v="5"/>
    <s v="Y"/>
    <x v="0"/>
    <n v="13"/>
    <n v="3"/>
    <n v="3"/>
    <n v="80"/>
    <n v="1"/>
    <n v="8"/>
    <n v="2"/>
    <n v="1"/>
    <n v="5"/>
    <n v="4"/>
    <n v="0"/>
    <n v="4"/>
    <n v="1"/>
    <x v="2"/>
  </r>
  <r>
    <n v="43"/>
    <s v="No"/>
    <s v="Travel_Rarely"/>
    <n v="1034"/>
    <x v="0"/>
    <n v="16"/>
    <n v="3"/>
    <x v="3"/>
    <n v="1"/>
    <x v="235"/>
    <n v="4"/>
    <s v="Female"/>
    <n v="80"/>
    <n v="3"/>
    <x v="3"/>
    <x v="5"/>
    <n v="4"/>
    <s v="Married"/>
    <n v="16064"/>
    <n v="7744"/>
    <n v="5"/>
    <s v="Y"/>
    <x v="0"/>
    <n v="22"/>
    <n v="4"/>
    <n v="3"/>
    <n v="80"/>
    <n v="1"/>
    <n v="22"/>
    <n v="3"/>
    <n v="3"/>
    <n v="17"/>
    <n v="13"/>
    <n v="1"/>
    <n v="9"/>
    <n v="0"/>
    <x v="0"/>
  </r>
  <r>
    <n v="33"/>
    <s v="Yes"/>
    <s v="Travel_Rarely"/>
    <n v="465"/>
    <x v="1"/>
    <n v="2"/>
    <n v="2"/>
    <x v="0"/>
    <n v="1"/>
    <x v="236"/>
    <n v="1"/>
    <s v="Female"/>
    <n v="39"/>
    <n v="3"/>
    <x v="1"/>
    <x v="2"/>
    <n v="1"/>
    <s v="Married"/>
    <n v="2707"/>
    <n v="21509"/>
    <n v="7"/>
    <s v="Y"/>
    <x v="1"/>
    <n v="20"/>
    <n v="4"/>
    <n v="1"/>
    <n v="80"/>
    <n v="0"/>
    <n v="13"/>
    <n v="3"/>
    <n v="4"/>
    <n v="9"/>
    <n v="7"/>
    <n v="1"/>
    <n v="7"/>
    <n v="1"/>
    <x v="2"/>
  </r>
  <r>
    <n v="52"/>
    <s v="No"/>
    <s v="Non-Travel"/>
    <n v="771"/>
    <x v="0"/>
    <n v="2"/>
    <n v="4"/>
    <x v="0"/>
    <n v="1"/>
    <x v="237"/>
    <n v="1"/>
    <s v="Male"/>
    <n v="79"/>
    <n v="2"/>
    <x v="4"/>
    <x v="5"/>
    <n v="3"/>
    <s v="Single"/>
    <n v="19068"/>
    <n v="21030"/>
    <n v="1"/>
    <s v="Y"/>
    <x v="0"/>
    <n v="18"/>
    <n v="3"/>
    <n v="4"/>
    <n v="80"/>
    <n v="0"/>
    <n v="33"/>
    <n v="2"/>
    <n v="4"/>
    <n v="33"/>
    <n v="7"/>
    <n v="15"/>
    <n v="12"/>
    <n v="0"/>
    <x v="1"/>
  </r>
  <r>
    <n v="32"/>
    <s v="No"/>
    <s v="Travel_Rarely"/>
    <n v="1401"/>
    <x v="0"/>
    <n v="4"/>
    <n v="2"/>
    <x v="0"/>
    <n v="1"/>
    <x v="238"/>
    <n v="3"/>
    <s v="Female"/>
    <n v="56"/>
    <n v="3"/>
    <x v="1"/>
    <x v="6"/>
    <n v="2"/>
    <s v="Married"/>
    <n v="3931"/>
    <n v="20990"/>
    <n v="2"/>
    <s v="Y"/>
    <x v="1"/>
    <n v="11"/>
    <n v="3"/>
    <n v="1"/>
    <n v="80"/>
    <n v="1"/>
    <n v="6"/>
    <n v="5"/>
    <n v="3"/>
    <n v="4"/>
    <n v="3"/>
    <n v="1"/>
    <n v="2"/>
    <n v="0"/>
    <x v="2"/>
  </r>
  <r>
    <n v="32"/>
    <s v="Yes"/>
    <s v="Travel_Rarely"/>
    <n v="515"/>
    <x v="1"/>
    <n v="1"/>
    <n v="3"/>
    <x v="0"/>
    <n v="1"/>
    <x v="239"/>
    <n v="4"/>
    <s v="Male"/>
    <n v="62"/>
    <n v="2"/>
    <x v="1"/>
    <x v="2"/>
    <n v="3"/>
    <s v="Single"/>
    <n v="3730"/>
    <n v="9571"/>
    <n v="0"/>
    <s v="Y"/>
    <x v="0"/>
    <n v="14"/>
    <n v="3"/>
    <n v="4"/>
    <n v="80"/>
    <n v="0"/>
    <n v="4"/>
    <n v="2"/>
    <n v="1"/>
    <n v="3"/>
    <n v="2"/>
    <n v="1"/>
    <n v="2"/>
    <n v="1"/>
    <x v="2"/>
  </r>
  <r>
    <n v="39"/>
    <s v="No"/>
    <s v="Travel_Rarely"/>
    <n v="1431"/>
    <x v="1"/>
    <n v="1"/>
    <n v="4"/>
    <x v="2"/>
    <n v="1"/>
    <x v="240"/>
    <n v="3"/>
    <s v="Female"/>
    <n v="96"/>
    <n v="3"/>
    <x v="1"/>
    <x v="2"/>
    <n v="3"/>
    <s v="Divorced"/>
    <n v="2232"/>
    <n v="15417"/>
    <n v="7"/>
    <s v="Y"/>
    <x v="1"/>
    <n v="14"/>
    <n v="3"/>
    <n v="3"/>
    <n v="80"/>
    <n v="3"/>
    <n v="7"/>
    <n v="1"/>
    <n v="3"/>
    <n v="3"/>
    <n v="2"/>
    <n v="1"/>
    <n v="2"/>
    <n v="0"/>
    <x v="0"/>
  </r>
  <r>
    <n v="32"/>
    <s v="No"/>
    <s v="Non-Travel"/>
    <n v="976"/>
    <x v="0"/>
    <n v="26"/>
    <n v="4"/>
    <x v="3"/>
    <n v="1"/>
    <x v="241"/>
    <n v="3"/>
    <s v="Male"/>
    <n v="100"/>
    <n v="3"/>
    <x v="0"/>
    <x v="0"/>
    <n v="4"/>
    <s v="Married"/>
    <n v="4465"/>
    <n v="12069"/>
    <n v="0"/>
    <s v="Y"/>
    <x v="1"/>
    <n v="18"/>
    <n v="3"/>
    <n v="1"/>
    <n v="80"/>
    <n v="0"/>
    <n v="4"/>
    <n v="2"/>
    <n v="3"/>
    <n v="3"/>
    <n v="2"/>
    <n v="2"/>
    <n v="2"/>
    <n v="0"/>
    <x v="2"/>
  </r>
  <r>
    <n v="41"/>
    <s v="No"/>
    <s v="Travel_Rarely"/>
    <n v="1411"/>
    <x v="1"/>
    <n v="19"/>
    <n v="2"/>
    <x v="0"/>
    <n v="1"/>
    <x v="242"/>
    <n v="3"/>
    <s v="Male"/>
    <n v="36"/>
    <n v="3"/>
    <x v="0"/>
    <x v="1"/>
    <n v="1"/>
    <s v="Divorced"/>
    <n v="3072"/>
    <n v="19877"/>
    <n v="2"/>
    <s v="Y"/>
    <x v="1"/>
    <n v="16"/>
    <n v="3"/>
    <n v="1"/>
    <n v="80"/>
    <n v="2"/>
    <n v="17"/>
    <n v="2"/>
    <n v="2"/>
    <n v="1"/>
    <n v="0"/>
    <n v="0"/>
    <n v="0"/>
    <n v="0"/>
    <x v="0"/>
  </r>
  <r>
    <n v="40"/>
    <s v="No"/>
    <s v="Travel_Rarely"/>
    <n v="1300"/>
    <x v="1"/>
    <n v="24"/>
    <n v="2"/>
    <x v="4"/>
    <n v="1"/>
    <x v="243"/>
    <n v="1"/>
    <s v="Male"/>
    <n v="62"/>
    <n v="3"/>
    <x v="0"/>
    <x v="1"/>
    <n v="4"/>
    <s v="Divorced"/>
    <n v="3319"/>
    <n v="24447"/>
    <n v="1"/>
    <s v="Y"/>
    <x v="1"/>
    <n v="17"/>
    <n v="3"/>
    <n v="1"/>
    <n v="80"/>
    <n v="2"/>
    <n v="9"/>
    <n v="3"/>
    <n v="3"/>
    <n v="9"/>
    <n v="8"/>
    <n v="4"/>
    <n v="7"/>
    <n v="0"/>
    <x v="0"/>
  </r>
  <r>
    <n v="45"/>
    <s v="No"/>
    <s v="Travel_Rarely"/>
    <n v="252"/>
    <x v="1"/>
    <n v="1"/>
    <n v="3"/>
    <x v="1"/>
    <n v="1"/>
    <x v="244"/>
    <n v="3"/>
    <s v="Male"/>
    <n v="70"/>
    <n v="4"/>
    <x v="4"/>
    <x v="5"/>
    <n v="4"/>
    <s v="Married"/>
    <n v="19202"/>
    <n v="15970"/>
    <n v="0"/>
    <s v="Y"/>
    <x v="1"/>
    <n v="11"/>
    <n v="3"/>
    <n v="3"/>
    <n v="80"/>
    <n v="1"/>
    <n v="25"/>
    <n v="2"/>
    <n v="3"/>
    <n v="24"/>
    <n v="0"/>
    <n v="1"/>
    <n v="7"/>
    <n v="0"/>
    <x v="0"/>
  </r>
  <r>
    <n v="31"/>
    <s v="No"/>
    <s v="Travel_Frequently"/>
    <n v="1327"/>
    <x v="1"/>
    <n v="3"/>
    <n v="4"/>
    <x v="2"/>
    <n v="1"/>
    <x v="245"/>
    <n v="2"/>
    <s v="Male"/>
    <n v="73"/>
    <n v="3"/>
    <x v="2"/>
    <x v="7"/>
    <n v="3"/>
    <s v="Divorced"/>
    <n v="13675"/>
    <n v="13523"/>
    <n v="9"/>
    <s v="Y"/>
    <x v="1"/>
    <n v="12"/>
    <n v="3"/>
    <n v="1"/>
    <n v="80"/>
    <n v="1"/>
    <n v="9"/>
    <n v="3"/>
    <n v="3"/>
    <n v="2"/>
    <n v="2"/>
    <n v="2"/>
    <n v="2"/>
    <n v="0"/>
    <x v="2"/>
  </r>
  <r>
    <n v="33"/>
    <s v="No"/>
    <s v="Travel_Rarely"/>
    <n v="832"/>
    <x v="1"/>
    <n v="5"/>
    <n v="4"/>
    <x v="0"/>
    <n v="1"/>
    <x v="246"/>
    <n v="3"/>
    <s v="Female"/>
    <n v="63"/>
    <n v="2"/>
    <x v="1"/>
    <x v="1"/>
    <n v="4"/>
    <s v="Married"/>
    <n v="2911"/>
    <n v="14776"/>
    <n v="1"/>
    <s v="Y"/>
    <x v="1"/>
    <n v="13"/>
    <n v="3"/>
    <n v="3"/>
    <n v="80"/>
    <n v="1"/>
    <n v="2"/>
    <n v="2"/>
    <n v="2"/>
    <n v="2"/>
    <n v="2"/>
    <n v="0"/>
    <n v="2"/>
    <n v="0"/>
    <x v="2"/>
  </r>
  <r>
    <n v="34"/>
    <s v="No"/>
    <s v="Travel_Rarely"/>
    <n v="470"/>
    <x v="1"/>
    <n v="2"/>
    <n v="4"/>
    <x v="0"/>
    <n v="1"/>
    <x v="247"/>
    <n v="4"/>
    <s v="Male"/>
    <n v="84"/>
    <n v="2"/>
    <x v="0"/>
    <x v="3"/>
    <n v="1"/>
    <s v="Married"/>
    <n v="5957"/>
    <n v="23687"/>
    <n v="6"/>
    <s v="Y"/>
    <x v="1"/>
    <n v="13"/>
    <n v="3"/>
    <n v="2"/>
    <n v="80"/>
    <n v="1"/>
    <n v="13"/>
    <n v="3"/>
    <n v="3"/>
    <n v="11"/>
    <n v="9"/>
    <n v="5"/>
    <n v="9"/>
    <n v="0"/>
    <x v="2"/>
  </r>
  <r>
    <n v="37"/>
    <s v="No"/>
    <s v="Travel_Rarely"/>
    <n v="1017"/>
    <x v="1"/>
    <n v="1"/>
    <n v="2"/>
    <x v="2"/>
    <n v="1"/>
    <x v="248"/>
    <n v="3"/>
    <s v="Female"/>
    <n v="83"/>
    <n v="2"/>
    <x v="1"/>
    <x v="1"/>
    <n v="1"/>
    <s v="Married"/>
    <n v="3920"/>
    <n v="18697"/>
    <n v="2"/>
    <s v="Y"/>
    <x v="1"/>
    <n v="14"/>
    <n v="3"/>
    <n v="1"/>
    <n v="80"/>
    <n v="1"/>
    <n v="17"/>
    <n v="2"/>
    <n v="2"/>
    <n v="3"/>
    <n v="1"/>
    <n v="0"/>
    <n v="2"/>
    <n v="0"/>
    <x v="0"/>
  </r>
  <r>
    <n v="45"/>
    <s v="No"/>
    <s v="Travel_Frequently"/>
    <n v="1199"/>
    <x v="1"/>
    <n v="7"/>
    <n v="4"/>
    <x v="0"/>
    <n v="1"/>
    <x v="249"/>
    <n v="1"/>
    <s v="Male"/>
    <n v="77"/>
    <n v="4"/>
    <x v="0"/>
    <x v="3"/>
    <n v="3"/>
    <s v="Married"/>
    <n v="6434"/>
    <n v="5118"/>
    <n v="4"/>
    <s v="Y"/>
    <x v="1"/>
    <n v="17"/>
    <n v="3"/>
    <n v="4"/>
    <n v="80"/>
    <n v="1"/>
    <n v="9"/>
    <n v="1"/>
    <n v="3"/>
    <n v="3"/>
    <n v="2"/>
    <n v="0"/>
    <n v="2"/>
    <n v="0"/>
    <x v="0"/>
  </r>
  <r>
    <n v="37"/>
    <s v="Yes"/>
    <s v="Travel_Frequently"/>
    <n v="504"/>
    <x v="1"/>
    <n v="10"/>
    <n v="3"/>
    <x v="2"/>
    <n v="1"/>
    <x v="250"/>
    <n v="1"/>
    <s v="Male"/>
    <n v="61"/>
    <n v="3"/>
    <x v="2"/>
    <x v="3"/>
    <n v="3"/>
    <s v="Divorced"/>
    <n v="10048"/>
    <n v="22573"/>
    <n v="6"/>
    <s v="Y"/>
    <x v="1"/>
    <n v="11"/>
    <n v="3"/>
    <n v="2"/>
    <n v="80"/>
    <n v="2"/>
    <n v="17"/>
    <n v="5"/>
    <n v="3"/>
    <n v="1"/>
    <n v="0"/>
    <n v="0"/>
    <n v="0"/>
    <n v="1"/>
    <x v="0"/>
  </r>
  <r>
    <n v="39"/>
    <s v="No"/>
    <s v="Travel_Frequently"/>
    <n v="505"/>
    <x v="1"/>
    <n v="2"/>
    <n v="4"/>
    <x v="4"/>
    <n v="1"/>
    <x v="251"/>
    <n v="3"/>
    <s v="Female"/>
    <n v="64"/>
    <n v="3"/>
    <x v="2"/>
    <x v="4"/>
    <n v="3"/>
    <s v="Single"/>
    <n v="10938"/>
    <n v="6420"/>
    <n v="0"/>
    <s v="Y"/>
    <x v="1"/>
    <n v="25"/>
    <n v="4"/>
    <n v="4"/>
    <n v="80"/>
    <n v="0"/>
    <n v="20"/>
    <n v="1"/>
    <n v="3"/>
    <n v="19"/>
    <n v="6"/>
    <n v="11"/>
    <n v="8"/>
    <n v="0"/>
    <x v="0"/>
  </r>
  <r>
    <n v="29"/>
    <s v="No"/>
    <s v="Travel_Rarely"/>
    <n v="665"/>
    <x v="1"/>
    <n v="15"/>
    <n v="3"/>
    <x v="0"/>
    <n v="1"/>
    <x v="252"/>
    <n v="3"/>
    <s v="Male"/>
    <n v="60"/>
    <n v="3"/>
    <x v="1"/>
    <x v="1"/>
    <n v="4"/>
    <s v="Single"/>
    <n v="2340"/>
    <n v="22673"/>
    <n v="1"/>
    <s v="Y"/>
    <x v="1"/>
    <n v="19"/>
    <n v="3"/>
    <n v="1"/>
    <n v="80"/>
    <n v="0"/>
    <n v="6"/>
    <n v="1"/>
    <n v="3"/>
    <n v="6"/>
    <n v="5"/>
    <n v="1"/>
    <n v="5"/>
    <n v="0"/>
    <x v="2"/>
  </r>
  <r>
    <n v="42"/>
    <s v="No"/>
    <s v="Travel_Rarely"/>
    <n v="916"/>
    <x v="1"/>
    <n v="17"/>
    <n v="2"/>
    <x v="0"/>
    <n v="1"/>
    <x v="253"/>
    <n v="4"/>
    <s v="Female"/>
    <n v="82"/>
    <n v="4"/>
    <x v="0"/>
    <x v="1"/>
    <n v="1"/>
    <s v="Single"/>
    <n v="6545"/>
    <n v="23016"/>
    <n v="3"/>
    <s v="Y"/>
    <x v="0"/>
    <n v="13"/>
    <n v="3"/>
    <n v="3"/>
    <n v="80"/>
    <n v="0"/>
    <n v="10"/>
    <n v="1"/>
    <n v="3"/>
    <n v="3"/>
    <n v="2"/>
    <n v="0"/>
    <n v="2"/>
    <n v="0"/>
    <x v="0"/>
  </r>
  <r>
    <n v="29"/>
    <s v="No"/>
    <s v="Travel_Rarely"/>
    <n v="1247"/>
    <x v="0"/>
    <n v="20"/>
    <n v="2"/>
    <x v="3"/>
    <n v="1"/>
    <x v="254"/>
    <n v="4"/>
    <s v="Male"/>
    <n v="45"/>
    <n v="3"/>
    <x v="0"/>
    <x v="0"/>
    <n v="4"/>
    <s v="Divorced"/>
    <n v="6931"/>
    <n v="10732"/>
    <n v="2"/>
    <s v="Y"/>
    <x v="1"/>
    <n v="14"/>
    <n v="3"/>
    <n v="4"/>
    <n v="80"/>
    <n v="1"/>
    <n v="10"/>
    <n v="2"/>
    <n v="3"/>
    <n v="3"/>
    <n v="2"/>
    <n v="0"/>
    <n v="2"/>
    <n v="0"/>
    <x v="2"/>
  </r>
  <r>
    <n v="25"/>
    <s v="No"/>
    <s v="Travel_Rarely"/>
    <n v="685"/>
    <x v="1"/>
    <n v="1"/>
    <n v="3"/>
    <x v="0"/>
    <n v="1"/>
    <x v="255"/>
    <n v="1"/>
    <s v="Female"/>
    <n v="62"/>
    <n v="3"/>
    <x v="0"/>
    <x v="3"/>
    <n v="3"/>
    <s v="Married"/>
    <n v="4898"/>
    <n v="7505"/>
    <n v="0"/>
    <s v="Y"/>
    <x v="1"/>
    <n v="12"/>
    <n v="3"/>
    <n v="4"/>
    <n v="80"/>
    <n v="2"/>
    <n v="5"/>
    <n v="3"/>
    <n v="3"/>
    <n v="4"/>
    <n v="2"/>
    <n v="1"/>
    <n v="2"/>
    <n v="0"/>
    <x v="4"/>
  </r>
  <r>
    <n v="42"/>
    <s v="No"/>
    <s v="Travel_Rarely"/>
    <n v="269"/>
    <x v="1"/>
    <n v="2"/>
    <n v="3"/>
    <x v="2"/>
    <n v="1"/>
    <x v="256"/>
    <n v="4"/>
    <s v="Female"/>
    <n v="56"/>
    <n v="2"/>
    <x v="1"/>
    <x v="2"/>
    <n v="1"/>
    <s v="Divorced"/>
    <n v="2593"/>
    <n v="8007"/>
    <n v="0"/>
    <s v="Y"/>
    <x v="0"/>
    <n v="11"/>
    <n v="3"/>
    <n v="3"/>
    <n v="80"/>
    <n v="1"/>
    <n v="10"/>
    <n v="4"/>
    <n v="3"/>
    <n v="9"/>
    <n v="6"/>
    <n v="7"/>
    <n v="8"/>
    <n v="0"/>
    <x v="0"/>
  </r>
  <r>
    <n v="40"/>
    <s v="No"/>
    <s v="Travel_Rarely"/>
    <n v="1416"/>
    <x v="1"/>
    <n v="2"/>
    <n v="2"/>
    <x v="2"/>
    <n v="1"/>
    <x v="257"/>
    <n v="1"/>
    <s v="Male"/>
    <n v="49"/>
    <n v="3"/>
    <x v="4"/>
    <x v="7"/>
    <n v="3"/>
    <s v="Divorced"/>
    <n v="19436"/>
    <n v="5949"/>
    <n v="0"/>
    <s v="Y"/>
    <x v="1"/>
    <n v="19"/>
    <n v="3"/>
    <n v="4"/>
    <n v="80"/>
    <n v="1"/>
    <n v="22"/>
    <n v="5"/>
    <n v="3"/>
    <n v="21"/>
    <n v="7"/>
    <n v="3"/>
    <n v="9"/>
    <n v="0"/>
    <x v="0"/>
  </r>
  <r>
    <n v="51"/>
    <s v="No"/>
    <s v="Travel_Rarely"/>
    <n v="833"/>
    <x v="1"/>
    <n v="1"/>
    <n v="3"/>
    <x v="0"/>
    <n v="1"/>
    <x v="258"/>
    <n v="3"/>
    <s v="Male"/>
    <n v="96"/>
    <n v="3"/>
    <x v="1"/>
    <x v="1"/>
    <n v="4"/>
    <s v="Married"/>
    <n v="2723"/>
    <n v="23231"/>
    <n v="1"/>
    <s v="Y"/>
    <x v="1"/>
    <n v="11"/>
    <n v="3"/>
    <n v="2"/>
    <n v="80"/>
    <n v="0"/>
    <n v="1"/>
    <n v="0"/>
    <n v="2"/>
    <n v="1"/>
    <n v="0"/>
    <n v="0"/>
    <n v="0"/>
    <n v="0"/>
    <x v="1"/>
  </r>
  <r>
    <n v="31"/>
    <s v="Yes"/>
    <s v="Travel_Frequently"/>
    <n v="307"/>
    <x v="1"/>
    <n v="29"/>
    <n v="2"/>
    <x v="2"/>
    <n v="1"/>
    <x v="259"/>
    <n v="3"/>
    <s v="Male"/>
    <n v="71"/>
    <n v="2"/>
    <x v="1"/>
    <x v="2"/>
    <n v="2"/>
    <s v="Single"/>
    <n v="3479"/>
    <n v="11652"/>
    <n v="0"/>
    <s v="Y"/>
    <x v="1"/>
    <n v="11"/>
    <n v="3"/>
    <n v="2"/>
    <n v="80"/>
    <n v="0"/>
    <n v="6"/>
    <n v="2"/>
    <n v="4"/>
    <n v="5"/>
    <n v="4"/>
    <n v="1"/>
    <n v="4"/>
    <n v="1"/>
    <x v="2"/>
  </r>
  <r>
    <n v="32"/>
    <s v="No"/>
    <s v="Travel_Frequently"/>
    <n v="1311"/>
    <x v="1"/>
    <n v="7"/>
    <n v="3"/>
    <x v="0"/>
    <n v="1"/>
    <x v="260"/>
    <n v="2"/>
    <s v="Male"/>
    <n v="100"/>
    <n v="4"/>
    <x v="1"/>
    <x v="2"/>
    <n v="2"/>
    <s v="Married"/>
    <n v="2794"/>
    <n v="26062"/>
    <n v="1"/>
    <s v="Y"/>
    <x v="1"/>
    <n v="20"/>
    <n v="4"/>
    <n v="3"/>
    <n v="80"/>
    <n v="0"/>
    <n v="5"/>
    <n v="3"/>
    <n v="1"/>
    <n v="5"/>
    <n v="1"/>
    <n v="0"/>
    <n v="3"/>
    <n v="0"/>
    <x v="2"/>
  </r>
  <r>
    <n v="38"/>
    <s v="No"/>
    <s v="Non-Travel"/>
    <n v="1327"/>
    <x v="0"/>
    <n v="2"/>
    <n v="2"/>
    <x v="0"/>
    <n v="1"/>
    <x v="261"/>
    <n v="4"/>
    <s v="Male"/>
    <n v="39"/>
    <n v="2"/>
    <x v="0"/>
    <x v="0"/>
    <n v="4"/>
    <s v="Married"/>
    <n v="5249"/>
    <n v="19682"/>
    <n v="3"/>
    <s v="Y"/>
    <x v="1"/>
    <n v="18"/>
    <n v="3"/>
    <n v="4"/>
    <n v="80"/>
    <n v="1"/>
    <n v="13"/>
    <n v="0"/>
    <n v="3"/>
    <n v="8"/>
    <n v="7"/>
    <n v="7"/>
    <n v="5"/>
    <n v="0"/>
    <x v="0"/>
  </r>
  <r>
    <n v="32"/>
    <s v="No"/>
    <s v="Travel_Rarely"/>
    <n v="128"/>
    <x v="1"/>
    <n v="2"/>
    <n v="1"/>
    <x v="4"/>
    <n v="1"/>
    <x v="262"/>
    <n v="4"/>
    <s v="Male"/>
    <n v="84"/>
    <n v="2"/>
    <x v="0"/>
    <x v="2"/>
    <n v="1"/>
    <s v="Single"/>
    <n v="2176"/>
    <n v="19737"/>
    <n v="4"/>
    <s v="Y"/>
    <x v="1"/>
    <n v="13"/>
    <n v="3"/>
    <n v="4"/>
    <n v="80"/>
    <n v="0"/>
    <n v="9"/>
    <n v="5"/>
    <n v="3"/>
    <n v="6"/>
    <n v="2"/>
    <n v="0"/>
    <n v="4"/>
    <n v="0"/>
    <x v="2"/>
  </r>
  <r>
    <n v="46"/>
    <s v="No"/>
    <s v="Travel_Rarely"/>
    <n v="488"/>
    <x v="0"/>
    <n v="2"/>
    <n v="3"/>
    <x v="4"/>
    <n v="1"/>
    <x v="263"/>
    <n v="3"/>
    <s v="Female"/>
    <n v="75"/>
    <n v="1"/>
    <x v="3"/>
    <x v="5"/>
    <n v="2"/>
    <s v="Married"/>
    <n v="16872"/>
    <n v="14977"/>
    <n v="3"/>
    <s v="Y"/>
    <x v="0"/>
    <n v="12"/>
    <n v="3"/>
    <n v="2"/>
    <n v="80"/>
    <n v="1"/>
    <n v="28"/>
    <n v="2"/>
    <n v="2"/>
    <n v="7"/>
    <n v="7"/>
    <n v="7"/>
    <n v="7"/>
    <n v="0"/>
    <x v="1"/>
  </r>
  <r>
    <n v="28"/>
    <s v="Yes"/>
    <s v="Travel_Rarely"/>
    <n v="529"/>
    <x v="1"/>
    <n v="2"/>
    <n v="4"/>
    <x v="0"/>
    <n v="1"/>
    <x v="264"/>
    <n v="1"/>
    <s v="Male"/>
    <n v="79"/>
    <n v="3"/>
    <x v="1"/>
    <x v="2"/>
    <n v="3"/>
    <s v="Single"/>
    <n v="3485"/>
    <n v="14935"/>
    <n v="2"/>
    <s v="Y"/>
    <x v="1"/>
    <n v="11"/>
    <n v="3"/>
    <n v="3"/>
    <n v="80"/>
    <n v="0"/>
    <n v="5"/>
    <n v="5"/>
    <n v="1"/>
    <n v="0"/>
    <n v="0"/>
    <n v="0"/>
    <n v="0"/>
    <n v="1"/>
    <x v="2"/>
  </r>
  <r>
    <n v="29"/>
    <s v="No"/>
    <s v="Travel_Rarely"/>
    <n v="1210"/>
    <x v="0"/>
    <n v="2"/>
    <n v="3"/>
    <x v="2"/>
    <n v="1"/>
    <x v="265"/>
    <n v="1"/>
    <s v="Male"/>
    <n v="78"/>
    <n v="2"/>
    <x v="0"/>
    <x v="0"/>
    <n v="2"/>
    <s v="Married"/>
    <n v="6644"/>
    <n v="3687"/>
    <n v="2"/>
    <s v="Y"/>
    <x v="1"/>
    <n v="19"/>
    <n v="3"/>
    <n v="2"/>
    <n v="80"/>
    <n v="2"/>
    <n v="10"/>
    <n v="2"/>
    <n v="3"/>
    <n v="0"/>
    <n v="0"/>
    <n v="0"/>
    <n v="0"/>
    <n v="0"/>
    <x v="2"/>
  </r>
  <r>
    <n v="31"/>
    <s v="No"/>
    <s v="Travel_Rarely"/>
    <n v="1463"/>
    <x v="1"/>
    <n v="23"/>
    <n v="3"/>
    <x v="2"/>
    <n v="1"/>
    <x v="266"/>
    <n v="2"/>
    <s v="Male"/>
    <n v="64"/>
    <n v="2"/>
    <x v="0"/>
    <x v="4"/>
    <n v="4"/>
    <s v="Married"/>
    <n v="5582"/>
    <n v="14408"/>
    <n v="0"/>
    <s v="Y"/>
    <x v="1"/>
    <n v="21"/>
    <n v="4"/>
    <n v="2"/>
    <n v="80"/>
    <n v="1"/>
    <n v="10"/>
    <n v="2"/>
    <n v="3"/>
    <n v="9"/>
    <n v="0"/>
    <n v="7"/>
    <n v="8"/>
    <n v="0"/>
    <x v="2"/>
  </r>
  <r>
    <n v="25"/>
    <s v="No"/>
    <s v="Non-Travel"/>
    <n v="675"/>
    <x v="1"/>
    <n v="5"/>
    <n v="2"/>
    <x v="0"/>
    <n v="1"/>
    <x v="267"/>
    <n v="2"/>
    <s v="Male"/>
    <n v="85"/>
    <n v="4"/>
    <x v="0"/>
    <x v="4"/>
    <n v="1"/>
    <s v="Divorced"/>
    <n v="4000"/>
    <n v="18384"/>
    <n v="1"/>
    <s v="Y"/>
    <x v="1"/>
    <n v="12"/>
    <n v="3"/>
    <n v="4"/>
    <n v="80"/>
    <n v="2"/>
    <n v="6"/>
    <n v="2"/>
    <n v="3"/>
    <n v="6"/>
    <n v="3"/>
    <n v="1"/>
    <n v="5"/>
    <n v="0"/>
    <x v="4"/>
  </r>
  <r>
    <n v="45"/>
    <s v="No"/>
    <s v="Travel_Rarely"/>
    <n v="1385"/>
    <x v="1"/>
    <n v="20"/>
    <n v="2"/>
    <x v="2"/>
    <n v="1"/>
    <x v="268"/>
    <n v="3"/>
    <s v="Male"/>
    <n v="79"/>
    <n v="3"/>
    <x v="3"/>
    <x v="4"/>
    <n v="4"/>
    <s v="Married"/>
    <n v="13496"/>
    <n v="7501"/>
    <n v="0"/>
    <s v="Y"/>
    <x v="0"/>
    <n v="14"/>
    <n v="3"/>
    <n v="2"/>
    <n v="80"/>
    <n v="0"/>
    <n v="21"/>
    <n v="2"/>
    <n v="3"/>
    <n v="20"/>
    <n v="7"/>
    <n v="4"/>
    <n v="10"/>
    <n v="0"/>
    <x v="0"/>
  </r>
  <r>
    <n v="36"/>
    <s v="No"/>
    <s v="Travel_Rarely"/>
    <n v="1403"/>
    <x v="1"/>
    <n v="6"/>
    <n v="3"/>
    <x v="0"/>
    <n v="1"/>
    <x v="269"/>
    <n v="4"/>
    <s v="Male"/>
    <n v="47"/>
    <n v="3"/>
    <x v="1"/>
    <x v="2"/>
    <n v="4"/>
    <s v="Married"/>
    <n v="3210"/>
    <n v="20251"/>
    <n v="0"/>
    <s v="Y"/>
    <x v="1"/>
    <n v="11"/>
    <n v="3"/>
    <n v="3"/>
    <n v="80"/>
    <n v="1"/>
    <n v="16"/>
    <n v="4"/>
    <n v="3"/>
    <n v="15"/>
    <n v="13"/>
    <n v="10"/>
    <n v="11"/>
    <n v="0"/>
    <x v="0"/>
  </r>
  <r>
    <n v="55"/>
    <s v="No"/>
    <s v="Travel_Rarely"/>
    <n v="452"/>
    <x v="1"/>
    <n v="1"/>
    <n v="3"/>
    <x v="2"/>
    <n v="1"/>
    <x v="270"/>
    <n v="4"/>
    <s v="Male"/>
    <n v="81"/>
    <n v="3"/>
    <x v="4"/>
    <x v="5"/>
    <n v="1"/>
    <s v="Single"/>
    <n v="19045"/>
    <n v="18938"/>
    <n v="0"/>
    <s v="Y"/>
    <x v="0"/>
    <n v="14"/>
    <n v="3"/>
    <n v="3"/>
    <n v="80"/>
    <n v="0"/>
    <n v="37"/>
    <n v="2"/>
    <n v="3"/>
    <n v="36"/>
    <n v="10"/>
    <n v="4"/>
    <n v="13"/>
    <n v="0"/>
    <x v="1"/>
  </r>
  <r>
    <n v="47"/>
    <s v="Yes"/>
    <s v="Non-Travel"/>
    <n v="666"/>
    <x v="1"/>
    <n v="29"/>
    <n v="4"/>
    <x v="0"/>
    <n v="1"/>
    <x v="271"/>
    <n v="1"/>
    <s v="Male"/>
    <n v="88"/>
    <n v="3"/>
    <x v="2"/>
    <x v="5"/>
    <n v="2"/>
    <s v="Married"/>
    <n v="11849"/>
    <n v="10268"/>
    <n v="1"/>
    <s v="Y"/>
    <x v="0"/>
    <n v="12"/>
    <n v="3"/>
    <n v="4"/>
    <n v="80"/>
    <n v="1"/>
    <n v="10"/>
    <n v="2"/>
    <n v="2"/>
    <n v="10"/>
    <n v="7"/>
    <n v="9"/>
    <n v="9"/>
    <n v="1"/>
    <x v="1"/>
  </r>
  <r>
    <n v="28"/>
    <s v="No"/>
    <s v="Travel_Rarely"/>
    <n v="1158"/>
    <x v="1"/>
    <n v="9"/>
    <n v="3"/>
    <x v="2"/>
    <n v="1"/>
    <x v="272"/>
    <n v="4"/>
    <s v="Male"/>
    <n v="94"/>
    <n v="3"/>
    <x v="1"/>
    <x v="1"/>
    <n v="4"/>
    <s v="Married"/>
    <n v="2070"/>
    <n v="2613"/>
    <n v="1"/>
    <s v="Y"/>
    <x v="1"/>
    <n v="23"/>
    <n v="4"/>
    <n v="4"/>
    <n v="80"/>
    <n v="1"/>
    <n v="5"/>
    <n v="3"/>
    <n v="2"/>
    <n v="5"/>
    <n v="2"/>
    <n v="0"/>
    <n v="4"/>
    <n v="0"/>
    <x v="2"/>
  </r>
  <r>
    <n v="37"/>
    <s v="No"/>
    <s v="Travel_Rarely"/>
    <n v="228"/>
    <x v="0"/>
    <n v="6"/>
    <n v="4"/>
    <x v="2"/>
    <n v="1"/>
    <x v="273"/>
    <n v="3"/>
    <s v="Male"/>
    <n v="98"/>
    <n v="3"/>
    <x v="0"/>
    <x v="0"/>
    <n v="4"/>
    <s v="Married"/>
    <n v="6502"/>
    <n v="22825"/>
    <n v="4"/>
    <s v="Y"/>
    <x v="1"/>
    <n v="14"/>
    <n v="3"/>
    <n v="2"/>
    <n v="80"/>
    <n v="1"/>
    <n v="7"/>
    <n v="5"/>
    <n v="4"/>
    <n v="5"/>
    <n v="4"/>
    <n v="0"/>
    <n v="1"/>
    <n v="0"/>
    <x v="0"/>
  </r>
  <r>
    <n v="21"/>
    <s v="No"/>
    <s v="Travel_Rarely"/>
    <n v="996"/>
    <x v="1"/>
    <n v="3"/>
    <n v="2"/>
    <x v="2"/>
    <n v="1"/>
    <x v="274"/>
    <n v="4"/>
    <s v="Male"/>
    <n v="100"/>
    <n v="2"/>
    <x v="1"/>
    <x v="1"/>
    <n v="3"/>
    <s v="Single"/>
    <n v="3230"/>
    <n v="10531"/>
    <n v="1"/>
    <s v="Y"/>
    <x v="1"/>
    <n v="17"/>
    <n v="3"/>
    <n v="1"/>
    <n v="80"/>
    <n v="0"/>
    <n v="3"/>
    <n v="4"/>
    <n v="4"/>
    <n v="3"/>
    <n v="2"/>
    <n v="1"/>
    <n v="0"/>
    <n v="0"/>
    <x v="4"/>
  </r>
  <r>
    <n v="37"/>
    <s v="No"/>
    <s v="Non-Travel"/>
    <n v="728"/>
    <x v="1"/>
    <n v="1"/>
    <n v="4"/>
    <x v="2"/>
    <n v="1"/>
    <x v="275"/>
    <n v="1"/>
    <s v="Female"/>
    <n v="80"/>
    <n v="3"/>
    <x v="2"/>
    <x v="7"/>
    <n v="4"/>
    <s v="Divorced"/>
    <n v="13603"/>
    <n v="11677"/>
    <n v="2"/>
    <s v="Y"/>
    <x v="0"/>
    <n v="18"/>
    <n v="3"/>
    <n v="1"/>
    <n v="80"/>
    <n v="2"/>
    <n v="15"/>
    <n v="2"/>
    <n v="3"/>
    <n v="5"/>
    <n v="2"/>
    <n v="0"/>
    <n v="2"/>
    <n v="0"/>
    <x v="0"/>
  </r>
  <r>
    <n v="35"/>
    <s v="No"/>
    <s v="Travel_Rarely"/>
    <n v="1315"/>
    <x v="1"/>
    <n v="22"/>
    <n v="3"/>
    <x v="0"/>
    <n v="1"/>
    <x v="276"/>
    <n v="2"/>
    <s v="Female"/>
    <n v="71"/>
    <n v="4"/>
    <x v="2"/>
    <x v="5"/>
    <n v="2"/>
    <s v="Divorced"/>
    <n v="11996"/>
    <n v="19100"/>
    <n v="7"/>
    <s v="Y"/>
    <x v="1"/>
    <n v="18"/>
    <n v="3"/>
    <n v="2"/>
    <n v="80"/>
    <n v="1"/>
    <n v="10"/>
    <n v="6"/>
    <n v="2"/>
    <n v="7"/>
    <n v="7"/>
    <n v="6"/>
    <n v="2"/>
    <n v="0"/>
    <x v="2"/>
  </r>
  <r>
    <n v="38"/>
    <s v="No"/>
    <s v="Travel_Rarely"/>
    <n v="322"/>
    <x v="0"/>
    <n v="7"/>
    <n v="2"/>
    <x v="2"/>
    <n v="1"/>
    <x v="277"/>
    <n v="1"/>
    <s v="Female"/>
    <n v="44"/>
    <n v="4"/>
    <x v="0"/>
    <x v="0"/>
    <n v="1"/>
    <s v="Divorced"/>
    <n v="5605"/>
    <n v="19191"/>
    <n v="1"/>
    <s v="Y"/>
    <x v="0"/>
    <n v="24"/>
    <n v="4"/>
    <n v="3"/>
    <n v="80"/>
    <n v="1"/>
    <n v="8"/>
    <n v="3"/>
    <n v="3"/>
    <n v="8"/>
    <n v="0"/>
    <n v="7"/>
    <n v="7"/>
    <n v="0"/>
    <x v="0"/>
  </r>
  <r>
    <n v="26"/>
    <s v="No"/>
    <s v="Travel_Frequently"/>
    <n v="1479"/>
    <x v="1"/>
    <n v="1"/>
    <n v="3"/>
    <x v="0"/>
    <n v="1"/>
    <x v="278"/>
    <n v="3"/>
    <s v="Female"/>
    <n v="84"/>
    <n v="3"/>
    <x v="0"/>
    <x v="3"/>
    <n v="2"/>
    <s v="Divorced"/>
    <n v="6397"/>
    <n v="26767"/>
    <n v="1"/>
    <s v="Y"/>
    <x v="1"/>
    <n v="20"/>
    <n v="4"/>
    <n v="1"/>
    <n v="80"/>
    <n v="1"/>
    <n v="6"/>
    <n v="6"/>
    <n v="1"/>
    <n v="6"/>
    <n v="5"/>
    <n v="1"/>
    <n v="4"/>
    <n v="0"/>
    <x v="2"/>
  </r>
  <r>
    <n v="50"/>
    <s v="No"/>
    <s v="Travel_Rarely"/>
    <n v="797"/>
    <x v="1"/>
    <n v="4"/>
    <n v="1"/>
    <x v="0"/>
    <n v="1"/>
    <x v="279"/>
    <n v="1"/>
    <s v="Male"/>
    <n v="96"/>
    <n v="3"/>
    <x v="4"/>
    <x v="7"/>
    <n v="2"/>
    <s v="Divorced"/>
    <n v="19144"/>
    <n v="15815"/>
    <n v="3"/>
    <s v="Y"/>
    <x v="1"/>
    <n v="14"/>
    <n v="3"/>
    <n v="1"/>
    <n v="80"/>
    <n v="2"/>
    <n v="28"/>
    <n v="4"/>
    <n v="2"/>
    <n v="10"/>
    <n v="4"/>
    <n v="1"/>
    <n v="6"/>
    <n v="0"/>
    <x v="1"/>
  </r>
  <r>
    <n v="53"/>
    <s v="No"/>
    <s v="Travel_Rarely"/>
    <n v="1070"/>
    <x v="1"/>
    <n v="3"/>
    <n v="4"/>
    <x v="2"/>
    <n v="1"/>
    <x v="280"/>
    <n v="3"/>
    <s v="Male"/>
    <n v="45"/>
    <n v="3"/>
    <x v="3"/>
    <x v="7"/>
    <n v="3"/>
    <s v="Married"/>
    <n v="17584"/>
    <n v="21016"/>
    <n v="3"/>
    <s v="Y"/>
    <x v="0"/>
    <n v="16"/>
    <n v="3"/>
    <n v="4"/>
    <n v="80"/>
    <n v="3"/>
    <n v="21"/>
    <n v="5"/>
    <n v="2"/>
    <n v="5"/>
    <n v="3"/>
    <n v="1"/>
    <n v="3"/>
    <n v="0"/>
    <x v="1"/>
  </r>
  <r>
    <n v="42"/>
    <s v="No"/>
    <s v="Travel_Rarely"/>
    <n v="635"/>
    <x v="0"/>
    <n v="1"/>
    <n v="1"/>
    <x v="0"/>
    <n v="1"/>
    <x v="281"/>
    <n v="2"/>
    <s v="Male"/>
    <n v="99"/>
    <n v="3"/>
    <x v="0"/>
    <x v="0"/>
    <n v="3"/>
    <s v="Married"/>
    <n v="4907"/>
    <n v="24532"/>
    <n v="1"/>
    <s v="Y"/>
    <x v="1"/>
    <n v="25"/>
    <n v="4"/>
    <n v="3"/>
    <n v="80"/>
    <n v="0"/>
    <n v="20"/>
    <n v="3"/>
    <n v="3"/>
    <n v="20"/>
    <n v="16"/>
    <n v="11"/>
    <n v="6"/>
    <n v="0"/>
    <x v="0"/>
  </r>
  <r>
    <n v="29"/>
    <s v="No"/>
    <s v="Travel_Frequently"/>
    <n v="442"/>
    <x v="0"/>
    <n v="2"/>
    <n v="2"/>
    <x v="0"/>
    <n v="1"/>
    <x v="282"/>
    <n v="2"/>
    <s v="Male"/>
    <n v="44"/>
    <n v="3"/>
    <x v="0"/>
    <x v="0"/>
    <n v="4"/>
    <s v="Single"/>
    <n v="4554"/>
    <n v="20260"/>
    <n v="1"/>
    <s v="Y"/>
    <x v="1"/>
    <n v="18"/>
    <n v="3"/>
    <n v="1"/>
    <n v="80"/>
    <n v="0"/>
    <n v="10"/>
    <n v="3"/>
    <n v="2"/>
    <n v="10"/>
    <n v="7"/>
    <n v="0"/>
    <n v="9"/>
    <n v="0"/>
    <x v="2"/>
  </r>
  <r>
    <n v="55"/>
    <s v="No"/>
    <s v="Travel_Rarely"/>
    <n v="147"/>
    <x v="1"/>
    <n v="20"/>
    <n v="2"/>
    <x v="4"/>
    <n v="1"/>
    <x v="283"/>
    <n v="2"/>
    <s v="Male"/>
    <n v="37"/>
    <n v="3"/>
    <x v="0"/>
    <x v="2"/>
    <n v="4"/>
    <s v="Married"/>
    <n v="5415"/>
    <n v="15972"/>
    <n v="3"/>
    <s v="Y"/>
    <x v="0"/>
    <n v="19"/>
    <n v="3"/>
    <n v="4"/>
    <n v="80"/>
    <n v="1"/>
    <n v="12"/>
    <n v="4"/>
    <n v="3"/>
    <n v="10"/>
    <n v="7"/>
    <n v="0"/>
    <n v="8"/>
    <n v="0"/>
    <x v="1"/>
  </r>
  <r>
    <n v="26"/>
    <s v="No"/>
    <s v="Travel_Frequently"/>
    <n v="496"/>
    <x v="1"/>
    <n v="11"/>
    <n v="2"/>
    <x v="2"/>
    <n v="1"/>
    <x v="284"/>
    <n v="1"/>
    <s v="Male"/>
    <n v="60"/>
    <n v="3"/>
    <x v="0"/>
    <x v="4"/>
    <n v="1"/>
    <s v="Married"/>
    <n v="4741"/>
    <n v="22722"/>
    <n v="1"/>
    <s v="Y"/>
    <x v="0"/>
    <n v="13"/>
    <n v="3"/>
    <n v="3"/>
    <n v="80"/>
    <n v="1"/>
    <n v="5"/>
    <n v="3"/>
    <n v="3"/>
    <n v="5"/>
    <n v="3"/>
    <n v="3"/>
    <n v="3"/>
    <n v="0"/>
    <x v="2"/>
  </r>
  <r>
    <n v="37"/>
    <s v="No"/>
    <s v="Travel_Rarely"/>
    <n v="1372"/>
    <x v="1"/>
    <n v="1"/>
    <n v="3"/>
    <x v="0"/>
    <n v="1"/>
    <x v="285"/>
    <n v="4"/>
    <s v="Female"/>
    <n v="42"/>
    <n v="3"/>
    <x v="1"/>
    <x v="1"/>
    <n v="4"/>
    <s v="Single"/>
    <n v="2115"/>
    <n v="15881"/>
    <n v="1"/>
    <s v="Y"/>
    <x v="1"/>
    <n v="12"/>
    <n v="3"/>
    <n v="2"/>
    <n v="80"/>
    <n v="0"/>
    <n v="17"/>
    <n v="3"/>
    <n v="3"/>
    <n v="17"/>
    <n v="12"/>
    <n v="5"/>
    <n v="7"/>
    <n v="0"/>
    <x v="0"/>
  </r>
  <r>
    <n v="44"/>
    <s v="Yes"/>
    <s v="Travel_Frequently"/>
    <n v="920"/>
    <x v="1"/>
    <n v="24"/>
    <n v="3"/>
    <x v="0"/>
    <n v="1"/>
    <x v="286"/>
    <n v="4"/>
    <s v="Male"/>
    <n v="43"/>
    <n v="3"/>
    <x v="1"/>
    <x v="2"/>
    <n v="3"/>
    <s v="Divorced"/>
    <n v="3161"/>
    <n v="19920"/>
    <n v="3"/>
    <s v="Y"/>
    <x v="0"/>
    <n v="22"/>
    <n v="4"/>
    <n v="4"/>
    <n v="80"/>
    <n v="1"/>
    <n v="19"/>
    <n v="0"/>
    <n v="1"/>
    <n v="1"/>
    <n v="0"/>
    <n v="0"/>
    <n v="0"/>
    <n v="1"/>
    <x v="0"/>
  </r>
  <r>
    <n v="38"/>
    <s v="No"/>
    <s v="Travel_Rarely"/>
    <n v="688"/>
    <x v="1"/>
    <n v="23"/>
    <n v="4"/>
    <x v="0"/>
    <n v="1"/>
    <x v="287"/>
    <n v="4"/>
    <s v="Male"/>
    <n v="82"/>
    <n v="3"/>
    <x v="0"/>
    <x v="4"/>
    <n v="4"/>
    <s v="Divorced"/>
    <n v="5745"/>
    <n v="18899"/>
    <n v="9"/>
    <s v="Y"/>
    <x v="1"/>
    <n v="14"/>
    <n v="3"/>
    <n v="2"/>
    <n v="80"/>
    <n v="1"/>
    <n v="10"/>
    <n v="2"/>
    <n v="3"/>
    <n v="2"/>
    <n v="2"/>
    <n v="1"/>
    <n v="2"/>
    <n v="0"/>
    <x v="0"/>
  </r>
  <r>
    <n v="26"/>
    <s v="Yes"/>
    <s v="Travel_Rarely"/>
    <n v="1449"/>
    <x v="1"/>
    <n v="16"/>
    <n v="4"/>
    <x v="2"/>
    <n v="1"/>
    <x v="288"/>
    <n v="1"/>
    <s v="Male"/>
    <n v="45"/>
    <n v="3"/>
    <x v="1"/>
    <x v="2"/>
    <n v="2"/>
    <s v="Divorced"/>
    <n v="2373"/>
    <n v="14180"/>
    <n v="2"/>
    <s v="Y"/>
    <x v="0"/>
    <n v="13"/>
    <n v="3"/>
    <n v="4"/>
    <n v="80"/>
    <n v="1"/>
    <n v="5"/>
    <n v="2"/>
    <n v="3"/>
    <n v="3"/>
    <n v="2"/>
    <n v="0"/>
    <n v="2"/>
    <n v="1"/>
    <x v="2"/>
  </r>
  <r>
    <n v="28"/>
    <s v="No"/>
    <s v="Travel_Rarely"/>
    <n v="1117"/>
    <x v="1"/>
    <n v="8"/>
    <n v="2"/>
    <x v="0"/>
    <n v="1"/>
    <x v="289"/>
    <n v="4"/>
    <s v="Female"/>
    <n v="66"/>
    <n v="3"/>
    <x v="1"/>
    <x v="1"/>
    <n v="4"/>
    <s v="Single"/>
    <n v="3310"/>
    <n v="4488"/>
    <n v="1"/>
    <s v="Y"/>
    <x v="1"/>
    <n v="21"/>
    <n v="4"/>
    <n v="4"/>
    <n v="80"/>
    <n v="0"/>
    <n v="5"/>
    <n v="3"/>
    <n v="3"/>
    <n v="5"/>
    <n v="3"/>
    <n v="0"/>
    <n v="2"/>
    <n v="0"/>
    <x v="2"/>
  </r>
  <r>
    <n v="49"/>
    <s v="No"/>
    <s v="Travel_Frequently"/>
    <n v="636"/>
    <x v="1"/>
    <n v="10"/>
    <n v="4"/>
    <x v="0"/>
    <n v="1"/>
    <x v="290"/>
    <n v="3"/>
    <s v="Female"/>
    <n v="35"/>
    <n v="3"/>
    <x v="4"/>
    <x v="7"/>
    <n v="1"/>
    <s v="Single"/>
    <n v="18665"/>
    <n v="25594"/>
    <n v="9"/>
    <s v="Y"/>
    <x v="0"/>
    <n v="11"/>
    <n v="3"/>
    <n v="4"/>
    <n v="80"/>
    <n v="0"/>
    <n v="22"/>
    <n v="4"/>
    <n v="3"/>
    <n v="3"/>
    <n v="2"/>
    <n v="1"/>
    <n v="2"/>
    <n v="0"/>
    <x v="1"/>
  </r>
  <r>
    <n v="36"/>
    <s v="No"/>
    <s v="Travel_Rarely"/>
    <n v="506"/>
    <x v="1"/>
    <n v="3"/>
    <n v="3"/>
    <x v="4"/>
    <n v="1"/>
    <x v="291"/>
    <n v="3"/>
    <s v="Male"/>
    <n v="30"/>
    <n v="3"/>
    <x v="0"/>
    <x v="1"/>
    <n v="2"/>
    <s v="Single"/>
    <n v="4485"/>
    <n v="26285"/>
    <n v="4"/>
    <s v="Y"/>
    <x v="1"/>
    <n v="12"/>
    <n v="3"/>
    <n v="4"/>
    <n v="80"/>
    <n v="0"/>
    <n v="10"/>
    <n v="2"/>
    <n v="3"/>
    <n v="8"/>
    <n v="0"/>
    <n v="7"/>
    <n v="7"/>
    <n v="0"/>
    <x v="0"/>
  </r>
  <r>
    <n v="31"/>
    <s v="No"/>
    <s v="Travel_Frequently"/>
    <n v="444"/>
    <x v="0"/>
    <n v="5"/>
    <n v="3"/>
    <x v="3"/>
    <n v="1"/>
    <x v="292"/>
    <n v="4"/>
    <s v="Female"/>
    <n v="84"/>
    <n v="3"/>
    <x v="1"/>
    <x v="6"/>
    <n v="2"/>
    <s v="Divorced"/>
    <n v="2789"/>
    <n v="3909"/>
    <n v="1"/>
    <s v="Y"/>
    <x v="1"/>
    <n v="11"/>
    <n v="3"/>
    <n v="3"/>
    <n v="80"/>
    <n v="1"/>
    <n v="2"/>
    <n v="5"/>
    <n v="2"/>
    <n v="2"/>
    <n v="2"/>
    <n v="2"/>
    <n v="2"/>
    <n v="0"/>
    <x v="2"/>
  </r>
  <r>
    <n v="26"/>
    <s v="Yes"/>
    <s v="Travel_Rarely"/>
    <n v="950"/>
    <x v="0"/>
    <n v="4"/>
    <n v="4"/>
    <x v="3"/>
    <n v="1"/>
    <x v="293"/>
    <n v="4"/>
    <s v="Male"/>
    <n v="48"/>
    <n v="2"/>
    <x v="0"/>
    <x v="0"/>
    <n v="4"/>
    <s v="Single"/>
    <n v="5828"/>
    <n v="8450"/>
    <n v="1"/>
    <s v="Y"/>
    <x v="0"/>
    <n v="12"/>
    <n v="3"/>
    <n v="2"/>
    <n v="80"/>
    <n v="0"/>
    <n v="8"/>
    <n v="0"/>
    <n v="3"/>
    <n v="8"/>
    <n v="7"/>
    <n v="7"/>
    <n v="4"/>
    <n v="1"/>
    <x v="2"/>
  </r>
  <r>
    <n v="37"/>
    <s v="No"/>
    <s v="Travel_Frequently"/>
    <n v="889"/>
    <x v="1"/>
    <n v="9"/>
    <n v="3"/>
    <x v="2"/>
    <n v="1"/>
    <x v="294"/>
    <n v="2"/>
    <s v="Male"/>
    <n v="53"/>
    <n v="3"/>
    <x v="1"/>
    <x v="1"/>
    <n v="4"/>
    <s v="Married"/>
    <n v="2326"/>
    <n v="11411"/>
    <n v="1"/>
    <s v="Y"/>
    <x v="0"/>
    <n v="12"/>
    <n v="3"/>
    <n v="3"/>
    <n v="80"/>
    <n v="3"/>
    <n v="4"/>
    <n v="3"/>
    <n v="2"/>
    <n v="4"/>
    <n v="2"/>
    <n v="1"/>
    <n v="2"/>
    <n v="0"/>
    <x v="0"/>
  </r>
  <r>
    <n v="42"/>
    <s v="No"/>
    <s v="Travel_Frequently"/>
    <n v="555"/>
    <x v="0"/>
    <n v="26"/>
    <n v="3"/>
    <x v="3"/>
    <n v="1"/>
    <x v="295"/>
    <n v="3"/>
    <s v="Female"/>
    <n v="77"/>
    <n v="3"/>
    <x v="3"/>
    <x v="0"/>
    <n v="2"/>
    <s v="Married"/>
    <n v="13525"/>
    <n v="14864"/>
    <n v="5"/>
    <s v="Y"/>
    <x v="1"/>
    <n v="14"/>
    <n v="3"/>
    <n v="4"/>
    <n v="80"/>
    <n v="1"/>
    <n v="23"/>
    <n v="2"/>
    <n v="4"/>
    <n v="20"/>
    <n v="4"/>
    <n v="4"/>
    <n v="8"/>
    <n v="0"/>
    <x v="0"/>
  </r>
  <r>
    <n v="18"/>
    <s v="Yes"/>
    <s v="Travel_Rarely"/>
    <n v="230"/>
    <x v="1"/>
    <n v="3"/>
    <n v="3"/>
    <x v="0"/>
    <n v="1"/>
    <x v="296"/>
    <n v="3"/>
    <s v="Male"/>
    <n v="54"/>
    <n v="3"/>
    <x v="1"/>
    <x v="2"/>
    <n v="3"/>
    <s v="Single"/>
    <n v="1420"/>
    <n v="25233"/>
    <n v="1"/>
    <s v="Y"/>
    <x v="1"/>
    <n v="13"/>
    <n v="3"/>
    <n v="3"/>
    <n v="80"/>
    <n v="0"/>
    <n v="0"/>
    <n v="2"/>
    <n v="3"/>
    <n v="0"/>
    <n v="0"/>
    <n v="0"/>
    <n v="0"/>
    <n v="1"/>
    <x v="4"/>
  </r>
  <r>
    <n v="35"/>
    <s v="No"/>
    <s v="Travel_Rarely"/>
    <n v="1232"/>
    <x v="0"/>
    <n v="16"/>
    <n v="3"/>
    <x v="3"/>
    <n v="1"/>
    <x v="297"/>
    <n v="3"/>
    <s v="Male"/>
    <n v="96"/>
    <n v="3"/>
    <x v="2"/>
    <x v="0"/>
    <n v="2"/>
    <s v="Married"/>
    <n v="8020"/>
    <n v="5100"/>
    <n v="0"/>
    <s v="Y"/>
    <x v="1"/>
    <n v="15"/>
    <n v="3"/>
    <n v="3"/>
    <n v="80"/>
    <n v="2"/>
    <n v="12"/>
    <n v="3"/>
    <n v="2"/>
    <n v="11"/>
    <n v="9"/>
    <n v="6"/>
    <n v="9"/>
    <n v="0"/>
    <x v="2"/>
  </r>
  <r>
    <n v="36"/>
    <s v="No"/>
    <s v="Travel_Frequently"/>
    <n v="566"/>
    <x v="1"/>
    <n v="18"/>
    <n v="4"/>
    <x v="0"/>
    <n v="1"/>
    <x v="298"/>
    <n v="3"/>
    <s v="Male"/>
    <n v="81"/>
    <n v="4"/>
    <x v="1"/>
    <x v="2"/>
    <n v="4"/>
    <s v="Married"/>
    <n v="3688"/>
    <n v="7122"/>
    <n v="4"/>
    <s v="Y"/>
    <x v="1"/>
    <n v="18"/>
    <n v="3"/>
    <n v="4"/>
    <n v="80"/>
    <n v="2"/>
    <n v="4"/>
    <n v="2"/>
    <n v="3"/>
    <n v="1"/>
    <n v="0"/>
    <n v="0"/>
    <n v="0"/>
    <n v="0"/>
    <x v="0"/>
  </r>
  <r>
    <n v="51"/>
    <s v="No"/>
    <s v="Travel_Rarely"/>
    <n v="1302"/>
    <x v="1"/>
    <n v="2"/>
    <n v="3"/>
    <x v="2"/>
    <n v="1"/>
    <x v="299"/>
    <n v="4"/>
    <s v="Male"/>
    <n v="84"/>
    <n v="1"/>
    <x v="0"/>
    <x v="3"/>
    <n v="2"/>
    <s v="Divorced"/>
    <n v="5482"/>
    <n v="16321"/>
    <n v="5"/>
    <s v="Y"/>
    <x v="1"/>
    <n v="18"/>
    <n v="3"/>
    <n v="4"/>
    <n v="80"/>
    <n v="1"/>
    <n v="13"/>
    <n v="3"/>
    <n v="3"/>
    <n v="4"/>
    <n v="1"/>
    <n v="1"/>
    <n v="2"/>
    <n v="0"/>
    <x v="1"/>
  </r>
  <r>
    <n v="41"/>
    <s v="No"/>
    <s v="Travel_Rarely"/>
    <n v="334"/>
    <x v="0"/>
    <n v="2"/>
    <n v="4"/>
    <x v="0"/>
    <n v="1"/>
    <x v="300"/>
    <n v="4"/>
    <s v="Male"/>
    <n v="88"/>
    <n v="3"/>
    <x v="3"/>
    <x v="5"/>
    <n v="2"/>
    <s v="Single"/>
    <n v="16015"/>
    <n v="15896"/>
    <n v="1"/>
    <s v="Y"/>
    <x v="1"/>
    <n v="19"/>
    <n v="3"/>
    <n v="2"/>
    <n v="80"/>
    <n v="0"/>
    <n v="22"/>
    <n v="2"/>
    <n v="3"/>
    <n v="22"/>
    <n v="10"/>
    <n v="0"/>
    <n v="4"/>
    <n v="0"/>
    <x v="0"/>
  </r>
  <r>
    <n v="18"/>
    <s v="No"/>
    <s v="Travel_Rarely"/>
    <n v="812"/>
    <x v="0"/>
    <n v="10"/>
    <n v="3"/>
    <x v="2"/>
    <n v="1"/>
    <x v="301"/>
    <n v="4"/>
    <s v="Female"/>
    <n v="69"/>
    <n v="2"/>
    <x v="1"/>
    <x v="6"/>
    <n v="3"/>
    <s v="Single"/>
    <n v="1200"/>
    <n v="9724"/>
    <n v="1"/>
    <s v="Y"/>
    <x v="1"/>
    <n v="12"/>
    <n v="3"/>
    <n v="1"/>
    <n v="80"/>
    <n v="0"/>
    <n v="0"/>
    <n v="2"/>
    <n v="3"/>
    <n v="0"/>
    <n v="0"/>
    <n v="0"/>
    <n v="0"/>
    <n v="0"/>
    <x v="4"/>
  </r>
  <r>
    <n v="28"/>
    <s v="No"/>
    <s v="Travel_Rarely"/>
    <n v="1476"/>
    <x v="1"/>
    <n v="16"/>
    <n v="2"/>
    <x v="2"/>
    <n v="1"/>
    <x v="302"/>
    <n v="2"/>
    <s v="Male"/>
    <n v="68"/>
    <n v="4"/>
    <x v="0"/>
    <x v="4"/>
    <n v="1"/>
    <s v="Single"/>
    <n v="5661"/>
    <n v="4824"/>
    <n v="0"/>
    <s v="Y"/>
    <x v="1"/>
    <n v="19"/>
    <n v="3"/>
    <n v="3"/>
    <n v="80"/>
    <n v="0"/>
    <n v="9"/>
    <n v="2"/>
    <n v="3"/>
    <n v="8"/>
    <n v="3"/>
    <n v="0"/>
    <n v="7"/>
    <n v="0"/>
    <x v="2"/>
  </r>
  <r>
    <n v="31"/>
    <s v="No"/>
    <s v="Travel_Rarely"/>
    <n v="218"/>
    <x v="0"/>
    <n v="7"/>
    <n v="3"/>
    <x v="4"/>
    <n v="1"/>
    <x v="303"/>
    <n v="2"/>
    <s v="Male"/>
    <n v="100"/>
    <n v="4"/>
    <x v="0"/>
    <x v="0"/>
    <n v="4"/>
    <s v="Married"/>
    <n v="6929"/>
    <n v="12241"/>
    <n v="4"/>
    <s v="Y"/>
    <x v="1"/>
    <n v="11"/>
    <n v="3"/>
    <n v="2"/>
    <n v="80"/>
    <n v="1"/>
    <n v="10"/>
    <n v="3"/>
    <n v="2"/>
    <n v="8"/>
    <n v="7"/>
    <n v="7"/>
    <n v="7"/>
    <n v="0"/>
    <x v="2"/>
  </r>
  <r>
    <n v="39"/>
    <s v="No"/>
    <s v="Travel_Rarely"/>
    <n v="1132"/>
    <x v="1"/>
    <n v="1"/>
    <n v="3"/>
    <x v="2"/>
    <n v="1"/>
    <x v="304"/>
    <n v="3"/>
    <s v="Male"/>
    <n v="48"/>
    <n v="4"/>
    <x v="2"/>
    <x v="4"/>
    <n v="4"/>
    <s v="Divorced"/>
    <n v="9613"/>
    <n v="10942"/>
    <n v="0"/>
    <s v="Y"/>
    <x v="1"/>
    <n v="17"/>
    <n v="3"/>
    <n v="1"/>
    <n v="80"/>
    <n v="3"/>
    <n v="19"/>
    <n v="5"/>
    <n v="2"/>
    <n v="18"/>
    <n v="10"/>
    <n v="3"/>
    <n v="7"/>
    <n v="0"/>
    <x v="0"/>
  </r>
  <r>
    <n v="36"/>
    <s v="No"/>
    <s v="Non-Travel"/>
    <n v="1105"/>
    <x v="1"/>
    <n v="24"/>
    <n v="4"/>
    <x v="0"/>
    <n v="1"/>
    <x v="305"/>
    <n v="2"/>
    <s v="Female"/>
    <n v="47"/>
    <n v="3"/>
    <x v="0"/>
    <x v="2"/>
    <n v="2"/>
    <s v="Married"/>
    <n v="5674"/>
    <n v="6927"/>
    <n v="7"/>
    <s v="Y"/>
    <x v="1"/>
    <n v="15"/>
    <n v="3"/>
    <n v="3"/>
    <n v="80"/>
    <n v="1"/>
    <n v="11"/>
    <n v="3"/>
    <n v="3"/>
    <n v="9"/>
    <n v="8"/>
    <n v="0"/>
    <n v="8"/>
    <n v="0"/>
    <x v="0"/>
  </r>
  <r>
    <n v="32"/>
    <s v="No"/>
    <s v="Travel_Rarely"/>
    <n v="906"/>
    <x v="0"/>
    <n v="7"/>
    <n v="3"/>
    <x v="0"/>
    <n v="1"/>
    <x v="306"/>
    <n v="4"/>
    <s v="Male"/>
    <n v="91"/>
    <n v="2"/>
    <x v="0"/>
    <x v="0"/>
    <n v="3"/>
    <s v="Married"/>
    <n v="5484"/>
    <n v="16985"/>
    <n v="1"/>
    <s v="Y"/>
    <x v="1"/>
    <n v="14"/>
    <n v="3"/>
    <n v="3"/>
    <n v="80"/>
    <n v="1"/>
    <n v="13"/>
    <n v="3"/>
    <n v="2"/>
    <n v="13"/>
    <n v="8"/>
    <n v="4"/>
    <n v="8"/>
    <n v="0"/>
    <x v="2"/>
  </r>
  <r>
    <n v="38"/>
    <s v="No"/>
    <s v="Travel_Rarely"/>
    <n v="849"/>
    <x v="1"/>
    <n v="25"/>
    <n v="2"/>
    <x v="0"/>
    <n v="1"/>
    <x v="307"/>
    <n v="1"/>
    <s v="Female"/>
    <n v="81"/>
    <n v="2"/>
    <x v="2"/>
    <x v="7"/>
    <n v="2"/>
    <s v="Married"/>
    <n v="12061"/>
    <n v="26707"/>
    <n v="3"/>
    <s v="Y"/>
    <x v="1"/>
    <n v="17"/>
    <n v="3"/>
    <n v="3"/>
    <n v="80"/>
    <n v="1"/>
    <n v="19"/>
    <n v="2"/>
    <n v="3"/>
    <n v="10"/>
    <n v="8"/>
    <n v="0"/>
    <n v="1"/>
    <n v="0"/>
    <x v="0"/>
  </r>
  <r>
    <n v="58"/>
    <s v="No"/>
    <s v="Non-Travel"/>
    <n v="390"/>
    <x v="1"/>
    <n v="1"/>
    <n v="4"/>
    <x v="0"/>
    <n v="1"/>
    <x v="308"/>
    <n v="4"/>
    <s v="Male"/>
    <n v="32"/>
    <n v="1"/>
    <x v="0"/>
    <x v="4"/>
    <n v="3"/>
    <s v="Divorced"/>
    <n v="5660"/>
    <n v="17056"/>
    <n v="2"/>
    <s v="Y"/>
    <x v="0"/>
    <n v="13"/>
    <n v="3"/>
    <n v="4"/>
    <n v="80"/>
    <n v="1"/>
    <n v="12"/>
    <n v="2"/>
    <n v="3"/>
    <n v="5"/>
    <n v="3"/>
    <n v="1"/>
    <n v="2"/>
    <n v="0"/>
    <x v="3"/>
  </r>
  <r>
    <n v="31"/>
    <s v="No"/>
    <s v="Travel_Rarely"/>
    <n v="691"/>
    <x v="1"/>
    <n v="5"/>
    <n v="4"/>
    <x v="4"/>
    <n v="1"/>
    <x v="309"/>
    <n v="3"/>
    <s v="Male"/>
    <n v="86"/>
    <n v="3"/>
    <x v="1"/>
    <x v="1"/>
    <n v="4"/>
    <s v="Married"/>
    <n v="4821"/>
    <n v="10077"/>
    <n v="0"/>
    <s v="Y"/>
    <x v="0"/>
    <n v="12"/>
    <n v="3"/>
    <n v="3"/>
    <n v="80"/>
    <n v="1"/>
    <n v="6"/>
    <n v="4"/>
    <n v="3"/>
    <n v="5"/>
    <n v="2"/>
    <n v="0"/>
    <n v="3"/>
    <n v="0"/>
    <x v="2"/>
  </r>
  <r>
    <n v="31"/>
    <s v="No"/>
    <s v="Travel_Rarely"/>
    <n v="106"/>
    <x v="2"/>
    <n v="2"/>
    <n v="3"/>
    <x v="5"/>
    <n v="1"/>
    <x v="310"/>
    <n v="1"/>
    <s v="Male"/>
    <n v="62"/>
    <n v="2"/>
    <x v="0"/>
    <x v="8"/>
    <n v="1"/>
    <s v="Married"/>
    <n v="6410"/>
    <n v="17822"/>
    <n v="3"/>
    <s v="Y"/>
    <x v="1"/>
    <n v="12"/>
    <n v="3"/>
    <n v="4"/>
    <n v="80"/>
    <n v="0"/>
    <n v="9"/>
    <n v="1"/>
    <n v="3"/>
    <n v="2"/>
    <n v="2"/>
    <n v="1"/>
    <n v="0"/>
    <n v="0"/>
    <x v="2"/>
  </r>
  <r>
    <n v="45"/>
    <s v="No"/>
    <s v="Travel_Frequently"/>
    <n v="1249"/>
    <x v="1"/>
    <n v="7"/>
    <n v="3"/>
    <x v="0"/>
    <n v="1"/>
    <x v="311"/>
    <n v="1"/>
    <s v="Male"/>
    <n v="97"/>
    <n v="3"/>
    <x v="2"/>
    <x v="2"/>
    <n v="1"/>
    <s v="Divorced"/>
    <n v="5210"/>
    <n v="20308"/>
    <n v="1"/>
    <s v="Y"/>
    <x v="1"/>
    <n v="18"/>
    <n v="3"/>
    <n v="1"/>
    <n v="80"/>
    <n v="1"/>
    <n v="24"/>
    <n v="2"/>
    <n v="3"/>
    <n v="24"/>
    <n v="9"/>
    <n v="9"/>
    <n v="11"/>
    <n v="0"/>
    <x v="0"/>
  </r>
  <r>
    <n v="31"/>
    <s v="No"/>
    <s v="Travel_Rarely"/>
    <n v="192"/>
    <x v="1"/>
    <n v="2"/>
    <n v="4"/>
    <x v="0"/>
    <n v="1"/>
    <x v="312"/>
    <n v="3"/>
    <s v="Male"/>
    <n v="32"/>
    <n v="3"/>
    <x v="1"/>
    <x v="1"/>
    <n v="4"/>
    <s v="Divorced"/>
    <n v="2695"/>
    <n v="7747"/>
    <n v="0"/>
    <s v="Y"/>
    <x v="0"/>
    <n v="18"/>
    <n v="3"/>
    <n v="2"/>
    <n v="80"/>
    <n v="1"/>
    <n v="3"/>
    <n v="2"/>
    <n v="1"/>
    <n v="2"/>
    <n v="2"/>
    <n v="2"/>
    <n v="2"/>
    <n v="0"/>
    <x v="2"/>
  </r>
  <r>
    <n v="33"/>
    <s v="No"/>
    <s v="Travel_Frequently"/>
    <n v="553"/>
    <x v="1"/>
    <n v="5"/>
    <n v="4"/>
    <x v="0"/>
    <n v="1"/>
    <x v="313"/>
    <n v="4"/>
    <s v="Female"/>
    <n v="74"/>
    <n v="3"/>
    <x v="2"/>
    <x v="5"/>
    <n v="2"/>
    <s v="Married"/>
    <n v="11878"/>
    <n v="23364"/>
    <n v="6"/>
    <s v="Y"/>
    <x v="1"/>
    <n v="11"/>
    <n v="3"/>
    <n v="2"/>
    <n v="80"/>
    <n v="2"/>
    <n v="12"/>
    <n v="2"/>
    <n v="3"/>
    <n v="10"/>
    <n v="6"/>
    <n v="8"/>
    <n v="8"/>
    <n v="0"/>
    <x v="2"/>
  </r>
  <r>
    <n v="39"/>
    <s v="No"/>
    <s v="Travel_Rarely"/>
    <n v="117"/>
    <x v="1"/>
    <n v="10"/>
    <n v="1"/>
    <x v="2"/>
    <n v="1"/>
    <x v="314"/>
    <n v="3"/>
    <s v="Male"/>
    <n v="99"/>
    <n v="3"/>
    <x v="3"/>
    <x v="5"/>
    <n v="1"/>
    <s v="Married"/>
    <n v="17068"/>
    <n v="5355"/>
    <n v="1"/>
    <s v="Y"/>
    <x v="0"/>
    <n v="14"/>
    <n v="3"/>
    <n v="4"/>
    <n v="80"/>
    <n v="0"/>
    <n v="21"/>
    <n v="3"/>
    <n v="3"/>
    <n v="21"/>
    <n v="9"/>
    <n v="11"/>
    <n v="10"/>
    <n v="0"/>
    <x v="0"/>
  </r>
  <r>
    <n v="43"/>
    <s v="No"/>
    <s v="Travel_Frequently"/>
    <n v="185"/>
    <x v="1"/>
    <n v="10"/>
    <n v="4"/>
    <x v="0"/>
    <n v="1"/>
    <x v="315"/>
    <n v="3"/>
    <s v="Female"/>
    <n v="33"/>
    <n v="3"/>
    <x v="1"/>
    <x v="2"/>
    <n v="4"/>
    <s v="Single"/>
    <n v="2455"/>
    <n v="10675"/>
    <n v="0"/>
    <s v="Y"/>
    <x v="1"/>
    <n v="19"/>
    <n v="3"/>
    <n v="1"/>
    <n v="80"/>
    <n v="0"/>
    <n v="9"/>
    <n v="5"/>
    <n v="3"/>
    <n v="8"/>
    <n v="7"/>
    <n v="1"/>
    <n v="7"/>
    <n v="0"/>
    <x v="0"/>
  </r>
  <r>
    <n v="49"/>
    <s v="No"/>
    <s v="Travel_Rarely"/>
    <n v="1091"/>
    <x v="1"/>
    <n v="1"/>
    <n v="2"/>
    <x v="4"/>
    <n v="1"/>
    <x v="316"/>
    <n v="3"/>
    <s v="Female"/>
    <n v="90"/>
    <n v="2"/>
    <x v="3"/>
    <x v="4"/>
    <n v="3"/>
    <s v="Single"/>
    <n v="13964"/>
    <n v="17810"/>
    <n v="7"/>
    <s v="Y"/>
    <x v="0"/>
    <n v="12"/>
    <n v="3"/>
    <n v="4"/>
    <n v="80"/>
    <n v="0"/>
    <n v="25"/>
    <n v="2"/>
    <n v="3"/>
    <n v="7"/>
    <n v="1"/>
    <n v="0"/>
    <n v="7"/>
    <n v="0"/>
    <x v="1"/>
  </r>
  <r>
    <n v="52"/>
    <s v="Yes"/>
    <s v="Travel_Rarely"/>
    <n v="723"/>
    <x v="1"/>
    <n v="8"/>
    <n v="4"/>
    <x v="2"/>
    <n v="1"/>
    <x v="317"/>
    <n v="3"/>
    <s v="Male"/>
    <n v="85"/>
    <n v="2"/>
    <x v="0"/>
    <x v="1"/>
    <n v="2"/>
    <s v="Married"/>
    <n v="4941"/>
    <n v="17747"/>
    <n v="2"/>
    <s v="Y"/>
    <x v="1"/>
    <n v="15"/>
    <n v="3"/>
    <n v="1"/>
    <n v="80"/>
    <n v="0"/>
    <n v="11"/>
    <n v="3"/>
    <n v="2"/>
    <n v="8"/>
    <n v="2"/>
    <n v="7"/>
    <n v="7"/>
    <n v="1"/>
    <x v="1"/>
  </r>
  <r>
    <n v="27"/>
    <s v="No"/>
    <s v="Travel_Rarely"/>
    <n v="1220"/>
    <x v="1"/>
    <n v="5"/>
    <n v="3"/>
    <x v="0"/>
    <n v="1"/>
    <x v="318"/>
    <n v="3"/>
    <s v="Female"/>
    <n v="85"/>
    <n v="3"/>
    <x v="1"/>
    <x v="1"/>
    <n v="2"/>
    <s v="Single"/>
    <n v="2478"/>
    <n v="20938"/>
    <n v="1"/>
    <s v="Y"/>
    <x v="0"/>
    <n v="12"/>
    <n v="3"/>
    <n v="2"/>
    <n v="80"/>
    <n v="0"/>
    <n v="4"/>
    <n v="2"/>
    <n v="2"/>
    <n v="4"/>
    <n v="3"/>
    <n v="1"/>
    <n v="2"/>
    <n v="0"/>
    <x v="2"/>
  </r>
  <r>
    <n v="32"/>
    <s v="No"/>
    <s v="Travel_Rarely"/>
    <n v="588"/>
    <x v="0"/>
    <n v="8"/>
    <n v="2"/>
    <x v="4"/>
    <n v="1"/>
    <x v="319"/>
    <n v="3"/>
    <s v="Female"/>
    <n v="65"/>
    <n v="2"/>
    <x v="0"/>
    <x v="0"/>
    <n v="2"/>
    <s v="Married"/>
    <n v="5228"/>
    <n v="24624"/>
    <n v="1"/>
    <s v="Y"/>
    <x v="0"/>
    <n v="11"/>
    <n v="3"/>
    <n v="4"/>
    <n v="80"/>
    <n v="0"/>
    <n v="13"/>
    <n v="2"/>
    <n v="3"/>
    <n v="13"/>
    <n v="12"/>
    <n v="11"/>
    <n v="9"/>
    <n v="0"/>
    <x v="2"/>
  </r>
  <r>
    <n v="27"/>
    <s v="No"/>
    <s v="Travel_Rarely"/>
    <n v="1377"/>
    <x v="0"/>
    <n v="2"/>
    <n v="3"/>
    <x v="0"/>
    <n v="1"/>
    <x v="320"/>
    <n v="4"/>
    <s v="Male"/>
    <n v="74"/>
    <n v="3"/>
    <x v="0"/>
    <x v="0"/>
    <n v="3"/>
    <s v="Single"/>
    <n v="4478"/>
    <n v="5242"/>
    <n v="1"/>
    <s v="Y"/>
    <x v="0"/>
    <n v="11"/>
    <n v="3"/>
    <n v="1"/>
    <n v="80"/>
    <n v="0"/>
    <n v="5"/>
    <n v="3"/>
    <n v="3"/>
    <n v="5"/>
    <n v="4"/>
    <n v="0"/>
    <n v="4"/>
    <n v="0"/>
    <x v="2"/>
  </r>
  <r>
    <n v="31"/>
    <s v="No"/>
    <s v="Travel_Rarely"/>
    <n v="691"/>
    <x v="0"/>
    <n v="7"/>
    <n v="3"/>
    <x v="3"/>
    <n v="1"/>
    <x v="321"/>
    <n v="4"/>
    <s v="Male"/>
    <n v="73"/>
    <n v="3"/>
    <x v="0"/>
    <x v="0"/>
    <n v="4"/>
    <s v="Divorced"/>
    <n v="7547"/>
    <n v="7143"/>
    <n v="4"/>
    <s v="Y"/>
    <x v="1"/>
    <n v="12"/>
    <n v="3"/>
    <n v="4"/>
    <n v="80"/>
    <n v="3"/>
    <n v="13"/>
    <n v="3"/>
    <n v="3"/>
    <n v="7"/>
    <n v="7"/>
    <n v="1"/>
    <n v="7"/>
    <n v="0"/>
    <x v="2"/>
  </r>
  <r>
    <n v="32"/>
    <s v="No"/>
    <s v="Travel_Rarely"/>
    <n v="1018"/>
    <x v="1"/>
    <n v="2"/>
    <n v="4"/>
    <x v="2"/>
    <n v="1"/>
    <x v="322"/>
    <n v="1"/>
    <s v="Female"/>
    <n v="74"/>
    <n v="4"/>
    <x v="0"/>
    <x v="1"/>
    <n v="4"/>
    <s v="Single"/>
    <n v="5055"/>
    <n v="10557"/>
    <n v="7"/>
    <s v="Y"/>
    <x v="1"/>
    <n v="16"/>
    <n v="3"/>
    <n v="3"/>
    <n v="80"/>
    <n v="0"/>
    <n v="10"/>
    <n v="0"/>
    <n v="2"/>
    <n v="7"/>
    <n v="7"/>
    <n v="0"/>
    <n v="7"/>
    <n v="0"/>
    <x v="2"/>
  </r>
  <r>
    <n v="28"/>
    <s v="Yes"/>
    <s v="Travel_Rarely"/>
    <n v="1157"/>
    <x v="1"/>
    <n v="2"/>
    <n v="4"/>
    <x v="2"/>
    <n v="1"/>
    <x v="323"/>
    <n v="1"/>
    <s v="Male"/>
    <n v="84"/>
    <n v="1"/>
    <x v="1"/>
    <x v="1"/>
    <n v="4"/>
    <s v="Married"/>
    <n v="3464"/>
    <n v="24737"/>
    <n v="5"/>
    <s v="Y"/>
    <x v="0"/>
    <n v="13"/>
    <n v="3"/>
    <n v="4"/>
    <n v="80"/>
    <n v="0"/>
    <n v="5"/>
    <n v="4"/>
    <n v="2"/>
    <n v="3"/>
    <n v="2"/>
    <n v="2"/>
    <n v="2"/>
    <n v="1"/>
    <x v="2"/>
  </r>
  <r>
    <n v="30"/>
    <s v="No"/>
    <s v="Travel_Rarely"/>
    <n v="1275"/>
    <x v="1"/>
    <n v="28"/>
    <n v="2"/>
    <x v="2"/>
    <n v="1"/>
    <x v="324"/>
    <n v="4"/>
    <s v="Female"/>
    <n v="64"/>
    <n v="3"/>
    <x v="0"/>
    <x v="1"/>
    <n v="4"/>
    <s v="Married"/>
    <n v="5775"/>
    <n v="11934"/>
    <n v="1"/>
    <s v="Y"/>
    <x v="1"/>
    <n v="13"/>
    <n v="3"/>
    <n v="4"/>
    <n v="80"/>
    <n v="2"/>
    <n v="11"/>
    <n v="2"/>
    <n v="3"/>
    <n v="10"/>
    <n v="8"/>
    <n v="1"/>
    <n v="9"/>
    <n v="0"/>
    <x v="2"/>
  </r>
  <r>
    <n v="31"/>
    <s v="No"/>
    <s v="Travel_Frequently"/>
    <n v="798"/>
    <x v="1"/>
    <n v="7"/>
    <n v="2"/>
    <x v="0"/>
    <n v="1"/>
    <x v="325"/>
    <n v="3"/>
    <s v="Female"/>
    <n v="48"/>
    <n v="2"/>
    <x v="2"/>
    <x v="3"/>
    <n v="3"/>
    <s v="Married"/>
    <n v="8943"/>
    <n v="14034"/>
    <n v="1"/>
    <s v="Y"/>
    <x v="1"/>
    <n v="24"/>
    <n v="4"/>
    <n v="1"/>
    <n v="80"/>
    <n v="1"/>
    <n v="10"/>
    <n v="2"/>
    <n v="3"/>
    <n v="10"/>
    <n v="9"/>
    <n v="8"/>
    <n v="9"/>
    <n v="0"/>
    <x v="2"/>
  </r>
  <r>
    <n v="39"/>
    <s v="No"/>
    <s v="Travel_Frequently"/>
    <n v="672"/>
    <x v="1"/>
    <n v="7"/>
    <n v="2"/>
    <x v="2"/>
    <n v="1"/>
    <x v="326"/>
    <n v="3"/>
    <s v="Male"/>
    <n v="54"/>
    <n v="2"/>
    <x v="4"/>
    <x v="5"/>
    <n v="4"/>
    <s v="Married"/>
    <n v="19272"/>
    <n v="21141"/>
    <n v="1"/>
    <s v="Y"/>
    <x v="1"/>
    <n v="15"/>
    <n v="3"/>
    <n v="1"/>
    <n v="80"/>
    <n v="1"/>
    <n v="21"/>
    <n v="2"/>
    <n v="3"/>
    <n v="21"/>
    <n v="9"/>
    <n v="13"/>
    <n v="3"/>
    <n v="0"/>
    <x v="0"/>
  </r>
  <r>
    <n v="39"/>
    <s v="Yes"/>
    <s v="Travel_Rarely"/>
    <n v="1162"/>
    <x v="0"/>
    <n v="3"/>
    <n v="2"/>
    <x v="2"/>
    <n v="1"/>
    <x v="327"/>
    <n v="4"/>
    <s v="Female"/>
    <n v="41"/>
    <n v="3"/>
    <x v="0"/>
    <x v="0"/>
    <n v="3"/>
    <s v="Married"/>
    <n v="5238"/>
    <n v="17778"/>
    <n v="4"/>
    <s v="Y"/>
    <x v="0"/>
    <n v="18"/>
    <n v="3"/>
    <n v="1"/>
    <n v="80"/>
    <n v="0"/>
    <n v="12"/>
    <n v="3"/>
    <n v="2"/>
    <n v="1"/>
    <n v="0"/>
    <n v="0"/>
    <n v="0"/>
    <n v="1"/>
    <x v="0"/>
  </r>
  <r>
    <n v="33"/>
    <s v="No"/>
    <s v="Travel_Frequently"/>
    <n v="508"/>
    <x v="0"/>
    <n v="10"/>
    <n v="3"/>
    <x v="3"/>
    <n v="1"/>
    <x v="328"/>
    <n v="2"/>
    <s v="Male"/>
    <n v="46"/>
    <n v="2"/>
    <x v="0"/>
    <x v="0"/>
    <n v="4"/>
    <s v="Single"/>
    <n v="4682"/>
    <n v="4317"/>
    <n v="3"/>
    <s v="Y"/>
    <x v="1"/>
    <n v="14"/>
    <n v="3"/>
    <n v="3"/>
    <n v="80"/>
    <n v="0"/>
    <n v="9"/>
    <n v="6"/>
    <n v="2"/>
    <n v="7"/>
    <n v="7"/>
    <n v="0"/>
    <n v="1"/>
    <n v="0"/>
    <x v="2"/>
  </r>
  <r>
    <n v="47"/>
    <s v="No"/>
    <s v="Travel_Rarely"/>
    <n v="1482"/>
    <x v="1"/>
    <n v="5"/>
    <n v="5"/>
    <x v="0"/>
    <n v="1"/>
    <x v="329"/>
    <n v="4"/>
    <s v="Male"/>
    <n v="42"/>
    <n v="3"/>
    <x v="4"/>
    <x v="7"/>
    <n v="3"/>
    <s v="Married"/>
    <n v="18300"/>
    <n v="16375"/>
    <n v="4"/>
    <s v="Y"/>
    <x v="1"/>
    <n v="11"/>
    <n v="3"/>
    <n v="2"/>
    <n v="80"/>
    <n v="1"/>
    <n v="21"/>
    <n v="2"/>
    <n v="3"/>
    <n v="3"/>
    <n v="2"/>
    <n v="1"/>
    <n v="1"/>
    <n v="0"/>
    <x v="1"/>
  </r>
  <r>
    <n v="43"/>
    <s v="No"/>
    <s v="Travel_Frequently"/>
    <n v="559"/>
    <x v="1"/>
    <n v="10"/>
    <n v="4"/>
    <x v="0"/>
    <n v="1"/>
    <x v="330"/>
    <n v="3"/>
    <s v="Female"/>
    <n v="82"/>
    <n v="2"/>
    <x v="0"/>
    <x v="2"/>
    <n v="3"/>
    <s v="Divorced"/>
    <n v="5257"/>
    <n v="6227"/>
    <n v="1"/>
    <s v="Y"/>
    <x v="1"/>
    <n v="11"/>
    <n v="3"/>
    <n v="2"/>
    <n v="80"/>
    <n v="1"/>
    <n v="9"/>
    <n v="3"/>
    <n v="4"/>
    <n v="9"/>
    <n v="7"/>
    <n v="0"/>
    <n v="0"/>
    <n v="0"/>
    <x v="0"/>
  </r>
  <r>
    <n v="27"/>
    <s v="No"/>
    <s v="Non-Travel"/>
    <n v="210"/>
    <x v="0"/>
    <n v="1"/>
    <n v="1"/>
    <x v="3"/>
    <n v="1"/>
    <x v="331"/>
    <n v="3"/>
    <s v="Male"/>
    <n v="73"/>
    <n v="3"/>
    <x v="0"/>
    <x v="0"/>
    <n v="2"/>
    <s v="Married"/>
    <n v="6349"/>
    <n v="22107"/>
    <n v="0"/>
    <s v="Y"/>
    <x v="0"/>
    <n v="13"/>
    <n v="3"/>
    <n v="4"/>
    <n v="80"/>
    <n v="1"/>
    <n v="6"/>
    <n v="0"/>
    <n v="3"/>
    <n v="5"/>
    <n v="4"/>
    <n v="1"/>
    <n v="4"/>
    <n v="0"/>
    <x v="2"/>
  </r>
  <r>
    <n v="54"/>
    <s v="No"/>
    <s v="Travel_Frequently"/>
    <n v="928"/>
    <x v="1"/>
    <n v="20"/>
    <n v="4"/>
    <x v="0"/>
    <n v="1"/>
    <x v="332"/>
    <n v="4"/>
    <s v="Female"/>
    <n v="31"/>
    <n v="3"/>
    <x v="0"/>
    <x v="1"/>
    <n v="3"/>
    <s v="Single"/>
    <n v="4869"/>
    <n v="16885"/>
    <n v="3"/>
    <s v="Y"/>
    <x v="1"/>
    <n v="12"/>
    <n v="3"/>
    <n v="4"/>
    <n v="80"/>
    <n v="0"/>
    <n v="20"/>
    <n v="4"/>
    <n v="2"/>
    <n v="4"/>
    <n v="3"/>
    <n v="0"/>
    <n v="3"/>
    <n v="0"/>
    <x v="1"/>
  </r>
  <r>
    <n v="43"/>
    <s v="No"/>
    <s v="Travel_Rarely"/>
    <n v="1001"/>
    <x v="1"/>
    <n v="7"/>
    <n v="3"/>
    <x v="0"/>
    <n v="1"/>
    <x v="333"/>
    <n v="3"/>
    <s v="Female"/>
    <n v="43"/>
    <n v="3"/>
    <x v="2"/>
    <x v="4"/>
    <n v="1"/>
    <s v="Married"/>
    <n v="9985"/>
    <n v="9262"/>
    <n v="8"/>
    <s v="Y"/>
    <x v="1"/>
    <n v="16"/>
    <n v="3"/>
    <n v="1"/>
    <n v="80"/>
    <n v="1"/>
    <n v="10"/>
    <n v="1"/>
    <n v="2"/>
    <n v="1"/>
    <n v="0"/>
    <n v="0"/>
    <n v="0"/>
    <n v="0"/>
    <x v="0"/>
  </r>
  <r>
    <n v="45"/>
    <s v="No"/>
    <s v="Travel_Rarely"/>
    <n v="549"/>
    <x v="1"/>
    <n v="8"/>
    <n v="4"/>
    <x v="1"/>
    <n v="1"/>
    <x v="334"/>
    <n v="4"/>
    <s v="Male"/>
    <n v="75"/>
    <n v="3"/>
    <x v="0"/>
    <x v="1"/>
    <n v="4"/>
    <s v="Married"/>
    <n v="3697"/>
    <n v="9278"/>
    <n v="9"/>
    <s v="Y"/>
    <x v="1"/>
    <n v="14"/>
    <n v="3"/>
    <n v="1"/>
    <n v="80"/>
    <n v="2"/>
    <n v="12"/>
    <n v="3"/>
    <n v="3"/>
    <n v="10"/>
    <n v="9"/>
    <n v="9"/>
    <n v="8"/>
    <n v="0"/>
    <x v="0"/>
  </r>
  <r>
    <n v="40"/>
    <s v="No"/>
    <s v="Travel_Rarely"/>
    <n v="1124"/>
    <x v="0"/>
    <n v="1"/>
    <n v="2"/>
    <x v="2"/>
    <n v="1"/>
    <x v="335"/>
    <n v="2"/>
    <s v="Male"/>
    <n v="57"/>
    <n v="1"/>
    <x v="0"/>
    <x v="0"/>
    <n v="4"/>
    <s v="Married"/>
    <n v="7457"/>
    <n v="13273"/>
    <n v="2"/>
    <s v="Y"/>
    <x v="0"/>
    <n v="22"/>
    <n v="4"/>
    <n v="3"/>
    <n v="80"/>
    <n v="3"/>
    <n v="6"/>
    <n v="2"/>
    <n v="2"/>
    <n v="4"/>
    <n v="3"/>
    <n v="0"/>
    <n v="2"/>
    <n v="0"/>
    <x v="0"/>
  </r>
  <r>
    <n v="29"/>
    <s v="Yes"/>
    <s v="Travel_Rarely"/>
    <n v="318"/>
    <x v="1"/>
    <n v="8"/>
    <n v="4"/>
    <x v="1"/>
    <n v="1"/>
    <x v="336"/>
    <n v="2"/>
    <s v="Male"/>
    <n v="77"/>
    <n v="1"/>
    <x v="1"/>
    <x v="2"/>
    <n v="1"/>
    <s v="Married"/>
    <n v="2119"/>
    <n v="4759"/>
    <n v="1"/>
    <s v="Y"/>
    <x v="0"/>
    <n v="11"/>
    <n v="3"/>
    <n v="4"/>
    <n v="80"/>
    <n v="0"/>
    <n v="7"/>
    <n v="4"/>
    <n v="2"/>
    <n v="7"/>
    <n v="7"/>
    <n v="0"/>
    <n v="7"/>
    <n v="1"/>
    <x v="2"/>
  </r>
  <r>
    <n v="29"/>
    <s v="No"/>
    <s v="Travel_Rarely"/>
    <n v="738"/>
    <x v="1"/>
    <n v="9"/>
    <n v="5"/>
    <x v="1"/>
    <n v="1"/>
    <x v="337"/>
    <n v="2"/>
    <s v="Male"/>
    <n v="30"/>
    <n v="2"/>
    <x v="1"/>
    <x v="2"/>
    <n v="4"/>
    <s v="Single"/>
    <n v="3983"/>
    <n v="7621"/>
    <n v="0"/>
    <s v="Y"/>
    <x v="1"/>
    <n v="17"/>
    <n v="3"/>
    <n v="3"/>
    <n v="80"/>
    <n v="0"/>
    <n v="4"/>
    <n v="2"/>
    <n v="3"/>
    <n v="3"/>
    <n v="2"/>
    <n v="2"/>
    <n v="2"/>
    <n v="0"/>
    <x v="2"/>
  </r>
  <r>
    <n v="30"/>
    <s v="No"/>
    <s v="Travel_Rarely"/>
    <n v="570"/>
    <x v="0"/>
    <n v="5"/>
    <n v="3"/>
    <x v="3"/>
    <n v="1"/>
    <x v="338"/>
    <n v="4"/>
    <s v="Female"/>
    <n v="30"/>
    <n v="2"/>
    <x v="0"/>
    <x v="0"/>
    <n v="3"/>
    <s v="Divorced"/>
    <n v="6118"/>
    <n v="5431"/>
    <n v="1"/>
    <s v="Y"/>
    <x v="1"/>
    <n v="13"/>
    <n v="3"/>
    <n v="3"/>
    <n v="80"/>
    <n v="3"/>
    <n v="10"/>
    <n v="2"/>
    <n v="3"/>
    <n v="10"/>
    <n v="9"/>
    <n v="1"/>
    <n v="2"/>
    <n v="0"/>
    <x v="2"/>
  </r>
  <r>
    <n v="27"/>
    <s v="No"/>
    <s v="Travel_Rarely"/>
    <n v="1130"/>
    <x v="0"/>
    <n v="8"/>
    <n v="4"/>
    <x v="3"/>
    <n v="1"/>
    <x v="339"/>
    <n v="2"/>
    <s v="Female"/>
    <n v="56"/>
    <n v="3"/>
    <x v="0"/>
    <x v="0"/>
    <n v="2"/>
    <s v="Married"/>
    <n v="6214"/>
    <n v="3415"/>
    <n v="1"/>
    <s v="Y"/>
    <x v="1"/>
    <n v="18"/>
    <n v="3"/>
    <n v="1"/>
    <n v="80"/>
    <n v="1"/>
    <n v="8"/>
    <n v="3"/>
    <n v="3"/>
    <n v="8"/>
    <n v="7"/>
    <n v="0"/>
    <n v="7"/>
    <n v="0"/>
    <x v="2"/>
  </r>
  <r>
    <n v="37"/>
    <s v="No"/>
    <s v="Travel_Rarely"/>
    <n v="1192"/>
    <x v="1"/>
    <n v="5"/>
    <n v="2"/>
    <x v="2"/>
    <n v="1"/>
    <x v="340"/>
    <n v="4"/>
    <s v="Male"/>
    <n v="61"/>
    <n v="3"/>
    <x v="0"/>
    <x v="3"/>
    <n v="4"/>
    <s v="Divorced"/>
    <n v="6347"/>
    <n v="23177"/>
    <n v="7"/>
    <s v="Y"/>
    <x v="1"/>
    <n v="16"/>
    <n v="3"/>
    <n v="3"/>
    <n v="80"/>
    <n v="2"/>
    <n v="8"/>
    <n v="2"/>
    <n v="2"/>
    <n v="6"/>
    <n v="2"/>
    <n v="0"/>
    <n v="4"/>
    <n v="0"/>
    <x v="0"/>
  </r>
  <r>
    <n v="38"/>
    <s v="No"/>
    <s v="Travel_Rarely"/>
    <n v="343"/>
    <x v="1"/>
    <n v="15"/>
    <n v="2"/>
    <x v="0"/>
    <n v="1"/>
    <x v="341"/>
    <n v="3"/>
    <s v="Male"/>
    <n v="92"/>
    <n v="2"/>
    <x v="2"/>
    <x v="7"/>
    <n v="4"/>
    <s v="Divorced"/>
    <n v="11510"/>
    <n v="15682"/>
    <n v="0"/>
    <s v="Y"/>
    <x v="0"/>
    <n v="14"/>
    <n v="3"/>
    <n v="2"/>
    <n v="80"/>
    <n v="1"/>
    <n v="12"/>
    <n v="3"/>
    <n v="3"/>
    <n v="11"/>
    <n v="10"/>
    <n v="2"/>
    <n v="9"/>
    <n v="0"/>
    <x v="0"/>
  </r>
  <r>
    <n v="31"/>
    <s v="No"/>
    <s v="Travel_Rarely"/>
    <n v="1232"/>
    <x v="1"/>
    <n v="7"/>
    <n v="4"/>
    <x v="2"/>
    <n v="1"/>
    <x v="342"/>
    <n v="3"/>
    <s v="Female"/>
    <n v="39"/>
    <n v="3"/>
    <x v="2"/>
    <x v="3"/>
    <n v="4"/>
    <s v="Single"/>
    <n v="7143"/>
    <n v="25713"/>
    <n v="1"/>
    <s v="Y"/>
    <x v="0"/>
    <n v="14"/>
    <n v="3"/>
    <n v="3"/>
    <n v="80"/>
    <n v="0"/>
    <n v="11"/>
    <n v="2"/>
    <n v="2"/>
    <n v="11"/>
    <n v="9"/>
    <n v="4"/>
    <n v="10"/>
    <n v="0"/>
    <x v="2"/>
  </r>
  <r>
    <n v="29"/>
    <s v="No"/>
    <s v="Travel_Rarely"/>
    <n v="144"/>
    <x v="0"/>
    <n v="10"/>
    <n v="1"/>
    <x v="3"/>
    <n v="1"/>
    <x v="343"/>
    <n v="4"/>
    <s v="Female"/>
    <n v="39"/>
    <n v="2"/>
    <x v="0"/>
    <x v="0"/>
    <n v="2"/>
    <s v="Divorced"/>
    <n v="8268"/>
    <n v="11866"/>
    <n v="1"/>
    <s v="Y"/>
    <x v="0"/>
    <n v="14"/>
    <n v="3"/>
    <n v="1"/>
    <n v="80"/>
    <n v="2"/>
    <n v="7"/>
    <n v="2"/>
    <n v="3"/>
    <n v="7"/>
    <n v="7"/>
    <n v="1"/>
    <n v="7"/>
    <n v="0"/>
    <x v="2"/>
  </r>
  <r>
    <n v="35"/>
    <s v="No"/>
    <s v="Travel_Rarely"/>
    <n v="1296"/>
    <x v="1"/>
    <n v="5"/>
    <n v="4"/>
    <x v="4"/>
    <n v="1"/>
    <x v="344"/>
    <n v="3"/>
    <s v="Male"/>
    <n v="62"/>
    <n v="3"/>
    <x v="2"/>
    <x v="3"/>
    <n v="2"/>
    <s v="Single"/>
    <n v="8095"/>
    <n v="18264"/>
    <n v="0"/>
    <s v="Y"/>
    <x v="1"/>
    <n v="13"/>
    <n v="3"/>
    <n v="4"/>
    <n v="80"/>
    <n v="0"/>
    <n v="17"/>
    <n v="5"/>
    <n v="3"/>
    <n v="16"/>
    <n v="6"/>
    <n v="0"/>
    <n v="13"/>
    <n v="0"/>
    <x v="2"/>
  </r>
  <r>
    <n v="23"/>
    <s v="No"/>
    <s v="Travel_Rarely"/>
    <n v="1309"/>
    <x v="1"/>
    <n v="26"/>
    <n v="1"/>
    <x v="0"/>
    <n v="1"/>
    <x v="345"/>
    <n v="3"/>
    <s v="Male"/>
    <n v="83"/>
    <n v="3"/>
    <x v="1"/>
    <x v="1"/>
    <n v="4"/>
    <s v="Divorced"/>
    <n v="2904"/>
    <n v="16092"/>
    <n v="1"/>
    <s v="Y"/>
    <x v="1"/>
    <n v="12"/>
    <n v="3"/>
    <n v="3"/>
    <n v="80"/>
    <n v="2"/>
    <n v="4"/>
    <n v="2"/>
    <n v="2"/>
    <n v="4"/>
    <n v="2"/>
    <n v="0"/>
    <n v="2"/>
    <n v="0"/>
    <x v="4"/>
  </r>
  <r>
    <n v="41"/>
    <s v="No"/>
    <s v="Travel_Rarely"/>
    <n v="483"/>
    <x v="1"/>
    <n v="6"/>
    <n v="3"/>
    <x v="2"/>
    <n v="1"/>
    <x v="346"/>
    <n v="4"/>
    <s v="Male"/>
    <n v="95"/>
    <n v="2"/>
    <x v="0"/>
    <x v="3"/>
    <n v="2"/>
    <s v="Single"/>
    <n v="6032"/>
    <n v="10110"/>
    <n v="6"/>
    <s v="Y"/>
    <x v="0"/>
    <n v="15"/>
    <n v="3"/>
    <n v="4"/>
    <n v="80"/>
    <n v="0"/>
    <n v="8"/>
    <n v="3"/>
    <n v="3"/>
    <n v="5"/>
    <n v="4"/>
    <n v="1"/>
    <n v="2"/>
    <n v="0"/>
    <x v="0"/>
  </r>
  <r>
    <n v="47"/>
    <s v="No"/>
    <s v="Travel_Frequently"/>
    <n v="1309"/>
    <x v="0"/>
    <n v="4"/>
    <n v="1"/>
    <x v="2"/>
    <n v="1"/>
    <x v="347"/>
    <n v="2"/>
    <s v="Male"/>
    <n v="99"/>
    <n v="3"/>
    <x v="0"/>
    <x v="6"/>
    <n v="3"/>
    <s v="Single"/>
    <n v="2976"/>
    <n v="25751"/>
    <n v="3"/>
    <s v="Y"/>
    <x v="1"/>
    <n v="19"/>
    <n v="3"/>
    <n v="1"/>
    <n v="80"/>
    <n v="0"/>
    <n v="5"/>
    <n v="3"/>
    <n v="3"/>
    <n v="0"/>
    <n v="0"/>
    <n v="0"/>
    <n v="0"/>
    <n v="0"/>
    <x v="1"/>
  </r>
  <r>
    <n v="42"/>
    <s v="No"/>
    <s v="Travel_Rarely"/>
    <n v="810"/>
    <x v="1"/>
    <n v="23"/>
    <n v="5"/>
    <x v="0"/>
    <n v="1"/>
    <x v="348"/>
    <n v="1"/>
    <s v="Female"/>
    <n v="44"/>
    <n v="3"/>
    <x v="3"/>
    <x v="7"/>
    <n v="4"/>
    <s v="Single"/>
    <n v="15992"/>
    <n v="15901"/>
    <n v="2"/>
    <s v="Y"/>
    <x v="1"/>
    <n v="14"/>
    <n v="3"/>
    <n v="2"/>
    <n v="80"/>
    <n v="0"/>
    <n v="16"/>
    <n v="2"/>
    <n v="3"/>
    <n v="1"/>
    <n v="0"/>
    <n v="0"/>
    <n v="0"/>
    <n v="0"/>
    <x v="0"/>
  </r>
  <r>
    <n v="29"/>
    <s v="No"/>
    <s v="Non-Travel"/>
    <n v="746"/>
    <x v="0"/>
    <n v="2"/>
    <n v="3"/>
    <x v="0"/>
    <n v="1"/>
    <x v="349"/>
    <n v="4"/>
    <s v="Male"/>
    <n v="61"/>
    <n v="3"/>
    <x v="0"/>
    <x v="0"/>
    <n v="3"/>
    <s v="Married"/>
    <n v="4649"/>
    <n v="16928"/>
    <n v="1"/>
    <s v="Y"/>
    <x v="1"/>
    <n v="14"/>
    <n v="3"/>
    <n v="1"/>
    <n v="80"/>
    <n v="1"/>
    <n v="4"/>
    <n v="3"/>
    <n v="2"/>
    <n v="4"/>
    <n v="3"/>
    <n v="0"/>
    <n v="2"/>
    <n v="0"/>
    <x v="2"/>
  </r>
  <r>
    <n v="42"/>
    <s v="No"/>
    <s v="Travel_Rarely"/>
    <n v="544"/>
    <x v="2"/>
    <n v="2"/>
    <n v="1"/>
    <x v="4"/>
    <n v="1"/>
    <x v="350"/>
    <n v="3"/>
    <s v="Male"/>
    <n v="52"/>
    <n v="3"/>
    <x v="1"/>
    <x v="8"/>
    <n v="3"/>
    <s v="Divorced"/>
    <n v="2696"/>
    <n v="24017"/>
    <n v="0"/>
    <s v="Y"/>
    <x v="0"/>
    <n v="11"/>
    <n v="3"/>
    <n v="3"/>
    <n v="80"/>
    <n v="1"/>
    <n v="4"/>
    <n v="5"/>
    <n v="3"/>
    <n v="3"/>
    <n v="2"/>
    <n v="1"/>
    <n v="0"/>
    <n v="0"/>
    <x v="0"/>
  </r>
  <r>
    <n v="32"/>
    <s v="No"/>
    <s v="Travel_Rarely"/>
    <n v="1062"/>
    <x v="1"/>
    <n v="2"/>
    <n v="3"/>
    <x v="2"/>
    <n v="1"/>
    <x v="351"/>
    <n v="3"/>
    <s v="Female"/>
    <n v="75"/>
    <n v="3"/>
    <x v="1"/>
    <x v="2"/>
    <n v="2"/>
    <s v="Married"/>
    <n v="2370"/>
    <n v="3956"/>
    <n v="1"/>
    <s v="Y"/>
    <x v="1"/>
    <n v="13"/>
    <n v="3"/>
    <n v="3"/>
    <n v="80"/>
    <n v="1"/>
    <n v="8"/>
    <n v="4"/>
    <n v="3"/>
    <n v="8"/>
    <n v="0"/>
    <n v="0"/>
    <n v="7"/>
    <n v="0"/>
    <x v="2"/>
  </r>
  <r>
    <n v="48"/>
    <s v="No"/>
    <s v="Travel_Rarely"/>
    <n v="530"/>
    <x v="0"/>
    <n v="29"/>
    <n v="1"/>
    <x v="2"/>
    <n v="1"/>
    <x v="352"/>
    <n v="1"/>
    <s v="Female"/>
    <n v="91"/>
    <n v="3"/>
    <x v="2"/>
    <x v="5"/>
    <n v="3"/>
    <s v="Married"/>
    <n v="12504"/>
    <n v="23978"/>
    <n v="3"/>
    <s v="Y"/>
    <x v="1"/>
    <n v="21"/>
    <n v="4"/>
    <n v="2"/>
    <n v="80"/>
    <n v="1"/>
    <n v="15"/>
    <n v="3"/>
    <n v="1"/>
    <n v="0"/>
    <n v="0"/>
    <n v="0"/>
    <n v="0"/>
    <n v="0"/>
    <x v="1"/>
  </r>
  <r>
    <n v="37"/>
    <s v="No"/>
    <s v="Travel_Rarely"/>
    <n v="1319"/>
    <x v="1"/>
    <n v="6"/>
    <n v="3"/>
    <x v="2"/>
    <n v="1"/>
    <x v="353"/>
    <n v="3"/>
    <s v="Male"/>
    <n v="51"/>
    <n v="4"/>
    <x v="0"/>
    <x v="1"/>
    <n v="1"/>
    <s v="Divorced"/>
    <n v="5974"/>
    <n v="17001"/>
    <n v="4"/>
    <s v="Y"/>
    <x v="0"/>
    <n v="13"/>
    <n v="3"/>
    <n v="1"/>
    <n v="80"/>
    <n v="2"/>
    <n v="13"/>
    <n v="2"/>
    <n v="3"/>
    <n v="7"/>
    <n v="7"/>
    <n v="6"/>
    <n v="7"/>
    <n v="0"/>
    <x v="0"/>
  </r>
  <r>
    <n v="30"/>
    <s v="No"/>
    <s v="Non-Travel"/>
    <n v="641"/>
    <x v="0"/>
    <n v="25"/>
    <n v="2"/>
    <x v="4"/>
    <n v="1"/>
    <x v="354"/>
    <n v="4"/>
    <s v="Female"/>
    <n v="85"/>
    <n v="3"/>
    <x v="0"/>
    <x v="0"/>
    <n v="3"/>
    <s v="Married"/>
    <n v="4736"/>
    <n v="6069"/>
    <n v="7"/>
    <s v="Y"/>
    <x v="0"/>
    <n v="12"/>
    <n v="3"/>
    <n v="2"/>
    <n v="80"/>
    <n v="1"/>
    <n v="4"/>
    <n v="2"/>
    <n v="4"/>
    <n v="2"/>
    <n v="2"/>
    <n v="2"/>
    <n v="2"/>
    <n v="0"/>
    <x v="2"/>
  </r>
  <r>
    <n v="26"/>
    <s v="No"/>
    <s v="Travel_Rarely"/>
    <n v="933"/>
    <x v="0"/>
    <n v="1"/>
    <n v="3"/>
    <x v="0"/>
    <n v="1"/>
    <x v="355"/>
    <n v="3"/>
    <s v="Male"/>
    <n v="57"/>
    <n v="3"/>
    <x v="0"/>
    <x v="0"/>
    <n v="3"/>
    <s v="Married"/>
    <n v="5296"/>
    <n v="20156"/>
    <n v="1"/>
    <s v="Y"/>
    <x v="1"/>
    <n v="17"/>
    <n v="3"/>
    <n v="2"/>
    <n v="80"/>
    <n v="1"/>
    <n v="8"/>
    <n v="3"/>
    <n v="3"/>
    <n v="8"/>
    <n v="7"/>
    <n v="7"/>
    <n v="7"/>
    <n v="0"/>
    <x v="2"/>
  </r>
  <r>
    <n v="42"/>
    <s v="No"/>
    <s v="Travel_Rarely"/>
    <n v="1332"/>
    <x v="1"/>
    <n v="2"/>
    <n v="4"/>
    <x v="1"/>
    <n v="1"/>
    <x v="356"/>
    <n v="1"/>
    <s v="Male"/>
    <n v="98"/>
    <n v="2"/>
    <x v="0"/>
    <x v="4"/>
    <n v="4"/>
    <s v="Single"/>
    <n v="6781"/>
    <n v="17078"/>
    <n v="3"/>
    <s v="Y"/>
    <x v="1"/>
    <n v="23"/>
    <n v="4"/>
    <n v="2"/>
    <n v="80"/>
    <n v="0"/>
    <n v="14"/>
    <n v="6"/>
    <n v="3"/>
    <n v="1"/>
    <n v="0"/>
    <n v="0"/>
    <n v="0"/>
    <n v="0"/>
    <x v="0"/>
  </r>
  <r>
    <n v="21"/>
    <s v="Yes"/>
    <s v="Travel_Frequently"/>
    <n v="756"/>
    <x v="0"/>
    <n v="1"/>
    <n v="1"/>
    <x v="4"/>
    <n v="1"/>
    <x v="357"/>
    <n v="1"/>
    <s v="Female"/>
    <n v="99"/>
    <n v="2"/>
    <x v="1"/>
    <x v="6"/>
    <n v="2"/>
    <s v="Single"/>
    <n v="2174"/>
    <n v="9150"/>
    <n v="1"/>
    <s v="Y"/>
    <x v="0"/>
    <n v="11"/>
    <n v="3"/>
    <n v="3"/>
    <n v="80"/>
    <n v="0"/>
    <n v="3"/>
    <n v="3"/>
    <n v="3"/>
    <n v="3"/>
    <n v="2"/>
    <n v="1"/>
    <n v="2"/>
    <n v="1"/>
    <x v="4"/>
  </r>
  <r>
    <n v="36"/>
    <s v="No"/>
    <s v="Non-Travel"/>
    <n v="845"/>
    <x v="0"/>
    <n v="1"/>
    <n v="5"/>
    <x v="2"/>
    <n v="1"/>
    <x v="358"/>
    <n v="4"/>
    <s v="Female"/>
    <n v="45"/>
    <n v="3"/>
    <x v="0"/>
    <x v="0"/>
    <n v="4"/>
    <s v="Single"/>
    <n v="6653"/>
    <n v="15276"/>
    <n v="4"/>
    <s v="Y"/>
    <x v="1"/>
    <n v="15"/>
    <n v="3"/>
    <n v="2"/>
    <n v="80"/>
    <n v="0"/>
    <n v="7"/>
    <n v="6"/>
    <n v="3"/>
    <n v="1"/>
    <n v="0"/>
    <n v="0"/>
    <n v="0"/>
    <n v="0"/>
    <x v="0"/>
  </r>
  <r>
    <n v="36"/>
    <s v="No"/>
    <s v="Travel_Frequently"/>
    <n v="541"/>
    <x v="0"/>
    <n v="3"/>
    <n v="4"/>
    <x v="2"/>
    <n v="1"/>
    <x v="359"/>
    <n v="1"/>
    <s v="Male"/>
    <n v="48"/>
    <n v="2"/>
    <x v="2"/>
    <x v="0"/>
    <n v="4"/>
    <s v="Married"/>
    <n v="9699"/>
    <n v="7246"/>
    <n v="4"/>
    <s v="Y"/>
    <x v="1"/>
    <n v="11"/>
    <n v="3"/>
    <n v="1"/>
    <n v="80"/>
    <n v="1"/>
    <n v="16"/>
    <n v="2"/>
    <n v="3"/>
    <n v="13"/>
    <n v="9"/>
    <n v="1"/>
    <n v="12"/>
    <n v="0"/>
    <x v="0"/>
  </r>
  <r>
    <n v="57"/>
    <s v="No"/>
    <s v="Travel_Rarely"/>
    <n v="593"/>
    <x v="1"/>
    <n v="1"/>
    <n v="4"/>
    <x v="2"/>
    <n v="1"/>
    <x v="360"/>
    <n v="4"/>
    <s v="Male"/>
    <n v="88"/>
    <n v="3"/>
    <x v="0"/>
    <x v="4"/>
    <n v="3"/>
    <s v="Married"/>
    <n v="6755"/>
    <n v="2967"/>
    <n v="2"/>
    <s v="Y"/>
    <x v="1"/>
    <n v="11"/>
    <n v="3"/>
    <n v="3"/>
    <n v="80"/>
    <n v="0"/>
    <n v="15"/>
    <n v="2"/>
    <n v="3"/>
    <n v="3"/>
    <n v="2"/>
    <n v="1"/>
    <n v="2"/>
    <n v="0"/>
    <x v="3"/>
  </r>
  <r>
    <n v="40"/>
    <s v="No"/>
    <s v="Travel_Rarely"/>
    <n v="1171"/>
    <x v="1"/>
    <n v="10"/>
    <n v="4"/>
    <x v="0"/>
    <n v="1"/>
    <x v="361"/>
    <n v="4"/>
    <s v="Female"/>
    <n v="46"/>
    <n v="4"/>
    <x v="1"/>
    <x v="2"/>
    <n v="3"/>
    <s v="Married"/>
    <n v="2213"/>
    <n v="22495"/>
    <n v="3"/>
    <s v="Y"/>
    <x v="0"/>
    <n v="13"/>
    <n v="3"/>
    <n v="3"/>
    <n v="80"/>
    <n v="1"/>
    <n v="10"/>
    <n v="3"/>
    <n v="3"/>
    <n v="7"/>
    <n v="7"/>
    <n v="1"/>
    <n v="7"/>
    <n v="0"/>
    <x v="0"/>
  </r>
  <r>
    <n v="21"/>
    <s v="No"/>
    <s v="Non-Travel"/>
    <n v="895"/>
    <x v="0"/>
    <n v="9"/>
    <n v="2"/>
    <x v="2"/>
    <n v="1"/>
    <x v="362"/>
    <n v="1"/>
    <s v="Male"/>
    <n v="39"/>
    <n v="3"/>
    <x v="1"/>
    <x v="6"/>
    <n v="4"/>
    <s v="Single"/>
    <n v="2610"/>
    <n v="2851"/>
    <n v="1"/>
    <s v="Y"/>
    <x v="1"/>
    <n v="24"/>
    <n v="4"/>
    <n v="3"/>
    <n v="80"/>
    <n v="0"/>
    <n v="3"/>
    <n v="3"/>
    <n v="2"/>
    <n v="3"/>
    <n v="2"/>
    <n v="2"/>
    <n v="2"/>
    <n v="0"/>
    <x v="4"/>
  </r>
  <r>
    <n v="33"/>
    <s v="Yes"/>
    <s v="Travel_Rarely"/>
    <n v="350"/>
    <x v="0"/>
    <n v="5"/>
    <n v="3"/>
    <x v="3"/>
    <n v="1"/>
    <x v="363"/>
    <n v="4"/>
    <s v="Female"/>
    <n v="34"/>
    <n v="3"/>
    <x v="1"/>
    <x v="6"/>
    <n v="3"/>
    <s v="Single"/>
    <n v="2851"/>
    <n v="9150"/>
    <n v="1"/>
    <s v="Y"/>
    <x v="0"/>
    <n v="13"/>
    <n v="3"/>
    <n v="2"/>
    <n v="80"/>
    <n v="0"/>
    <n v="1"/>
    <n v="2"/>
    <n v="3"/>
    <n v="1"/>
    <n v="0"/>
    <n v="0"/>
    <n v="0"/>
    <n v="1"/>
    <x v="2"/>
  </r>
  <r>
    <n v="37"/>
    <s v="No"/>
    <s v="Travel_Rarely"/>
    <n v="921"/>
    <x v="1"/>
    <n v="10"/>
    <n v="3"/>
    <x v="2"/>
    <n v="1"/>
    <x v="364"/>
    <n v="3"/>
    <s v="Female"/>
    <n v="98"/>
    <n v="3"/>
    <x v="1"/>
    <x v="2"/>
    <n v="1"/>
    <s v="Married"/>
    <n v="3452"/>
    <n v="17663"/>
    <n v="6"/>
    <s v="Y"/>
    <x v="1"/>
    <n v="20"/>
    <n v="4"/>
    <n v="2"/>
    <n v="80"/>
    <n v="1"/>
    <n v="17"/>
    <n v="3"/>
    <n v="3"/>
    <n v="5"/>
    <n v="4"/>
    <n v="0"/>
    <n v="3"/>
    <n v="0"/>
    <x v="0"/>
  </r>
  <r>
    <n v="46"/>
    <s v="No"/>
    <s v="Non-Travel"/>
    <n v="1144"/>
    <x v="1"/>
    <n v="7"/>
    <n v="4"/>
    <x v="2"/>
    <n v="1"/>
    <x v="365"/>
    <n v="3"/>
    <s v="Female"/>
    <n v="30"/>
    <n v="3"/>
    <x v="0"/>
    <x v="3"/>
    <n v="3"/>
    <s v="Married"/>
    <n v="5258"/>
    <n v="16044"/>
    <n v="2"/>
    <s v="Y"/>
    <x v="1"/>
    <n v="14"/>
    <n v="3"/>
    <n v="3"/>
    <n v="80"/>
    <n v="0"/>
    <n v="7"/>
    <n v="2"/>
    <n v="4"/>
    <n v="1"/>
    <n v="0"/>
    <n v="0"/>
    <n v="0"/>
    <n v="0"/>
    <x v="1"/>
  </r>
  <r>
    <n v="41"/>
    <s v="Yes"/>
    <s v="Travel_Frequently"/>
    <n v="143"/>
    <x v="0"/>
    <n v="4"/>
    <n v="3"/>
    <x v="3"/>
    <n v="1"/>
    <x v="366"/>
    <n v="1"/>
    <s v="Male"/>
    <n v="56"/>
    <n v="3"/>
    <x v="0"/>
    <x v="0"/>
    <n v="2"/>
    <s v="Single"/>
    <n v="9355"/>
    <n v="9558"/>
    <n v="1"/>
    <s v="Y"/>
    <x v="1"/>
    <n v="18"/>
    <n v="3"/>
    <n v="3"/>
    <n v="80"/>
    <n v="0"/>
    <n v="8"/>
    <n v="5"/>
    <n v="3"/>
    <n v="8"/>
    <n v="7"/>
    <n v="7"/>
    <n v="7"/>
    <n v="1"/>
    <x v="0"/>
  </r>
  <r>
    <n v="50"/>
    <s v="No"/>
    <s v="Travel_Rarely"/>
    <n v="1046"/>
    <x v="1"/>
    <n v="10"/>
    <n v="3"/>
    <x v="4"/>
    <n v="1"/>
    <x v="367"/>
    <n v="4"/>
    <s v="Male"/>
    <n v="100"/>
    <n v="2"/>
    <x v="2"/>
    <x v="4"/>
    <n v="4"/>
    <s v="Single"/>
    <n v="10496"/>
    <n v="2755"/>
    <n v="6"/>
    <s v="Y"/>
    <x v="1"/>
    <n v="15"/>
    <n v="3"/>
    <n v="4"/>
    <n v="80"/>
    <n v="0"/>
    <n v="20"/>
    <n v="2"/>
    <n v="3"/>
    <n v="4"/>
    <n v="3"/>
    <n v="1"/>
    <n v="3"/>
    <n v="0"/>
    <x v="1"/>
  </r>
  <r>
    <n v="40"/>
    <s v="Yes"/>
    <s v="Travel_Rarely"/>
    <n v="575"/>
    <x v="0"/>
    <n v="22"/>
    <n v="2"/>
    <x v="3"/>
    <n v="1"/>
    <x v="368"/>
    <n v="3"/>
    <s v="Male"/>
    <n v="68"/>
    <n v="2"/>
    <x v="0"/>
    <x v="0"/>
    <n v="3"/>
    <s v="Married"/>
    <n v="6380"/>
    <n v="6110"/>
    <n v="2"/>
    <s v="Y"/>
    <x v="0"/>
    <n v="12"/>
    <n v="3"/>
    <n v="1"/>
    <n v="80"/>
    <n v="2"/>
    <n v="8"/>
    <n v="6"/>
    <n v="3"/>
    <n v="6"/>
    <n v="4"/>
    <n v="1"/>
    <n v="0"/>
    <n v="1"/>
    <x v="0"/>
  </r>
  <r>
    <n v="31"/>
    <s v="No"/>
    <s v="Travel_Rarely"/>
    <n v="408"/>
    <x v="1"/>
    <n v="9"/>
    <n v="4"/>
    <x v="0"/>
    <n v="1"/>
    <x v="369"/>
    <n v="3"/>
    <s v="Male"/>
    <n v="42"/>
    <n v="2"/>
    <x v="1"/>
    <x v="1"/>
    <n v="2"/>
    <s v="Single"/>
    <n v="2657"/>
    <n v="7551"/>
    <n v="0"/>
    <s v="Y"/>
    <x v="0"/>
    <n v="16"/>
    <n v="3"/>
    <n v="4"/>
    <n v="80"/>
    <n v="0"/>
    <n v="3"/>
    <n v="5"/>
    <n v="3"/>
    <n v="2"/>
    <n v="2"/>
    <n v="2"/>
    <n v="2"/>
    <n v="0"/>
    <x v="2"/>
  </r>
  <r>
    <n v="21"/>
    <s v="Yes"/>
    <s v="Travel_Rarely"/>
    <n v="156"/>
    <x v="0"/>
    <n v="12"/>
    <n v="3"/>
    <x v="0"/>
    <n v="1"/>
    <x v="370"/>
    <n v="3"/>
    <s v="Female"/>
    <n v="90"/>
    <n v="4"/>
    <x v="1"/>
    <x v="6"/>
    <n v="2"/>
    <s v="Single"/>
    <n v="2716"/>
    <n v="25422"/>
    <n v="1"/>
    <s v="Y"/>
    <x v="1"/>
    <n v="15"/>
    <n v="3"/>
    <n v="4"/>
    <n v="80"/>
    <n v="0"/>
    <n v="1"/>
    <n v="0"/>
    <n v="3"/>
    <n v="1"/>
    <n v="0"/>
    <n v="0"/>
    <n v="0"/>
    <n v="1"/>
    <x v="4"/>
  </r>
  <r>
    <n v="29"/>
    <s v="No"/>
    <s v="Travel_Rarely"/>
    <n v="1283"/>
    <x v="1"/>
    <n v="23"/>
    <n v="3"/>
    <x v="0"/>
    <n v="1"/>
    <x v="371"/>
    <n v="4"/>
    <s v="Male"/>
    <n v="54"/>
    <n v="3"/>
    <x v="1"/>
    <x v="1"/>
    <n v="4"/>
    <s v="Single"/>
    <n v="2201"/>
    <n v="18168"/>
    <n v="9"/>
    <s v="Y"/>
    <x v="1"/>
    <n v="16"/>
    <n v="3"/>
    <n v="4"/>
    <n v="80"/>
    <n v="0"/>
    <n v="6"/>
    <n v="4"/>
    <n v="3"/>
    <n v="3"/>
    <n v="2"/>
    <n v="1"/>
    <n v="2"/>
    <n v="0"/>
    <x v="2"/>
  </r>
  <r>
    <n v="35"/>
    <s v="No"/>
    <s v="Travel_Rarely"/>
    <n v="755"/>
    <x v="1"/>
    <n v="9"/>
    <n v="4"/>
    <x v="0"/>
    <n v="1"/>
    <x v="372"/>
    <n v="3"/>
    <s v="Male"/>
    <n v="97"/>
    <n v="2"/>
    <x v="0"/>
    <x v="4"/>
    <n v="2"/>
    <s v="Single"/>
    <n v="6540"/>
    <n v="19394"/>
    <n v="9"/>
    <s v="Y"/>
    <x v="1"/>
    <n v="19"/>
    <n v="3"/>
    <n v="3"/>
    <n v="80"/>
    <n v="0"/>
    <n v="10"/>
    <n v="5"/>
    <n v="3"/>
    <n v="1"/>
    <n v="1"/>
    <n v="0"/>
    <n v="0"/>
    <n v="0"/>
    <x v="2"/>
  </r>
  <r>
    <n v="27"/>
    <s v="No"/>
    <s v="Travel_Rarely"/>
    <n v="1469"/>
    <x v="1"/>
    <n v="1"/>
    <n v="2"/>
    <x v="2"/>
    <n v="1"/>
    <x v="373"/>
    <n v="4"/>
    <s v="Male"/>
    <n v="82"/>
    <n v="3"/>
    <x v="1"/>
    <x v="2"/>
    <n v="2"/>
    <s v="Divorced"/>
    <n v="3816"/>
    <n v="17881"/>
    <n v="1"/>
    <s v="Y"/>
    <x v="1"/>
    <n v="11"/>
    <n v="3"/>
    <n v="2"/>
    <n v="80"/>
    <n v="1"/>
    <n v="5"/>
    <n v="2"/>
    <n v="3"/>
    <n v="5"/>
    <n v="2"/>
    <n v="0"/>
    <n v="4"/>
    <n v="0"/>
    <x v="2"/>
  </r>
  <r>
    <n v="28"/>
    <s v="No"/>
    <s v="Travel_Rarely"/>
    <n v="304"/>
    <x v="0"/>
    <n v="9"/>
    <n v="4"/>
    <x v="0"/>
    <n v="1"/>
    <x v="374"/>
    <n v="2"/>
    <s v="Male"/>
    <n v="92"/>
    <n v="3"/>
    <x v="0"/>
    <x v="0"/>
    <n v="4"/>
    <s v="Single"/>
    <n v="5253"/>
    <n v="20750"/>
    <n v="1"/>
    <s v="Y"/>
    <x v="1"/>
    <n v="16"/>
    <n v="3"/>
    <n v="4"/>
    <n v="80"/>
    <n v="0"/>
    <n v="7"/>
    <n v="1"/>
    <n v="3"/>
    <n v="7"/>
    <n v="5"/>
    <n v="0"/>
    <n v="7"/>
    <n v="0"/>
    <x v="2"/>
  </r>
  <r>
    <n v="49"/>
    <s v="No"/>
    <s v="Travel_Rarely"/>
    <n v="1261"/>
    <x v="1"/>
    <n v="7"/>
    <n v="3"/>
    <x v="1"/>
    <n v="1"/>
    <x v="375"/>
    <n v="2"/>
    <s v="Male"/>
    <n v="31"/>
    <n v="2"/>
    <x v="2"/>
    <x v="4"/>
    <n v="3"/>
    <s v="Single"/>
    <n v="10965"/>
    <n v="12066"/>
    <n v="8"/>
    <s v="Y"/>
    <x v="1"/>
    <n v="24"/>
    <n v="4"/>
    <n v="3"/>
    <n v="80"/>
    <n v="0"/>
    <n v="26"/>
    <n v="2"/>
    <n v="3"/>
    <n v="5"/>
    <n v="2"/>
    <n v="0"/>
    <n v="0"/>
    <n v="0"/>
    <x v="1"/>
  </r>
  <r>
    <n v="51"/>
    <s v="No"/>
    <s v="Travel_Rarely"/>
    <n v="1178"/>
    <x v="0"/>
    <n v="14"/>
    <n v="2"/>
    <x v="0"/>
    <n v="1"/>
    <x v="376"/>
    <n v="3"/>
    <s v="Female"/>
    <n v="87"/>
    <n v="3"/>
    <x v="0"/>
    <x v="0"/>
    <n v="4"/>
    <s v="Married"/>
    <n v="4936"/>
    <n v="14862"/>
    <n v="4"/>
    <s v="Y"/>
    <x v="1"/>
    <n v="11"/>
    <n v="3"/>
    <n v="3"/>
    <n v="80"/>
    <n v="1"/>
    <n v="18"/>
    <n v="2"/>
    <n v="2"/>
    <n v="7"/>
    <n v="7"/>
    <n v="0"/>
    <n v="7"/>
    <n v="0"/>
    <x v="1"/>
  </r>
  <r>
    <n v="36"/>
    <s v="No"/>
    <s v="Travel_Rarely"/>
    <n v="329"/>
    <x v="1"/>
    <n v="2"/>
    <n v="3"/>
    <x v="0"/>
    <n v="1"/>
    <x v="377"/>
    <n v="4"/>
    <s v="Female"/>
    <n v="96"/>
    <n v="3"/>
    <x v="1"/>
    <x v="1"/>
    <n v="3"/>
    <s v="Married"/>
    <n v="2543"/>
    <n v="11868"/>
    <n v="4"/>
    <s v="Y"/>
    <x v="1"/>
    <n v="13"/>
    <n v="3"/>
    <n v="2"/>
    <n v="80"/>
    <n v="1"/>
    <n v="6"/>
    <n v="3"/>
    <n v="3"/>
    <n v="2"/>
    <n v="2"/>
    <n v="2"/>
    <n v="2"/>
    <n v="0"/>
    <x v="0"/>
  </r>
  <r>
    <n v="34"/>
    <s v="Yes"/>
    <s v="Non-Travel"/>
    <n v="1362"/>
    <x v="0"/>
    <n v="19"/>
    <n v="3"/>
    <x v="3"/>
    <n v="1"/>
    <x v="378"/>
    <n v="1"/>
    <s v="Male"/>
    <n v="67"/>
    <n v="4"/>
    <x v="0"/>
    <x v="0"/>
    <n v="4"/>
    <s v="Single"/>
    <n v="5304"/>
    <n v="4652"/>
    <n v="8"/>
    <s v="Y"/>
    <x v="0"/>
    <n v="13"/>
    <n v="3"/>
    <n v="2"/>
    <n v="80"/>
    <n v="0"/>
    <n v="9"/>
    <n v="3"/>
    <n v="2"/>
    <n v="5"/>
    <n v="2"/>
    <n v="0"/>
    <n v="4"/>
    <n v="1"/>
    <x v="2"/>
  </r>
  <r>
    <n v="55"/>
    <s v="No"/>
    <s v="Travel_Rarely"/>
    <n v="1311"/>
    <x v="1"/>
    <n v="2"/>
    <n v="3"/>
    <x v="0"/>
    <n v="1"/>
    <x v="379"/>
    <n v="3"/>
    <s v="Female"/>
    <n v="97"/>
    <n v="3"/>
    <x v="3"/>
    <x v="5"/>
    <n v="4"/>
    <s v="Single"/>
    <n v="16659"/>
    <n v="23258"/>
    <n v="2"/>
    <s v="Y"/>
    <x v="0"/>
    <n v="13"/>
    <n v="3"/>
    <n v="3"/>
    <n v="80"/>
    <n v="0"/>
    <n v="30"/>
    <n v="2"/>
    <n v="3"/>
    <n v="5"/>
    <n v="4"/>
    <n v="1"/>
    <n v="2"/>
    <n v="0"/>
    <x v="1"/>
  </r>
  <r>
    <n v="24"/>
    <s v="No"/>
    <s v="Travel_Rarely"/>
    <n v="1371"/>
    <x v="0"/>
    <n v="10"/>
    <n v="4"/>
    <x v="3"/>
    <n v="1"/>
    <x v="380"/>
    <n v="4"/>
    <s v="Female"/>
    <n v="77"/>
    <n v="3"/>
    <x v="0"/>
    <x v="0"/>
    <n v="3"/>
    <s v="Divorced"/>
    <n v="4260"/>
    <n v="5915"/>
    <n v="1"/>
    <s v="Y"/>
    <x v="0"/>
    <n v="12"/>
    <n v="3"/>
    <n v="4"/>
    <n v="80"/>
    <n v="1"/>
    <n v="5"/>
    <n v="2"/>
    <n v="4"/>
    <n v="5"/>
    <n v="2"/>
    <n v="0"/>
    <n v="3"/>
    <n v="0"/>
    <x v="4"/>
  </r>
  <r>
    <n v="30"/>
    <s v="No"/>
    <s v="Travel_Rarely"/>
    <n v="202"/>
    <x v="0"/>
    <n v="2"/>
    <n v="1"/>
    <x v="4"/>
    <n v="1"/>
    <x v="381"/>
    <n v="3"/>
    <s v="Male"/>
    <n v="72"/>
    <n v="3"/>
    <x v="1"/>
    <x v="6"/>
    <n v="2"/>
    <s v="Married"/>
    <n v="2476"/>
    <n v="17434"/>
    <n v="1"/>
    <s v="Y"/>
    <x v="1"/>
    <n v="18"/>
    <n v="3"/>
    <n v="1"/>
    <n v="80"/>
    <n v="1"/>
    <n v="1"/>
    <n v="3"/>
    <n v="3"/>
    <n v="1"/>
    <n v="0"/>
    <n v="0"/>
    <n v="0"/>
    <n v="0"/>
    <x v="2"/>
  </r>
  <r>
    <n v="26"/>
    <s v="Yes"/>
    <s v="Travel_Frequently"/>
    <n v="575"/>
    <x v="1"/>
    <n v="3"/>
    <n v="1"/>
    <x v="4"/>
    <n v="1"/>
    <x v="382"/>
    <n v="3"/>
    <s v="Male"/>
    <n v="73"/>
    <n v="3"/>
    <x v="1"/>
    <x v="1"/>
    <n v="1"/>
    <s v="Single"/>
    <n v="3102"/>
    <n v="6582"/>
    <n v="0"/>
    <s v="Y"/>
    <x v="1"/>
    <n v="22"/>
    <n v="4"/>
    <n v="3"/>
    <n v="80"/>
    <n v="0"/>
    <n v="7"/>
    <n v="2"/>
    <n v="3"/>
    <n v="6"/>
    <n v="4"/>
    <n v="0"/>
    <n v="4"/>
    <n v="1"/>
    <x v="2"/>
  </r>
  <r>
    <n v="22"/>
    <s v="No"/>
    <s v="Travel_Rarely"/>
    <n v="253"/>
    <x v="1"/>
    <n v="11"/>
    <n v="3"/>
    <x v="2"/>
    <n v="1"/>
    <x v="383"/>
    <n v="1"/>
    <s v="Female"/>
    <n v="43"/>
    <n v="3"/>
    <x v="1"/>
    <x v="1"/>
    <n v="2"/>
    <s v="Married"/>
    <n v="2244"/>
    <n v="24440"/>
    <n v="1"/>
    <s v="Y"/>
    <x v="1"/>
    <n v="13"/>
    <n v="3"/>
    <n v="4"/>
    <n v="80"/>
    <n v="1"/>
    <n v="2"/>
    <n v="1"/>
    <n v="3"/>
    <n v="2"/>
    <n v="1"/>
    <n v="1"/>
    <n v="2"/>
    <n v="0"/>
    <x v="4"/>
  </r>
  <r>
    <n v="36"/>
    <s v="No"/>
    <s v="Travel_Rarely"/>
    <n v="164"/>
    <x v="0"/>
    <n v="2"/>
    <n v="2"/>
    <x v="2"/>
    <n v="1"/>
    <x v="384"/>
    <n v="2"/>
    <s v="Male"/>
    <n v="61"/>
    <n v="2"/>
    <x v="2"/>
    <x v="0"/>
    <n v="3"/>
    <s v="Married"/>
    <n v="7596"/>
    <n v="3809"/>
    <n v="1"/>
    <s v="Y"/>
    <x v="1"/>
    <n v="13"/>
    <n v="3"/>
    <n v="2"/>
    <n v="80"/>
    <n v="2"/>
    <n v="10"/>
    <n v="2"/>
    <n v="3"/>
    <n v="10"/>
    <n v="9"/>
    <n v="9"/>
    <n v="0"/>
    <n v="0"/>
    <x v="0"/>
  </r>
  <r>
    <n v="30"/>
    <s v="Yes"/>
    <s v="Travel_Frequently"/>
    <n v="464"/>
    <x v="1"/>
    <n v="4"/>
    <n v="3"/>
    <x v="4"/>
    <n v="1"/>
    <x v="385"/>
    <n v="3"/>
    <s v="Male"/>
    <n v="40"/>
    <n v="3"/>
    <x v="1"/>
    <x v="1"/>
    <n v="4"/>
    <s v="Single"/>
    <n v="2285"/>
    <n v="3427"/>
    <n v="9"/>
    <s v="Y"/>
    <x v="0"/>
    <n v="23"/>
    <n v="4"/>
    <n v="3"/>
    <n v="80"/>
    <n v="0"/>
    <n v="3"/>
    <n v="4"/>
    <n v="3"/>
    <n v="1"/>
    <n v="0"/>
    <n v="0"/>
    <n v="0"/>
    <n v="1"/>
    <x v="2"/>
  </r>
  <r>
    <n v="37"/>
    <s v="No"/>
    <s v="Travel_Rarely"/>
    <n v="1107"/>
    <x v="1"/>
    <n v="14"/>
    <n v="3"/>
    <x v="0"/>
    <n v="1"/>
    <x v="386"/>
    <n v="4"/>
    <s v="Female"/>
    <n v="95"/>
    <n v="3"/>
    <x v="1"/>
    <x v="2"/>
    <n v="1"/>
    <s v="Divorced"/>
    <n v="3034"/>
    <n v="26914"/>
    <n v="1"/>
    <s v="Y"/>
    <x v="1"/>
    <n v="12"/>
    <n v="3"/>
    <n v="3"/>
    <n v="80"/>
    <n v="1"/>
    <n v="18"/>
    <n v="2"/>
    <n v="2"/>
    <n v="18"/>
    <n v="7"/>
    <n v="12"/>
    <n v="17"/>
    <n v="0"/>
    <x v="0"/>
  </r>
  <r>
    <n v="40"/>
    <s v="No"/>
    <s v="Travel_Rarely"/>
    <n v="759"/>
    <x v="0"/>
    <n v="2"/>
    <n v="2"/>
    <x v="3"/>
    <n v="1"/>
    <x v="387"/>
    <n v="4"/>
    <s v="Female"/>
    <n v="46"/>
    <n v="3"/>
    <x v="0"/>
    <x v="0"/>
    <n v="2"/>
    <s v="Divorced"/>
    <n v="5715"/>
    <n v="22553"/>
    <n v="7"/>
    <s v="Y"/>
    <x v="1"/>
    <n v="12"/>
    <n v="3"/>
    <n v="3"/>
    <n v="80"/>
    <n v="2"/>
    <n v="8"/>
    <n v="5"/>
    <n v="3"/>
    <n v="5"/>
    <n v="4"/>
    <n v="1"/>
    <n v="3"/>
    <n v="0"/>
    <x v="0"/>
  </r>
  <r>
    <n v="42"/>
    <s v="No"/>
    <s v="Travel_Rarely"/>
    <n v="201"/>
    <x v="1"/>
    <n v="1"/>
    <n v="4"/>
    <x v="0"/>
    <n v="1"/>
    <x v="388"/>
    <n v="2"/>
    <s v="Female"/>
    <n v="95"/>
    <n v="3"/>
    <x v="1"/>
    <x v="2"/>
    <n v="1"/>
    <s v="Divorced"/>
    <n v="2576"/>
    <n v="20490"/>
    <n v="3"/>
    <s v="Y"/>
    <x v="1"/>
    <n v="16"/>
    <n v="3"/>
    <n v="2"/>
    <n v="80"/>
    <n v="1"/>
    <n v="8"/>
    <n v="5"/>
    <n v="3"/>
    <n v="5"/>
    <n v="2"/>
    <n v="1"/>
    <n v="2"/>
    <n v="0"/>
    <x v="0"/>
  </r>
  <r>
    <n v="37"/>
    <s v="No"/>
    <s v="Travel_Rarely"/>
    <n v="1305"/>
    <x v="1"/>
    <n v="10"/>
    <n v="4"/>
    <x v="0"/>
    <n v="1"/>
    <x v="389"/>
    <n v="3"/>
    <s v="Male"/>
    <n v="49"/>
    <n v="3"/>
    <x v="0"/>
    <x v="3"/>
    <n v="2"/>
    <s v="Single"/>
    <n v="4197"/>
    <n v="21123"/>
    <n v="2"/>
    <s v="Y"/>
    <x v="0"/>
    <n v="12"/>
    <n v="3"/>
    <n v="4"/>
    <n v="80"/>
    <n v="0"/>
    <n v="18"/>
    <n v="2"/>
    <n v="2"/>
    <n v="1"/>
    <n v="0"/>
    <n v="0"/>
    <n v="1"/>
    <n v="0"/>
    <x v="0"/>
  </r>
  <r>
    <n v="43"/>
    <s v="No"/>
    <s v="Travel_Rarely"/>
    <n v="982"/>
    <x v="1"/>
    <n v="12"/>
    <n v="3"/>
    <x v="0"/>
    <n v="1"/>
    <x v="390"/>
    <n v="1"/>
    <s v="Male"/>
    <n v="59"/>
    <n v="2"/>
    <x v="3"/>
    <x v="7"/>
    <n v="2"/>
    <s v="Divorced"/>
    <n v="14336"/>
    <n v="4345"/>
    <n v="1"/>
    <s v="Y"/>
    <x v="1"/>
    <n v="11"/>
    <n v="3"/>
    <n v="3"/>
    <n v="80"/>
    <n v="1"/>
    <n v="25"/>
    <n v="3"/>
    <n v="3"/>
    <n v="25"/>
    <n v="10"/>
    <n v="3"/>
    <n v="9"/>
    <n v="0"/>
    <x v="0"/>
  </r>
  <r>
    <n v="40"/>
    <s v="No"/>
    <s v="Travel_Rarely"/>
    <n v="555"/>
    <x v="1"/>
    <n v="2"/>
    <n v="3"/>
    <x v="2"/>
    <n v="1"/>
    <x v="391"/>
    <n v="2"/>
    <s v="Female"/>
    <n v="78"/>
    <n v="2"/>
    <x v="0"/>
    <x v="2"/>
    <n v="3"/>
    <s v="Married"/>
    <n v="3448"/>
    <n v="13436"/>
    <n v="6"/>
    <s v="Y"/>
    <x v="1"/>
    <n v="22"/>
    <n v="4"/>
    <n v="2"/>
    <n v="80"/>
    <n v="1"/>
    <n v="20"/>
    <n v="3"/>
    <n v="3"/>
    <n v="1"/>
    <n v="0"/>
    <n v="0"/>
    <n v="0"/>
    <n v="0"/>
    <x v="0"/>
  </r>
  <r>
    <n v="54"/>
    <s v="No"/>
    <s v="Travel_Rarely"/>
    <n v="821"/>
    <x v="1"/>
    <n v="5"/>
    <n v="2"/>
    <x v="2"/>
    <n v="1"/>
    <x v="392"/>
    <n v="1"/>
    <s v="Male"/>
    <n v="86"/>
    <n v="3"/>
    <x v="4"/>
    <x v="7"/>
    <n v="1"/>
    <s v="Married"/>
    <n v="19406"/>
    <n v="8509"/>
    <n v="4"/>
    <s v="Y"/>
    <x v="1"/>
    <n v="11"/>
    <n v="3"/>
    <n v="3"/>
    <n v="80"/>
    <n v="1"/>
    <n v="24"/>
    <n v="4"/>
    <n v="2"/>
    <n v="4"/>
    <n v="2"/>
    <n v="1"/>
    <n v="2"/>
    <n v="0"/>
    <x v="1"/>
  </r>
  <r>
    <n v="34"/>
    <s v="No"/>
    <s v="Non-Travel"/>
    <n v="1381"/>
    <x v="0"/>
    <n v="4"/>
    <n v="4"/>
    <x v="3"/>
    <n v="1"/>
    <x v="393"/>
    <n v="3"/>
    <s v="Female"/>
    <n v="72"/>
    <n v="3"/>
    <x v="0"/>
    <x v="0"/>
    <n v="3"/>
    <s v="Married"/>
    <n v="6538"/>
    <n v="12740"/>
    <n v="9"/>
    <s v="Y"/>
    <x v="1"/>
    <n v="15"/>
    <n v="3"/>
    <n v="1"/>
    <n v="80"/>
    <n v="1"/>
    <n v="6"/>
    <n v="3"/>
    <n v="3"/>
    <n v="3"/>
    <n v="2"/>
    <n v="1"/>
    <n v="2"/>
    <n v="0"/>
    <x v="2"/>
  </r>
  <r>
    <n v="31"/>
    <s v="No"/>
    <s v="Travel_Rarely"/>
    <n v="480"/>
    <x v="1"/>
    <n v="7"/>
    <n v="2"/>
    <x v="2"/>
    <n v="1"/>
    <x v="394"/>
    <n v="2"/>
    <s v="Female"/>
    <n v="31"/>
    <n v="3"/>
    <x v="0"/>
    <x v="3"/>
    <n v="1"/>
    <s v="Married"/>
    <n v="4306"/>
    <n v="4156"/>
    <n v="1"/>
    <s v="Y"/>
    <x v="1"/>
    <n v="12"/>
    <n v="3"/>
    <n v="2"/>
    <n v="80"/>
    <n v="1"/>
    <n v="13"/>
    <n v="5"/>
    <n v="1"/>
    <n v="13"/>
    <n v="10"/>
    <n v="3"/>
    <n v="12"/>
    <n v="0"/>
    <x v="2"/>
  </r>
  <r>
    <n v="43"/>
    <s v="No"/>
    <s v="Travel_Frequently"/>
    <n v="313"/>
    <x v="1"/>
    <n v="21"/>
    <n v="3"/>
    <x v="2"/>
    <n v="1"/>
    <x v="395"/>
    <n v="4"/>
    <s v="Male"/>
    <n v="61"/>
    <n v="3"/>
    <x v="1"/>
    <x v="2"/>
    <n v="4"/>
    <s v="Married"/>
    <n v="2258"/>
    <n v="15238"/>
    <n v="7"/>
    <s v="Y"/>
    <x v="1"/>
    <n v="20"/>
    <n v="4"/>
    <n v="1"/>
    <n v="80"/>
    <n v="1"/>
    <n v="8"/>
    <n v="1"/>
    <n v="3"/>
    <n v="3"/>
    <n v="2"/>
    <n v="1"/>
    <n v="2"/>
    <n v="0"/>
    <x v="0"/>
  </r>
  <r>
    <n v="43"/>
    <s v="No"/>
    <s v="Travel_Rarely"/>
    <n v="1473"/>
    <x v="1"/>
    <n v="8"/>
    <n v="4"/>
    <x v="1"/>
    <n v="1"/>
    <x v="396"/>
    <n v="3"/>
    <s v="Female"/>
    <n v="74"/>
    <n v="3"/>
    <x v="0"/>
    <x v="4"/>
    <n v="3"/>
    <s v="Divorced"/>
    <n v="4522"/>
    <n v="2227"/>
    <n v="4"/>
    <s v="Y"/>
    <x v="0"/>
    <n v="14"/>
    <n v="3"/>
    <n v="4"/>
    <n v="80"/>
    <n v="0"/>
    <n v="8"/>
    <n v="3"/>
    <n v="3"/>
    <n v="5"/>
    <n v="2"/>
    <n v="0"/>
    <n v="2"/>
    <n v="0"/>
    <x v="0"/>
  </r>
  <r>
    <n v="25"/>
    <s v="No"/>
    <s v="Travel_Rarely"/>
    <n v="891"/>
    <x v="0"/>
    <n v="4"/>
    <n v="2"/>
    <x v="0"/>
    <n v="1"/>
    <x v="397"/>
    <n v="2"/>
    <s v="Female"/>
    <n v="99"/>
    <n v="2"/>
    <x v="0"/>
    <x v="0"/>
    <n v="4"/>
    <s v="Single"/>
    <n v="4487"/>
    <n v="12090"/>
    <n v="1"/>
    <s v="Y"/>
    <x v="0"/>
    <n v="11"/>
    <n v="3"/>
    <n v="2"/>
    <n v="80"/>
    <n v="0"/>
    <n v="5"/>
    <n v="3"/>
    <n v="3"/>
    <n v="5"/>
    <n v="4"/>
    <n v="1"/>
    <n v="3"/>
    <n v="0"/>
    <x v="4"/>
  </r>
  <r>
    <n v="37"/>
    <s v="No"/>
    <s v="Non-Travel"/>
    <n v="1063"/>
    <x v="1"/>
    <n v="25"/>
    <n v="5"/>
    <x v="2"/>
    <n v="1"/>
    <x v="398"/>
    <n v="2"/>
    <s v="Female"/>
    <n v="72"/>
    <n v="3"/>
    <x v="0"/>
    <x v="1"/>
    <n v="3"/>
    <s v="Married"/>
    <n v="4449"/>
    <n v="23866"/>
    <n v="3"/>
    <s v="Y"/>
    <x v="0"/>
    <n v="15"/>
    <n v="3"/>
    <n v="1"/>
    <n v="80"/>
    <n v="2"/>
    <n v="15"/>
    <n v="2"/>
    <n v="3"/>
    <n v="13"/>
    <n v="11"/>
    <n v="10"/>
    <n v="7"/>
    <n v="0"/>
    <x v="0"/>
  </r>
  <r>
    <n v="31"/>
    <s v="No"/>
    <s v="Travel_Rarely"/>
    <n v="329"/>
    <x v="1"/>
    <n v="1"/>
    <n v="2"/>
    <x v="0"/>
    <n v="1"/>
    <x v="399"/>
    <n v="4"/>
    <s v="Male"/>
    <n v="98"/>
    <n v="2"/>
    <x v="1"/>
    <x v="2"/>
    <n v="1"/>
    <s v="Married"/>
    <n v="2218"/>
    <n v="16193"/>
    <n v="1"/>
    <s v="Y"/>
    <x v="1"/>
    <n v="12"/>
    <n v="3"/>
    <n v="3"/>
    <n v="80"/>
    <n v="1"/>
    <n v="4"/>
    <n v="3"/>
    <n v="3"/>
    <n v="4"/>
    <n v="2"/>
    <n v="3"/>
    <n v="2"/>
    <n v="0"/>
    <x v="2"/>
  </r>
  <r>
    <n v="39"/>
    <s v="No"/>
    <s v="Travel_Frequently"/>
    <n v="1218"/>
    <x v="1"/>
    <n v="1"/>
    <n v="1"/>
    <x v="0"/>
    <n v="1"/>
    <x v="400"/>
    <n v="2"/>
    <s v="Male"/>
    <n v="52"/>
    <n v="3"/>
    <x v="4"/>
    <x v="5"/>
    <n v="3"/>
    <s v="Divorced"/>
    <n v="19197"/>
    <n v="8213"/>
    <n v="1"/>
    <s v="Y"/>
    <x v="0"/>
    <n v="14"/>
    <n v="3"/>
    <n v="3"/>
    <n v="80"/>
    <n v="1"/>
    <n v="21"/>
    <n v="3"/>
    <n v="3"/>
    <n v="21"/>
    <n v="8"/>
    <n v="1"/>
    <n v="6"/>
    <n v="0"/>
    <x v="0"/>
  </r>
  <r>
    <n v="56"/>
    <s v="No"/>
    <s v="Travel_Frequently"/>
    <n v="906"/>
    <x v="0"/>
    <n v="6"/>
    <n v="3"/>
    <x v="0"/>
    <n v="1"/>
    <x v="401"/>
    <n v="3"/>
    <s v="Female"/>
    <n v="86"/>
    <n v="4"/>
    <x v="3"/>
    <x v="0"/>
    <n v="1"/>
    <s v="Married"/>
    <n v="13212"/>
    <n v="18256"/>
    <n v="9"/>
    <s v="Y"/>
    <x v="1"/>
    <n v="11"/>
    <n v="3"/>
    <n v="4"/>
    <n v="80"/>
    <n v="3"/>
    <n v="36"/>
    <n v="0"/>
    <n v="2"/>
    <n v="7"/>
    <n v="7"/>
    <n v="7"/>
    <n v="7"/>
    <n v="0"/>
    <x v="3"/>
  </r>
  <r>
    <n v="30"/>
    <s v="No"/>
    <s v="Travel_Rarely"/>
    <n v="1082"/>
    <x v="0"/>
    <n v="12"/>
    <n v="3"/>
    <x v="4"/>
    <n v="1"/>
    <x v="402"/>
    <n v="2"/>
    <s v="Female"/>
    <n v="83"/>
    <n v="3"/>
    <x v="0"/>
    <x v="0"/>
    <n v="3"/>
    <s v="Single"/>
    <n v="6577"/>
    <n v="19558"/>
    <n v="0"/>
    <s v="Y"/>
    <x v="1"/>
    <n v="11"/>
    <n v="3"/>
    <n v="2"/>
    <n v="80"/>
    <n v="0"/>
    <n v="6"/>
    <n v="6"/>
    <n v="3"/>
    <n v="5"/>
    <n v="4"/>
    <n v="4"/>
    <n v="4"/>
    <n v="0"/>
    <x v="2"/>
  </r>
  <r>
    <n v="41"/>
    <s v="No"/>
    <s v="Travel_Rarely"/>
    <n v="645"/>
    <x v="0"/>
    <n v="1"/>
    <n v="3"/>
    <x v="3"/>
    <n v="1"/>
    <x v="403"/>
    <n v="2"/>
    <s v="Male"/>
    <n v="49"/>
    <n v="4"/>
    <x v="2"/>
    <x v="0"/>
    <n v="1"/>
    <s v="Married"/>
    <n v="8392"/>
    <n v="19566"/>
    <n v="1"/>
    <s v="Y"/>
    <x v="1"/>
    <n v="16"/>
    <n v="3"/>
    <n v="3"/>
    <n v="80"/>
    <n v="1"/>
    <n v="10"/>
    <n v="2"/>
    <n v="3"/>
    <n v="10"/>
    <n v="7"/>
    <n v="0"/>
    <n v="7"/>
    <n v="0"/>
    <x v="0"/>
  </r>
  <r>
    <n v="28"/>
    <s v="No"/>
    <s v="Travel_Rarely"/>
    <n v="1300"/>
    <x v="1"/>
    <n v="17"/>
    <n v="2"/>
    <x v="2"/>
    <n v="1"/>
    <x v="404"/>
    <n v="3"/>
    <s v="Male"/>
    <n v="79"/>
    <n v="3"/>
    <x v="0"/>
    <x v="2"/>
    <n v="1"/>
    <s v="Divorced"/>
    <n v="4558"/>
    <n v="13535"/>
    <n v="1"/>
    <s v="Y"/>
    <x v="1"/>
    <n v="12"/>
    <n v="3"/>
    <n v="4"/>
    <n v="80"/>
    <n v="1"/>
    <n v="10"/>
    <n v="2"/>
    <n v="3"/>
    <n v="10"/>
    <n v="0"/>
    <n v="1"/>
    <n v="8"/>
    <n v="0"/>
    <x v="2"/>
  </r>
  <r>
    <n v="25"/>
    <s v="Yes"/>
    <s v="Travel_Rarely"/>
    <n v="688"/>
    <x v="1"/>
    <n v="3"/>
    <n v="3"/>
    <x v="2"/>
    <n v="1"/>
    <x v="405"/>
    <n v="1"/>
    <s v="Male"/>
    <n v="91"/>
    <n v="3"/>
    <x v="1"/>
    <x v="2"/>
    <n v="1"/>
    <s v="Married"/>
    <n v="4031"/>
    <n v="9396"/>
    <n v="5"/>
    <s v="Y"/>
    <x v="1"/>
    <n v="13"/>
    <n v="3"/>
    <n v="3"/>
    <n v="80"/>
    <n v="1"/>
    <n v="6"/>
    <n v="5"/>
    <n v="3"/>
    <n v="2"/>
    <n v="2"/>
    <n v="0"/>
    <n v="2"/>
    <n v="1"/>
    <x v="4"/>
  </r>
  <r>
    <n v="52"/>
    <s v="No"/>
    <s v="Travel_Rarely"/>
    <n v="319"/>
    <x v="1"/>
    <n v="3"/>
    <n v="3"/>
    <x v="2"/>
    <n v="1"/>
    <x v="406"/>
    <n v="4"/>
    <s v="Male"/>
    <n v="39"/>
    <n v="2"/>
    <x v="2"/>
    <x v="3"/>
    <n v="3"/>
    <s v="Married"/>
    <n v="7969"/>
    <n v="19609"/>
    <n v="2"/>
    <s v="Y"/>
    <x v="0"/>
    <n v="14"/>
    <n v="3"/>
    <n v="3"/>
    <n v="80"/>
    <n v="0"/>
    <n v="28"/>
    <n v="4"/>
    <n v="3"/>
    <n v="5"/>
    <n v="4"/>
    <n v="0"/>
    <n v="4"/>
    <n v="0"/>
    <x v="1"/>
  </r>
  <r>
    <n v="45"/>
    <s v="No"/>
    <s v="Travel_Rarely"/>
    <n v="192"/>
    <x v="1"/>
    <n v="10"/>
    <n v="2"/>
    <x v="0"/>
    <n v="1"/>
    <x v="407"/>
    <n v="1"/>
    <s v="Male"/>
    <n v="69"/>
    <n v="3"/>
    <x v="1"/>
    <x v="1"/>
    <n v="4"/>
    <s v="Married"/>
    <n v="2654"/>
    <n v="9655"/>
    <n v="3"/>
    <s v="Y"/>
    <x v="1"/>
    <n v="21"/>
    <n v="4"/>
    <n v="4"/>
    <n v="80"/>
    <n v="2"/>
    <n v="8"/>
    <n v="3"/>
    <n v="2"/>
    <n v="2"/>
    <n v="2"/>
    <n v="0"/>
    <n v="2"/>
    <n v="0"/>
    <x v="0"/>
  </r>
  <r>
    <n v="52"/>
    <s v="No"/>
    <s v="Travel_Rarely"/>
    <n v="1490"/>
    <x v="1"/>
    <n v="4"/>
    <n v="2"/>
    <x v="0"/>
    <n v="1"/>
    <x v="408"/>
    <n v="4"/>
    <s v="Female"/>
    <n v="30"/>
    <n v="3"/>
    <x v="3"/>
    <x v="5"/>
    <n v="4"/>
    <s v="Married"/>
    <n v="16555"/>
    <n v="10310"/>
    <n v="2"/>
    <s v="Y"/>
    <x v="1"/>
    <n v="13"/>
    <n v="3"/>
    <n v="4"/>
    <n v="80"/>
    <n v="0"/>
    <n v="31"/>
    <n v="2"/>
    <n v="1"/>
    <n v="5"/>
    <n v="2"/>
    <n v="1"/>
    <n v="4"/>
    <n v="0"/>
    <x v="1"/>
  </r>
  <r>
    <n v="42"/>
    <s v="No"/>
    <s v="Travel_Frequently"/>
    <n v="532"/>
    <x v="1"/>
    <n v="29"/>
    <n v="2"/>
    <x v="0"/>
    <n v="1"/>
    <x v="409"/>
    <n v="1"/>
    <s v="Female"/>
    <n v="92"/>
    <n v="3"/>
    <x v="0"/>
    <x v="1"/>
    <n v="3"/>
    <s v="Divorced"/>
    <n v="4556"/>
    <n v="12932"/>
    <n v="2"/>
    <s v="Y"/>
    <x v="1"/>
    <n v="11"/>
    <n v="3"/>
    <n v="2"/>
    <n v="80"/>
    <n v="1"/>
    <n v="19"/>
    <n v="3"/>
    <n v="3"/>
    <n v="5"/>
    <n v="4"/>
    <n v="0"/>
    <n v="2"/>
    <n v="0"/>
    <x v="0"/>
  </r>
  <r>
    <n v="30"/>
    <s v="No"/>
    <s v="Travel_Rarely"/>
    <n v="317"/>
    <x v="1"/>
    <n v="2"/>
    <n v="3"/>
    <x v="0"/>
    <n v="1"/>
    <x v="410"/>
    <n v="3"/>
    <s v="Female"/>
    <n v="43"/>
    <n v="1"/>
    <x v="0"/>
    <x v="3"/>
    <n v="4"/>
    <s v="Single"/>
    <n v="6091"/>
    <n v="24793"/>
    <n v="2"/>
    <s v="Y"/>
    <x v="1"/>
    <n v="20"/>
    <n v="4"/>
    <n v="3"/>
    <n v="80"/>
    <n v="0"/>
    <n v="11"/>
    <n v="2"/>
    <n v="3"/>
    <n v="5"/>
    <n v="4"/>
    <n v="0"/>
    <n v="2"/>
    <n v="0"/>
    <x v="2"/>
  </r>
  <r>
    <n v="60"/>
    <s v="No"/>
    <s v="Travel_Rarely"/>
    <n v="422"/>
    <x v="1"/>
    <n v="7"/>
    <n v="3"/>
    <x v="0"/>
    <n v="1"/>
    <x v="411"/>
    <n v="1"/>
    <s v="Female"/>
    <n v="41"/>
    <n v="3"/>
    <x v="4"/>
    <x v="5"/>
    <n v="1"/>
    <s v="Married"/>
    <n v="19566"/>
    <n v="3854"/>
    <n v="5"/>
    <s v="Y"/>
    <x v="1"/>
    <n v="11"/>
    <n v="3"/>
    <n v="4"/>
    <n v="80"/>
    <n v="0"/>
    <n v="33"/>
    <n v="5"/>
    <n v="1"/>
    <n v="29"/>
    <n v="8"/>
    <n v="11"/>
    <n v="10"/>
    <n v="0"/>
    <x v="3"/>
  </r>
  <r>
    <n v="46"/>
    <s v="No"/>
    <s v="Travel_Rarely"/>
    <n v="1485"/>
    <x v="1"/>
    <n v="18"/>
    <n v="3"/>
    <x v="2"/>
    <n v="1"/>
    <x v="412"/>
    <n v="3"/>
    <s v="Female"/>
    <n v="87"/>
    <n v="3"/>
    <x v="0"/>
    <x v="3"/>
    <n v="3"/>
    <s v="Divorced"/>
    <n v="4810"/>
    <n v="26314"/>
    <n v="2"/>
    <s v="Y"/>
    <x v="1"/>
    <n v="14"/>
    <n v="3"/>
    <n v="3"/>
    <n v="80"/>
    <n v="1"/>
    <n v="19"/>
    <n v="5"/>
    <n v="2"/>
    <n v="10"/>
    <n v="7"/>
    <n v="0"/>
    <n v="8"/>
    <n v="0"/>
    <x v="1"/>
  </r>
  <r>
    <n v="42"/>
    <s v="No"/>
    <s v="Travel_Frequently"/>
    <n v="1368"/>
    <x v="1"/>
    <n v="28"/>
    <n v="4"/>
    <x v="4"/>
    <n v="1"/>
    <x v="413"/>
    <n v="4"/>
    <s v="Female"/>
    <n v="88"/>
    <n v="2"/>
    <x v="0"/>
    <x v="4"/>
    <n v="4"/>
    <s v="Married"/>
    <n v="4523"/>
    <n v="4386"/>
    <n v="0"/>
    <s v="Y"/>
    <x v="1"/>
    <n v="11"/>
    <n v="3"/>
    <n v="4"/>
    <n v="80"/>
    <n v="3"/>
    <n v="7"/>
    <n v="4"/>
    <n v="4"/>
    <n v="6"/>
    <n v="5"/>
    <n v="0"/>
    <n v="4"/>
    <n v="0"/>
    <x v="0"/>
  </r>
  <r>
    <n v="24"/>
    <s v="Yes"/>
    <s v="Travel_Rarely"/>
    <n v="1448"/>
    <x v="0"/>
    <n v="1"/>
    <n v="1"/>
    <x v="4"/>
    <n v="1"/>
    <x v="414"/>
    <n v="1"/>
    <s v="Female"/>
    <n v="62"/>
    <n v="3"/>
    <x v="1"/>
    <x v="6"/>
    <n v="2"/>
    <s v="Single"/>
    <n v="3202"/>
    <n v="21972"/>
    <n v="1"/>
    <s v="Y"/>
    <x v="0"/>
    <n v="16"/>
    <n v="3"/>
    <n v="2"/>
    <n v="80"/>
    <n v="0"/>
    <n v="6"/>
    <n v="4"/>
    <n v="3"/>
    <n v="5"/>
    <n v="3"/>
    <n v="1"/>
    <n v="4"/>
    <n v="1"/>
    <x v="4"/>
  </r>
  <r>
    <n v="34"/>
    <s v="Yes"/>
    <s v="Travel_Frequently"/>
    <n v="296"/>
    <x v="0"/>
    <n v="6"/>
    <n v="2"/>
    <x v="3"/>
    <n v="1"/>
    <x v="415"/>
    <n v="4"/>
    <s v="Female"/>
    <n v="33"/>
    <n v="1"/>
    <x v="1"/>
    <x v="6"/>
    <n v="3"/>
    <s v="Divorced"/>
    <n v="2351"/>
    <n v="12253"/>
    <n v="0"/>
    <s v="Y"/>
    <x v="1"/>
    <n v="16"/>
    <n v="3"/>
    <n v="4"/>
    <n v="80"/>
    <n v="1"/>
    <n v="3"/>
    <n v="3"/>
    <n v="2"/>
    <n v="2"/>
    <n v="2"/>
    <n v="1"/>
    <n v="0"/>
    <n v="1"/>
    <x v="2"/>
  </r>
  <r>
    <n v="38"/>
    <s v="No"/>
    <s v="Travel_Frequently"/>
    <n v="1490"/>
    <x v="1"/>
    <n v="2"/>
    <n v="2"/>
    <x v="0"/>
    <n v="1"/>
    <x v="416"/>
    <n v="4"/>
    <s v="Male"/>
    <n v="42"/>
    <n v="3"/>
    <x v="1"/>
    <x v="2"/>
    <n v="4"/>
    <s v="Married"/>
    <n v="1702"/>
    <n v="12106"/>
    <n v="1"/>
    <s v="Y"/>
    <x v="0"/>
    <n v="23"/>
    <n v="4"/>
    <n v="3"/>
    <n v="80"/>
    <n v="1"/>
    <n v="1"/>
    <n v="3"/>
    <n v="3"/>
    <n v="1"/>
    <n v="0"/>
    <n v="0"/>
    <n v="0"/>
    <n v="0"/>
    <x v="0"/>
  </r>
  <r>
    <n v="40"/>
    <s v="No"/>
    <s v="Travel_Rarely"/>
    <n v="1398"/>
    <x v="0"/>
    <n v="2"/>
    <n v="4"/>
    <x v="0"/>
    <n v="1"/>
    <x v="417"/>
    <n v="3"/>
    <s v="Female"/>
    <n v="79"/>
    <n v="3"/>
    <x v="4"/>
    <x v="5"/>
    <n v="3"/>
    <s v="Married"/>
    <n v="18041"/>
    <n v="13022"/>
    <n v="0"/>
    <s v="Y"/>
    <x v="1"/>
    <n v="14"/>
    <n v="3"/>
    <n v="4"/>
    <n v="80"/>
    <n v="0"/>
    <n v="21"/>
    <n v="2"/>
    <n v="3"/>
    <n v="20"/>
    <n v="15"/>
    <n v="1"/>
    <n v="12"/>
    <n v="0"/>
    <x v="0"/>
  </r>
  <r>
    <n v="26"/>
    <s v="No"/>
    <s v="Travel_Rarely"/>
    <n v="1349"/>
    <x v="1"/>
    <n v="23"/>
    <n v="3"/>
    <x v="0"/>
    <n v="1"/>
    <x v="418"/>
    <n v="1"/>
    <s v="Female"/>
    <n v="90"/>
    <n v="3"/>
    <x v="1"/>
    <x v="1"/>
    <n v="4"/>
    <s v="Divorced"/>
    <n v="2886"/>
    <n v="3032"/>
    <n v="1"/>
    <s v="Y"/>
    <x v="1"/>
    <n v="22"/>
    <n v="4"/>
    <n v="2"/>
    <n v="80"/>
    <n v="2"/>
    <n v="3"/>
    <n v="3"/>
    <n v="1"/>
    <n v="3"/>
    <n v="2"/>
    <n v="0"/>
    <n v="2"/>
    <n v="0"/>
    <x v="2"/>
  </r>
  <r>
    <n v="30"/>
    <s v="No"/>
    <s v="Non-Travel"/>
    <n v="1400"/>
    <x v="1"/>
    <n v="3"/>
    <n v="3"/>
    <x v="0"/>
    <n v="1"/>
    <x v="419"/>
    <n v="3"/>
    <s v="Male"/>
    <n v="53"/>
    <n v="3"/>
    <x v="1"/>
    <x v="2"/>
    <n v="4"/>
    <s v="Married"/>
    <n v="2097"/>
    <n v="16734"/>
    <n v="4"/>
    <s v="Y"/>
    <x v="1"/>
    <n v="15"/>
    <n v="3"/>
    <n v="3"/>
    <n v="80"/>
    <n v="1"/>
    <n v="9"/>
    <n v="3"/>
    <n v="1"/>
    <n v="5"/>
    <n v="3"/>
    <n v="1"/>
    <n v="4"/>
    <n v="0"/>
    <x v="2"/>
  </r>
  <r>
    <n v="29"/>
    <s v="No"/>
    <s v="Travel_Rarely"/>
    <n v="986"/>
    <x v="1"/>
    <n v="3"/>
    <n v="4"/>
    <x v="2"/>
    <n v="1"/>
    <x v="420"/>
    <n v="2"/>
    <s v="Male"/>
    <n v="93"/>
    <n v="2"/>
    <x v="2"/>
    <x v="7"/>
    <n v="3"/>
    <s v="Married"/>
    <n v="11935"/>
    <n v="21526"/>
    <n v="1"/>
    <s v="Y"/>
    <x v="1"/>
    <n v="18"/>
    <n v="3"/>
    <n v="3"/>
    <n v="80"/>
    <n v="0"/>
    <n v="10"/>
    <n v="2"/>
    <n v="3"/>
    <n v="10"/>
    <n v="2"/>
    <n v="0"/>
    <n v="7"/>
    <n v="0"/>
    <x v="2"/>
  </r>
  <r>
    <n v="29"/>
    <s v="Yes"/>
    <s v="Travel_Rarely"/>
    <n v="408"/>
    <x v="1"/>
    <n v="25"/>
    <n v="5"/>
    <x v="4"/>
    <n v="1"/>
    <x v="421"/>
    <n v="3"/>
    <s v="Female"/>
    <n v="71"/>
    <n v="2"/>
    <x v="1"/>
    <x v="1"/>
    <n v="2"/>
    <s v="Married"/>
    <n v="2546"/>
    <n v="18300"/>
    <n v="5"/>
    <s v="Y"/>
    <x v="1"/>
    <n v="16"/>
    <n v="3"/>
    <n v="2"/>
    <n v="80"/>
    <n v="0"/>
    <n v="6"/>
    <n v="2"/>
    <n v="4"/>
    <n v="2"/>
    <n v="2"/>
    <n v="1"/>
    <n v="1"/>
    <n v="1"/>
    <x v="2"/>
  </r>
  <r>
    <n v="19"/>
    <s v="Yes"/>
    <s v="Travel_Rarely"/>
    <n v="489"/>
    <x v="2"/>
    <n v="2"/>
    <n v="2"/>
    <x v="4"/>
    <n v="1"/>
    <x v="422"/>
    <n v="1"/>
    <s v="Male"/>
    <n v="52"/>
    <n v="2"/>
    <x v="1"/>
    <x v="8"/>
    <n v="4"/>
    <s v="Single"/>
    <n v="2564"/>
    <n v="18437"/>
    <n v="1"/>
    <s v="Y"/>
    <x v="1"/>
    <n v="12"/>
    <n v="3"/>
    <n v="3"/>
    <n v="80"/>
    <n v="0"/>
    <n v="1"/>
    <n v="3"/>
    <n v="4"/>
    <n v="1"/>
    <n v="0"/>
    <n v="0"/>
    <n v="0"/>
    <n v="1"/>
    <x v="4"/>
  </r>
  <r>
    <n v="30"/>
    <s v="No"/>
    <s v="Non-Travel"/>
    <n v="1398"/>
    <x v="0"/>
    <n v="22"/>
    <n v="4"/>
    <x v="1"/>
    <n v="1"/>
    <x v="423"/>
    <n v="3"/>
    <s v="Female"/>
    <n v="69"/>
    <n v="3"/>
    <x v="2"/>
    <x v="0"/>
    <n v="1"/>
    <s v="Married"/>
    <n v="8412"/>
    <n v="2890"/>
    <n v="0"/>
    <s v="Y"/>
    <x v="1"/>
    <n v="11"/>
    <n v="3"/>
    <n v="3"/>
    <n v="80"/>
    <n v="0"/>
    <n v="10"/>
    <n v="3"/>
    <n v="3"/>
    <n v="9"/>
    <n v="8"/>
    <n v="7"/>
    <n v="8"/>
    <n v="0"/>
    <x v="2"/>
  </r>
  <r>
    <n v="57"/>
    <s v="No"/>
    <s v="Travel_Rarely"/>
    <n v="210"/>
    <x v="0"/>
    <n v="29"/>
    <n v="3"/>
    <x v="3"/>
    <n v="1"/>
    <x v="424"/>
    <n v="1"/>
    <s v="Male"/>
    <n v="56"/>
    <n v="2"/>
    <x v="3"/>
    <x v="5"/>
    <n v="4"/>
    <s v="Divorced"/>
    <n v="14118"/>
    <n v="22102"/>
    <n v="3"/>
    <s v="Y"/>
    <x v="1"/>
    <n v="12"/>
    <n v="3"/>
    <n v="3"/>
    <n v="80"/>
    <n v="1"/>
    <n v="32"/>
    <n v="3"/>
    <n v="2"/>
    <n v="1"/>
    <n v="0"/>
    <n v="0"/>
    <n v="0"/>
    <n v="0"/>
    <x v="3"/>
  </r>
  <r>
    <n v="50"/>
    <s v="No"/>
    <s v="Travel_Rarely"/>
    <n v="1099"/>
    <x v="1"/>
    <n v="29"/>
    <n v="4"/>
    <x v="0"/>
    <n v="1"/>
    <x v="425"/>
    <n v="2"/>
    <s v="Male"/>
    <n v="88"/>
    <n v="2"/>
    <x v="3"/>
    <x v="5"/>
    <n v="3"/>
    <s v="Married"/>
    <n v="17046"/>
    <n v="9314"/>
    <n v="0"/>
    <s v="Y"/>
    <x v="1"/>
    <n v="15"/>
    <n v="3"/>
    <n v="2"/>
    <n v="80"/>
    <n v="1"/>
    <n v="28"/>
    <n v="2"/>
    <n v="3"/>
    <n v="27"/>
    <n v="10"/>
    <n v="15"/>
    <n v="7"/>
    <n v="0"/>
    <x v="1"/>
  </r>
  <r>
    <n v="30"/>
    <s v="No"/>
    <s v="Non-Travel"/>
    <n v="1116"/>
    <x v="1"/>
    <n v="2"/>
    <n v="3"/>
    <x v="2"/>
    <n v="1"/>
    <x v="426"/>
    <n v="3"/>
    <s v="Female"/>
    <n v="49"/>
    <n v="3"/>
    <x v="1"/>
    <x v="2"/>
    <n v="4"/>
    <s v="Single"/>
    <n v="2564"/>
    <n v="7181"/>
    <n v="0"/>
    <s v="Y"/>
    <x v="1"/>
    <n v="14"/>
    <n v="3"/>
    <n v="3"/>
    <n v="80"/>
    <n v="0"/>
    <n v="12"/>
    <n v="2"/>
    <n v="2"/>
    <n v="11"/>
    <n v="7"/>
    <n v="6"/>
    <n v="7"/>
    <n v="0"/>
    <x v="2"/>
  </r>
  <r>
    <n v="60"/>
    <s v="No"/>
    <s v="Travel_Frequently"/>
    <n v="1499"/>
    <x v="0"/>
    <n v="28"/>
    <n v="3"/>
    <x v="3"/>
    <n v="1"/>
    <x v="427"/>
    <n v="3"/>
    <s v="Female"/>
    <n v="80"/>
    <n v="2"/>
    <x v="2"/>
    <x v="0"/>
    <n v="1"/>
    <s v="Married"/>
    <n v="10266"/>
    <n v="2845"/>
    <n v="4"/>
    <s v="Y"/>
    <x v="1"/>
    <n v="19"/>
    <n v="3"/>
    <n v="4"/>
    <n v="80"/>
    <n v="0"/>
    <n v="22"/>
    <n v="5"/>
    <n v="4"/>
    <n v="18"/>
    <n v="13"/>
    <n v="13"/>
    <n v="11"/>
    <n v="0"/>
    <x v="3"/>
  </r>
  <r>
    <n v="47"/>
    <s v="No"/>
    <s v="Travel_Rarely"/>
    <n v="983"/>
    <x v="1"/>
    <n v="2"/>
    <n v="2"/>
    <x v="2"/>
    <n v="1"/>
    <x v="428"/>
    <n v="1"/>
    <s v="Female"/>
    <n v="65"/>
    <n v="3"/>
    <x v="0"/>
    <x v="3"/>
    <n v="4"/>
    <s v="Divorced"/>
    <n v="5070"/>
    <n v="7389"/>
    <n v="5"/>
    <s v="Y"/>
    <x v="1"/>
    <n v="13"/>
    <n v="3"/>
    <n v="3"/>
    <n v="80"/>
    <n v="3"/>
    <n v="20"/>
    <n v="2"/>
    <n v="3"/>
    <n v="5"/>
    <n v="0"/>
    <n v="0"/>
    <n v="4"/>
    <n v="0"/>
    <x v="1"/>
  </r>
  <r>
    <n v="46"/>
    <s v="No"/>
    <s v="Travel_Rarely"/>
    <n v="1009"/>
    <x v="1"/>
    <n v="2"/>
    <n v="3"/>
    <x v="0"/>
    <n v="1"/>
    <x v="429"/>
    <n v="1"/>
    <s v="Male"/>
    <n v="51"/>
    <n v="3"/>
    <x v="3"/>
    <x v="7"/>
    <n v="3"/>
    <s v="Married"/>
    <n v="17861"/>
    <n v="2288"/>
    <n v="6"/>
    <s v="Y"/>
    <x v="1"/>
    <n v="13"/>
    <n v="3"/>
    <n v="3"/>
    <n v="80"/>
    <n v="0"/>
    <n v="26"/>
    <n v="2"/>
    <n v="1"/>
    <n v="3"/>
    <n v="2"/>
    <n v="0"/>
    <n v="1"/>
    <n v="0"/>
    <x v="1"/>
  </r>
  <r>
    <n v="35"/>
    <s v="No"/>
    <s v="Travel_Rarely"/>
    <n v="144"/>
    <x v="1"/>
    <n v="22"/>
    <n v="3"/>
    <x v="0"/>
    <n v="1"/>
    <x v="430"/>
    <n v="4"/>
    <s v="Male"/>
    <n v="46"/>
    <n v="1"/>
    <x v="1"/>
    <x v="2"/>
    <n v="3"/>
    <s v="Single"/>
    <n v="4230"/>
    <n v="19225"/>
    <n v="0"/>
    <s v="Y"/>
    <x v="1"/>
    <n v="15"/>
    <n v="3"/>
    <n v="3"/>
    <n v="80"/>
    <n v="0"/>
    <n v="6"/>
    <n v="2"/>
    <n v="3"/>
    <n v="5"/>
    <n v="4"/>
    <n v="4"/>
    <n v="3"/>
    <n v="0"/>
    <x v="2"/>
  </r>
  <r>
    <n v="54"/>
    <s v="No"/>
    <s v="Travel_Rarely"/>
    <n v="548"/>
    <x v="1"/>
    <n v="8"/>
    <n v="4"/>
    <x v="0"/>
    <n v="1"/>
    <x v="431"/>
    <n v="3"/>
    <s v="Female"/>
    <n v="42"/>
    <n v="3"/>
    <x v="0"/>
    <x v="2"/>
    <n v="3"/>
    <s v="Single"/>
    <n v="3780"/>
    <n v="23428"/>
    <n v="7"/>
    <s v="Y"/>
    <x v="1"/>
    <n v="11"/>
    <n v="3"/>
    <n v="3"/>
    <n v="80"/>
    <n v="0"/>
    <n v="19"/>
    <n v="3"/>
    <n v="3"/>
    <n v="1"/>
    <n v="0"/>
    <n v="0"/>
    <n v="0"/>
    <n v="0"/>
    <x v="1"/>
  </r>
  <r>
    <n v="34"/>
    <s v="No"/>
    <s v="Travel_Rarely"/>
    <n v="1303"/>
    <x v="1"/>
    <n v="2"/>
    <n v="4"/>
    <x v="0"/>
    <n v="1"/>
    <x v="432"/>
    <n v="4"/>
    <s v="Male"/>
    <n v="62"/>
    <n v="2"/>
    <x v="1"/>
    <x v="1"/>
    <n v="3"/>
    <s v="Divorced"/>
    <n v="2768"/>
    <n v="8416"/>
    <n v="3"/>
    <s v="Y"/>
    <x v="1"/>
    <n v="12"/>
    <n v="3"/>
    <n v="3"/>
    <n v="80"/>
    <n v="1"/>
    <n v="14"/>
    <n v="3"/>
    <n v="3"/>
    <n v="7"/>
    <n v="3"/>
    <n v="5"/>
    <n v="7"/>
    <n v="0"/>
    <x v="2"/>
  </r>
  <r>
    <n v="46"/>
    <s v="No"/>
    <s v="Travel_Rarely"/>
    <n v="1125"/>
    <x v="0"/>
    <n v="10"/>
    <n v="3"/>
    <x v="3"/>
    <n v="1"/>
    <x v="433"/>
    <n v="3"/>
    <s v="Female"/>
    <n v="94"/>
    <n v="2"/>
    <x v="2"/>
    <x v="0"/>
    <n v="4"/>
    <s v="Married"/>
    <n v="9071"/>
    <n v="11563"/>
    <n v="2"/>
    <s v="Y"/>
    <x v="0"/>
    <n v="19"/>
    <n v="3"/>
    <n v="3"/>
    <n v="80"/>
    <n v="1"/>
    <n v="15"/>
    <n v="3"/>
    <n v="3"/>
    <n v="3"/>
    <n v="2"/>
    <n v="1"/>
    <n v="2"/>
    <n v="0"/>
    <x v="1"/>
  </r>
  <r>
    <n v="31"/>
    <s v="No"/>
    <s v="Travel_Rarely"/>
    <n v="1274"/>
    <x v="1"/>
    <n v="9"/>
    <n v="1"/>
    <x v="0"/>
    <n v="1"/>
    <x v="434"/>
    <n v="3"/>
    <s v="Male"/>
    <n v="33"/>
    <n v="3"/>
    <x v="2"/>
    <x v="3"/>
    <n v="2"/>
    <s v="Divorced"/>
    <n v="10648"/>
    <n v="14394"/>
    <n v="1"/>
    <s v="Y"/>
    <x v="1"/>
    <n v="25"/>
    <n v="4"/>
    <n v="4"/>
    <n v="80"/>
    <n v="1"/>
    <n v="13"/>
    <n v="6"/>
    <n v="4"/>
    <n v="13"/>
    <n v="8"/>
    <n v="0"/>
    <n v="8"/>
    <n v="0"/>
    <x v="2"/>
  </r>
  <r>
    <n v="33"/>
    <s v="Yes"/>
    <s v="Travel_Rarely"/>
    <n v="1277"/>
    <x v="1"/>
    <n v="15"/>
    <n v="1"/>
    <x v="2"/>
    <n v="1"/>
    <x v="435"/>
    <n v="2"/>
    <s v="Male"/>
    <n v="56"/>
    <n v="3"/>
    <x v="2"/>
    <x v="5"/>
    <n v="3"/>
    <s v="Married"/>
    <n v="13610"/>
    <n v="24619"/>
    <n v="7"/>
    <s v="Y"/>
    <x v="0"/>
    <n v="12"/>
    <n v="3"/>
    <n v="4"/>
    <n v="80"/>
    <n v="0"/>
    <n v="15"/>
    <n v="2"/>
    <n v="4"/>
    <n v="7"/>
    <n v="6"/>
    <n v="7"/>
    <n v="7"/>
    <n v="1"/>
    <x v="2"/>
  </r>
  <r>
    <n v="33"/>
    <s v="Yes"/>
    <s v="Travel_Rarely"/>
    <n v="587"/>
    <x v="1"/>
    <n v="10"/>
    <n v="1"/>
    <x v="2"/>
    <n v="1"/>
    <x v="436"/>
    <n v="1"/>
    <s v="Male"/>
    <n v="38"/>
    <n v="1"/>
    <x v="1"/>
    <x v="2"/>
    <n v="4"/>
    <s v="Divorced"/>
    <n v="3408"/>
    <n v="6705"/>
    <n v="7"/>
    <s v="Y"/>
    <x v="1"/>
    <n v="13"/>
    <n v="3"/>
    <n v="1"/>
    <n v="80"/>
    <n v="3"/>
    <n v="8"/>
    <n v="2"/>
    <n v="3"/>
    <n v="4"/>
    <n v="3"/>
    <n v="1"/>
    <n v="3"/>
    <n v="1"/>
    <x v="2"/>
  </r>
  <r>
    <n v="30"/>
    <s v="No"/>
    <s v="Travel_Rarely"/>
    <n v="413"/>
    <x v="0"/>
    <n v="7"/>
    <n v="1"/>
    <x v="3"/>
    <n v="1"/>
    <x v="437"/>
    <n v="4"/>
    <s v="Male"/>
    <n v="57"/>
    <n v="3"/>
    <x v="1"/>
    <x v="6"/>
    <n v="2"/>
    <s v="Single"/>
    <n v="2983"/>
    <n v="18398"/>
    <n v="0"/>
    <s v="Y"/>
    <x v="1"/>
    <n v="14"/>
    <n v="3"/>
    <n v="1"/>
    <n v="80"/>
    <n v="0"/>
    <n v="4"/>
    <n v="3"/>
    <n v="3"/>
    <n v="3"/>
    <n v="2"/>
    <n v="1"/>
    <n v="2"/>
    <n v="0"/>
    <x v="2"/>
  </r>
  <r>
    <n v="35"/>
    <s v="No"/>
    <s v="Travel_Rarely"/>
    <n v="1276"/>
    <x v="1"/>
    <n v="16"/>
    <n v="3"/>
    <x v="0"/>
    <n v="1"/>
    <x v="438"/>
    <n v="4"/>
    <s v="Male"/>
    <n v="72"/>
    <n v="3"/>
    <x v="2"/>
    <x v="4"/>
    <n v="3"/>
    <s v="Married"/>
    <n v="7632"/>
    <n v="14295"/>
    <n v="4"/>
    <s v="Y"/>
    <x v="0"/>
    <n v="12"/>
    <n v="3"/>
    <n v="3"/>
    <n v="80"/>
    <n v="0"/>
    <n v="10"/>
    <n v="2"/>
    <n v="3"/>
    <n v="8"/>
    <n v="7"/>
    <n v="0"/>
    <n v="0"/>
    <n v="0"/>
    <x v="2"/>
  </r>
  <r>
    <n v="31"/>
    <s v="Yes"/>
    <s v="Travel_Frequently"/>
    <n v="534"/>
    <x v="1"/>
    <n v="20"/>
    <n v="3"/>
    <x v="0"/>
    <n v="1"/>
    <x v="439"/>
    <n v="1"/>
    <s v="Male"/>
    <n v="66"/>
    <n v="3"/>
    <x v="2"/>
    <x v="4"/>
    <n v="3"/>
    <s v="Married"/>
    <n v="9824"/>
    <n v="22908"/>
    <n v="3"/>
    <s v="Y"/>
    <x v="1"/>
    <n v="12"/>
    <n v="3"/>
    <n v="1"/>
    <n v="80"/>
    <n v="0"/>
    <n v="12"/>
    <n v="2"/>
    <n v="3"/>
    <n v="1"/>
    <n v="0"/>
    <n v="0"/>
    <n v="0"/>
    <n v="1"/>
    <x v="2"/>
  </r>
  <r>
    <n v="34"/>
    <s v="Yes"/>
    <s v="Travel_Frequently"/>
    <n v="988"/>
    <x v="2"/>
    <n v="23"/>
    <n v="3"/>
    <x v="5"/>
    <n v="1"/>
    <x v="440"/>
    <n v="2"/>
    <s v="Female"/>
    <n v="43"/>
    <n v="3"/>
    <x v="2"/>
    <x v="8"/>
    <n v="1"/>
    <s v="Divorced"/>
    <n v="9950"/>
    <n v="11533"/>
    <n v="9"/>
    <s v="Y"/>
    <x v="0"/>
    <n v="15"/>
    <n v="3"/>
    <n v="3"/>
    <n v="80"/>
    <n v="3"/>
    <n v="11"/>
    <n v="2"/>
    <n v="3"/>
    <n v="3"/>
    <n v="2"/>
    <n v="0"/>
    <n v="2"/>
    <n v="1"/>
    <x v="2"/>
  </r>
  <r>
    <n v="42"/>
    <s v="No"/>
    <s v="Travel_Frequently"/>
    <n v="1474"/>
    <x v="1"/>
    <n v="5"/>
    <n v="2"/>
    <x v="1"/>
    <n v="1"/>
    <x v="441"/>
    <n v="2"/>
    <s v="Male"/>
    <n v="97"/>
    <n v="3"/>
    <x v="1"/>
    <x v="2"/>
    <n v="3"/>
    <s v="Married"/>
    <n v="2093"/>
    <n v="9260"/>
    <n v="4"/>
    <s v="Y"/>
    <x v="1"/>
    <n v="17"/>
    <n v="3"/>
    <n v="4"/>
    <n v="80"/>
    <n v="1"/>
    <n v="8"/>
    <n v="4"/>
    <n v="3"/>
    <n v="2"/>
    <n v="2"/>
    <n v="2"/>
    <n v="0"/>
    <n v="0"/>
    <x v="0"/>
  </r>
  <r>
    <n v="36"/>
    <s v="No"/>
    <s v="Non-Travel"/>
    <n v="635"/>
    <x v="0"/>
    <n v="10"/>
    <n v="4"/>
    <x v="2"/>
    <n v="1"/>
    <x v="442"/>
    <n v="2"/>
    <s v="Male"/>
    <n v="32"/>
    <n v="3"/>
    <x v="2"/>
    <x v="0"/>
    <n v="4"/>
    <s v="Single"/>
    <n v="9980"/>
    <n v="15318"/>
    <n v="1"/>
    <s v="Y"/>
    <x v="1"/>
    <n v="14"/>
    <n v="3"/>
    <n v="4"/>
    <n v="80"/>
    <n v="0"/>
    <n v="10"/>
    <n v="3"/>
    <n v="2"/>
    <n v="10"/>
    <n v="3"/>
    <n v="9"/>
    <n v="7"/>
    <n v="0"/>
    <x v="0"/>
  </r>
  <r>
    <n v="22"/>
    <s v="Yes"/>
    <s v="Travel_Frequently"/>
    <n v="1368"/>
    <x v="1"/>
    <n v="4"/>
    <n v="1"/>
    <x v="4"/>
    <n v="1"/>
    <x v="443"/>
    <n v="3"/>
    <s v="Male"/>
    <n v="99"/>
    <n v="2"/>
    <x v="1"/>
    <x v="2"/>
    <n v="3"/>
    <s v="Single"/>
    <n v="3894"/>
    <n v="9129"/>
    <n v="5"/>
    <s v="Y"/>
    <x v="1"/>
    <n v="16"/>
    <n v="3"/>
    <n v="3"/>
    <n v="80"/>
    <n v="0"/>
    <n v="4"/>
    <n v="3"/>
    <n v="3"/>
    <n v="2"/>
    <n v="2"/>
    <n v="1"/>
    <n v="2"/>
    <n v="1"/>
    <x v="4"/>
  </r>
  <r>
    <n v="48"/>
    <s v="No"/>
    <s v="Travel_Rarely"/>
    <n v="163"/>
    <x v="0"/>
    <n v="2"/>
    <n v="5"/>
    <x v="3"/>
    <n v="1"/>
    <x v="444"/>
    <n v="2"/>
    <s v="Female"/>
    <n v="37"/>
    <n v="3"/>
    <x v="0"/>
    <x v="0"/>
    <n v="4"/>
    <s v="Married"/>
    <n v="4051"/>
    <n v="19658"/>
    <n v="2"/>
    <s v="Y"/>
    <x v="1"/>
    <n v="14"/>
    <n v="3"/>
    <n v="1"/>
    <n v="80"/>
    <n v="1"/>
    <n v="14"/>
    <n v="2"/>
    <n v="3"/>
    <n v="9"/>
    <n v="7"/>
    <n v="6"/>
    <n v="7"/>
    <n v="0"/>
    <x v="1"/>
  </r>
  <r>
    <n v="55"/>
    <s v="No"/>
    <s v="Travel_Rarely"/>
    <n v="1117"/>
    <x v="0"/>
    <n v="18"/>
    <n v="5"/>
    <x v="0"/>
    <n v="1"/>
    <x v="445"/>
    <n v="1"/>
    <s v="Female"/>
    <n v="83"/>
    <n v="3"/>
    <x v="3"/>
    <x v="5"/>
    <n v="2"/>
    <s v="Single"/>
    <n v="16835"/>
    <n v="9873"/>
    <n v="3"/>
    <s v="Y"/>
    <x v="1"/>
    <n v="23"/>
    <n v="4"/>
    <n v="4"/>
    <n v="80"/>
    <n v="0"/>
    <n v="37"/>
    <n v="2"/>
    <n v="3"/>
    <n v="10"/>
    <n v="9"/>
    <n v="7"/>
    <n v="7"/>
    <n v="0"/>
    <x v="1"/>
  </r>
  <r>
    <n v="41"/>
    <s v="No"/>
    <s v="Non-Travel"/>
    <n v="267"/>
    <x v="0"/>
    <n v="10"/>
    <n v="2"/>
    <x v="0"/>
    <n v="1"/>
    <x v="446"/>
    <n v="4"/>
    <s v="Male"/>
    <n v="56"/>
    <n v="3"/>
    <x v="0"/>
    <x v="0"/>
    <n v="4"/>
    <s v="Single"/>
    <n v="6230"/>
    <n v="13430"/>
    <n v="7"/>
    <s v="Y"/>
    <x v="1"/>
    <n v="14"/>
    <n v="3"/>
    <n v="4"/>
    <n v="80"/>
    <n v="0"/>
    <n v="16"/>
    <n v="3"/>
    <n v="3"/>
    <n v="14"/>
    <n v="3"/>
    <n v="1"/>
    <n v="10"/>
    <n v="0"/>
    <x v="0"/>
  </r>
  <r>
    <n v="35"/>
    <s v="No"/>
    <s v="Travel_Rarely"/>
    <n v="619"/>
    <x v="0"/>
    <n v="1"/>
    <n v="3"/>
    <x v="3"/>
    <n v="1"/>
    <x v="447"/>
    <n v="2"/>
    <s v="Male"/>
    <n v="85"/>
    <n v="3"/>
    <x v="0"/>
    <x v="0"/>
    <n v="3"/>
    <s v="Married"/>
    <n v="4717"/>
    <n v="18659"/>
    <n v="9"/>
    <s v="Y"/>
    <x v="1"/>
    <n v="11"/>
    <n v="3"/>
    <n v="3"/>
    <n v="80"/>
    <n v="0"/>
    <n v="15"/>
    <n v="2"/>
    <n v="3"/>
    <n v="11"/>
    <n v="9"/>
    <n v="6"/>
    <n v="9"/>
    <n v="0"/>
    <x v="2"/>
  </r>
  <r>
    <n v="40"/>
    <s v="No"/>
    <s v="Travel_Rarely"/>
    <n v="302"/>
    <x v="1"/>
    <n v="6"/>
    <n v="3"/>
    <x v="0"/>
    <n v="1"/>
    <x v="448"/>
    <n v="2"/>
    <s v="Female"/>
    <n v="75"/>
    <n v="3"/>
    <x v="3"/>
    <x v="3"/>
    <n v="3"/>
    <s v="Single"/>
    <n v="13237"/>
    <n v="20364"/>
    <n v="7"/>
    <s v="Y"/>
    <x v="1"/>
    <n v="15"/>
    <n v="3"/>
    <n v="3"/>
    <n v="80"/>
    <n v="0"/>
    <n v="22"/>
    <n v="3"/>
    <n v="3"/>
    <n v="20"/>
    <n v="6"/>
    <n v="5"/>
    <n v="13"/>
    <n v="0"/>
    <x v="0"/>
  </r>
  <r>
    <n v="39"/>
    <s v="No"/>
    <s v="Travel_Frequently"/>
    <n v="443"/>
    <x v="1"/>
    <n v="8"/>
    <n v="1"/>
    <x v="0"/>
    <n v="1"/>
    <x v="449"/>
    <n v="3"/>
    <s v="Female"/>
    <n v="48"/>
    <n v="3"/>
    <x v="1"/>
    <x v="2"/>
    <n v="3"/>
    <s v="Married"/>
    <n v="3755"/>
    <n v="17872"/>
    <n v="1"/>
    <s v="Y"/>
    <x v="1"/>
    <n v="11"/>
    <n v="3"/>
    <n v="1"/>
    <n v="80"/>
    <n v="1"/>
    <n v="8"/>
    <n v="3"/>
    <n v="3"/>
    <n v="8"/>
    <n v="3"/>
    <n v="0"/>
    <n v="7"/>
    <n v="0"/>
    <x v="0"/>
  </r>
  <r>
    <n v="31"/>
    <s v="No"/>
    <s v="Travel_Rarely"/>
    <n v="828"/>
    <x v="0"/>
    <n v="2"/>
    <n v="1"/>
    <x v="0"/>
    <n v="1"/>
    <x v="450"/>
    <n v="2"/>
    <s v="Male"/>
    <n v="77"/>
    <n v="3"/>
    <x v="0"/>
    <x v="0"/>
    <n v="4"/>
    <s v="Single"/>
    <n v="6582"/>
    <n v="8346"/>
    <n v="4"/>
    <s v="Y"/>
    <x v="0"/>
    <n v="13"/>
    <n v="3"/>
    <n v="3"/>
    <n v="80"/>
    <n v="0"/>
    <n v="10"/>
    <n v="2"/>
    <n v="4"/>
    <n v="6"/>
    <n v="5"/>
    <n v="0"/>
    <n v="5"/>
    <n v="0"/>
    <x v="2"/>
  </r>
  <r>
    <n v="42"/>
    <s v="No"/>
    <s v="Travel_Rarely"/>
    <n v="319"/>
    <x v="1"/>
    <n v="24"/>
    <n v="3"/>
    <x v="2"/>
    <n v="1"/>
    <x v="451"/>
    <n v="4"/>
    <s v="Male"/>
    <n v="56"/>
    <n v="3"/>
    <x v="2"/>
    <x v="3"/>
    <n v="1"/>
    <s v="Married"/>
    <n v="7406"/>
    <n v="6950"/>
    <n v="1"/>
    <s v="Y"/>
    <x v="0"/>
    <n v="21"/>
    <n v="4"/>
    <n v="4"/>
    <n v="80"/>
    <n v="1"/>
    <n v="10"/>
    <n v="5"/>
    <n v="2"/>
    <n v="10"/>
    <n v="9"/>
    <n v="5"/>
    <n v="8"/>
    <n v="0"/>
    <x v="0"/>
  </r>
  <r>
    <n v="45"/>
    <s v="No"/>
    <s v="Travel_Rarely"/>
    <n v="561"/>
    <x v="0"/>
    <n v="2"/>
    <n v="3"/>
    <x v="1"/>
    <n v="1"/>
    <x v="452"/>
    <n v="4"/>
    <s v="Male"/>
    <n v="61"/>
    <n v="3"/>
    <x v="0"/>
    <x v="0"/>
    <n v="2"/>
    <s v="Married"/>
    <n v="4805"/>
    <n v="16177"/>
    <n v="0"/>
    <s v="Y"/>
    <x v="1"/>
    <n v="19"/>
    <n v="3"/>
    <n v="2"/>
    <n v="80"/>
    <n v="1"/>
    <n v="9"/>
    <n v="3"/>
    <n v="4"/>
    <n v="8"/>
    <n v="7"/>
    <n v="3"/>
    <n v="7"/>
    <n v="0"/>
    <x v="0"/>
  </r>
  <r>
    <n v="26"/>
    <s v="Yes"/>
    <s v="Travel_Frequently"/>
    <n v="426"/>
    <x v="2"/>
    <n v="17"/>
    <n v="4"/>
    <x v="0"/>
    <n v="1"/>
    <x v="453"/>
    <n v="2"/>
    <s v="Female"/>
    <n v="58"/>
    <n v="3"/>
    <x v="1"/>
    <x v="8"/>
    <n v="3"/>
    <s v="Divorced"/>
    <n v="2741"/>
    <n v="22808"/>
    <n v="0"/>
    <s v="Y"/>
    <x v="0"/>
    <n v="11"/>
    <n v="3"/>
    <n v="2"/>
    <n v="80"/>
    <n v="1"/>
    <n v="8"/>
    <n v="2"/>
    <n v="2"/>
    <n v="7"/>
    <n v="7"/>
    <n v="1"/>
    <n v="0"/>
    <n v="1"/>
    <x v="2"/>
  </r>
  <r>
    <n v="29"/>
    <s v="No"/>
    <s v="Travel_Rarely"/>
    <n v="232"/>
    <x v="1"/>
    <n v="19"/>
    <n v="3"/>
    <x v="4"/>
    <n v="1"/>
    <x v="454"/>
    <n v="4"/>
    <s v="Male"/>
    <n v="34"/>
    <n v="3"/>
    <x v="0"/>
    <x v="3"/>
    <n v="4"/>
    <s v="Divorced"/>
    <n v="4262"/>
    <n v="22645"/>
    <n v="4"/>
    <s v="Y"/>
    <x v="1"/>
    <n v="12"/>
    <n v="3"/>
    <n v="2"/>
    <n v="80"/>
    <n v="2"/>
    <n v="8"/>
    <n v="2"/>
    <n v="4"/>
    <n v="3"/>
    <n v="2"/>
    <n v="1"/>
    <n v="2"/>
    <n v="0"/>
    <x v="2"/>
  </r>
  <r>
    <n v="33"/>
    <s v="No"/>
    <s v="Travel_Rarely"/>
    <n v="922"/>
    <x v="1"/>
    <n v="1"/>
    <n v="5"/>
    <x v="2"/>
    <n v="1"/>
    <x v="455"/>
    <n v="1"/>
    <s v="Female"/>
    <n v="95"/>
    <n v="4"/>
    <x v="3"/>
    <x v="7"/>
    <n v="3"/>
    <s v="Divorced"/>
    <n v="16184"/>
    <n v="22578"/>
    <n v="4"/>
    <s v="Y"/>
    <x v="1"/>
    <n v="19"/>
    <n v="3"/>
    <n v="3"/>
    <n v="80"/>
    <n v="1"/>
    <n v="10"/>
    <n v="2"/>
    <n v="3"/>
    <n v="6"/>
    <n v="1"/>
    <n v="0"/>
    <n v="5"/>
    <n v="0"/>
    <x v="2"/>
  </r>
  <r>
    <n v="31"/>
    <s v="No"/>
    <s v="Travel_Rarely"/>
    <n v="688"/>
    <x v="0"/>
    <n v="7"/>
    <n v="3"/>
    <x v="0"/>
    <n v="1"/>
    <x v="456"/>
    <n v="3"/>
    <s v="Male"/>
    <n v="44"/>
    <n v="2"/>
    <x v="2"/>
    <x v="5"/>
    <n v="4"/>
    <s v="Divorced"/>
    <n v="11557"/>
    <n v="25291"/>
    <n v="9"/>
    <s v="Y"/>
    <x v="1"/>
    <n v="21"/>
    <n v="4"/>
    <n v="3"/>
    <n v="80"/>
    <n v="1"/>
    <n v="10"/>
    <n v="3"/>
    <n v="2"/>
    <n v="5"/>
    <n v="4"/>
    <n v="0"/>
    <n v="1"/>
    <n v="0"/>
    <x v="2"/>
  </r>
  <r>
    <n v="18"/>
    <s v="Yes"/>
    <s v="Travel_Frequently"/>
    <n v="1306"/>
    <x v="0"/>
    <n v="5"/>
    <n v="3"/>
    <x v="3"/>
    <n v="1"/>
    <x v="457"/>
    <n v="2"/>
    <s v="Male"/>
    <n v="69"/>
    <n v="3"/>
    <x v="1"/>
    <x v="6"/>
    <n v="2"/>
    <s v="Single"/>
    <n v="1878"/>
    <n v="8059"/>
    <n v="1"/>
    <s v="Y"/>
    <x v="0"/>
    <n v="14"/>
    <n v="3"/>
    <n v="4"/>
    <n v="80"/>
    <n v="0"/>
    <n v="0"/>
    <n v="3"/>
    <n v="3"/>
    <n v="0"/>
    <n v="0"/>
    <n v="0"/>
    <n v="0"/>
    <n v="1"/>
    <x v="4"/>
  </r>
  <r>
    <n v="40"/>
    <s v="No"/>
    <s v="Non-Travel"/>
    <n v="1094"/>
    <x v="0"/>
    <n v="28"/>
    <n v="3"/>
    <x v="1"/>
    <n v="1"/>
    <x v="458"/>
    <n v="3"/>
    <s v="Male"/>
    <n v="58"/>
    <n v="1"/>
    <x v="2"/>
    <x v="0"/>
    <n v="1"/>
    <s v="Divorced"/>
    <n v="10932"/>
    <n v="11373"/>
    <n v="3"/>
    <s v="Y"/>
    <x v="1"/>
    <n v="15"/>
    <n v="3"/>
    <n v="3"/>
    <n v="80"/>
    <n v="1"/>
    <n v="20"/>
    <n v="2"/>
    <n v="3"/>
    <n v="1"/>
    <n v="0"/>
    <n v="0"/>
    <n v="1"/>
    <n v="0"/>
    <x v="0"/>
  </r>
  <r>
    <n v="41"/>
    <s v="No"/>
    <s v="Non-Travel"/>
    <n v="509"/>
    <x v="1"/>
    <n v="2"/>
    <n v="4"/>
    <x v="1"/>
    <n v="1"/>
    <x v="459"/>
    <n v="1"/>
    <s v="Female"/>
    <n v="62"/>
    <n v="2"/>
    <x v="0"/>
    <x v="4"/>
    <n v="3"/>
    <s v="Single"/>
    <n v="6811"/>
    <n v="2112"/>
    <n v="2"/>
    <s v="Y"/>
    <x v="0"/>
    <n v="17"/>
    <n v="3"/>
    <n v="1"/>
    <n v="80"/>
    <n v="0"/>
    <n v="10"/>
    <n v="3"/>
    <n v="3"/>
    <n v="8"/>
    <n v="7"/>
    <n v="0"/>
    <n v="7"/>
    <n v="0"/>
    <x v="0"/>
  </r>
  <r>
    <n v="26"/>
    <s v="No"/>
    <s v="Travel_Rarely"/>
    <n v="775"/>
    <x v="0"/>
    <n v="29"/>
    <n v="2"/>
    <x v="2"/>
    <n v="1"/>
    <x v="460"/>
    <n v="1"/>
    <s v="Male"/>
    <n v="45"/>
    <n v="3"/>
    <x v="0"/>
    <x v="0"/>
    <n v="3"/>
    <s v="Divorced"/>
    <n v="4306"/>
    <n v="4267"/>
    <n v="5"/>
    <s v="Y"/>
    <x v="1"/>
    <n v="12"/>
    <n v="3"/>
    <n v="1"/>
    <n v="80"/>
    <n v="2"/>
    <n v="8"/>
    <n v="5"/>
    <n v="3"/>
    <n v="0"/>
    <n v="0"/>
    <n v="0"/>
    <n v="0"/>
    <n v="0"/>
    <x v="2"/>
  </r>
  <r>
    <n v="35"/>
    <s v="No"/>
    <s v="Travel_Rarely"/>
    <n v="195"/>
    <x v="0"/>
    <n v="1"/>
    <n v="3"/>
    <x v="2"/>
    <n v="1"/>
    <x v="461"/>
    <n v="1"/>
    <s v="Female"/>
    <n v="80"/>
    <n v="3"/>
    <x v="0"/>
    <x v="0"/>
    <n v="3"/>
    <s v="Single"/>
    <n v="4859"/>
    <n v="6698"/>
    <n v="1"/>
    <s v="Y"/>
    <x v="1"/>
    <n v="16"/>
    <n v="3"/>
    <n v="4"/>
    <n v="80"/>
    <n v="0"/>
    <n v="5"/>
    <n v="3"/>
    <n v="3"/>
    <n v="5"/>
    <n v="4"/>
    <n v="0"/>
    <n v="3"/>
    <n v="0"/>
    <x v="2"/>
  </r>
  <r>
    <n v="34"/>
    <s v="No"/>
    <s v="Travel_Rarely"/>
    <n v="258"/>
    <x v="0"/>
    <n v="21"/>
    <n v="4"/>
    <x v="0"/>
    <n v="1"/>
    <x v="462"/>
    <n v="4"/>
    <s v="Male"/>
    <n v="74"/>
    <n v="4"/>
    <x v="0"/>
    <x v="0"/>
    <n v="4"/>
    <s v="Single"/>
    <n v="5337"/>
    <n v="19921"/>
    <n v="1"/>
    <s v="Y"/>
    <x v="1"/>
    <n v="12"/>
    <n v="3"/>
    <n v="4"/>
    <n v="80"/>
    <n v="0"/>
    <n v="10"/>
    <n v="3"/>
    <n v="3"/>
    <n v="10"/>
    <n v="7"/>
    <n v="5"/>
    <n v="7"/>
    <n v="0"/>
    <x v="2"/>
  </r>
  <r>
    <n v="26"/>
    <s v="Yes"/>
    <s v="Travel_Rarely"/>
    <n v="471"/>
    <x v="1"/>
    <n v="24"/>
    <n v="3"/>
    <x v="4"/>
    <n v="1"/>
    <x v="463"/>
    <n v="3"/>
    <s v="Male"/>
    <n v="66"/>
    <n v="1"/>
    <x v="1"/>
    <x v="2"/>
    <n v="4"/>
    <s v="Single"/>
    <n v="2340"/>
    <n v="23213"/>
    <n v="1"/>
    <s v="Y"/>
    <x v="0"/>
    <n v="18"/>
    <n v="3"/>
    <n v="2"/>
    <n v="80"/>
    <n v="0"/>
    <n v="1"/>
    <n v="3"/>
    <n v="1"/>
    <n v="1"/>
    <n v="0"/>
    <n v="0"/>
    <n v="0"/>
    <n v="1"/>
    <x v="2"/>
  </r>
  <r>
    <n v="37"/>
    <s v="No"/>
    <s v="Travel_Rarely"/>
    <n v="799"/>
    <x v="1"/>
    <n v="1"/>
    <n v="3"/>
    <x v="4"/>
    <n v="1"/>
    <x v="464"/>
    <n v="2"/>
    <s v="Female"/>
    <n v="59"/>
    <n v="3"/>
    <x v="2"/>
    <x v="3"/>
    <n v="4"/>
    <s v="Single"/>
    <n v="7491"/>
    <n v="23848"/>
    <n v="4"/>
    <s v="Y"/>
    <x v="1"/>
    <n v="17"/>
    <n v="3"/>
    <n v="4"/>
    <n v="80"/>
    <n v="0"/>
    <n v="12"/>
    <n v="3"/>
    <n v="4"/>
    <n v="6"/>
    <n v="5"/>
    <n v="1"/>
    <n v="2"/>
    <n v="0"/>
    <x v="0"/>
  </r>
  <r>
    <n v="46"/>
    <s v="No"/>
    <s v="Travel_Frequently"/>
    <n v="1034"/>
    <x v="1"/>
    <n v="18"/>
    <n v="1"/>
    <x v="2"/>
    <n v="1"/>
    <x v="465"/>
    <n v="1"/>
    <s v="Female"/>
    <n v="86"/>
    <n v="3"/>
    <x v="2"/>
    <x v="4"/>
    <n v="3"/>
    <s v="Married"/>
    <n v="10527"/>
    <n v="8984"/>
    <n v="5"/>
    <s v="Y"/>
    <x v="1"/>
    <n v="11"/>
    <n v="3"/>
    <n v="4"/>
    <n v="80"/>
    <n v="0"/>
    <n v="28"/>
    <n v="3"/>
    <n v="2"/>
    <n v="2"/>
    <n v="2"/>
    <n v="1"/>
    <n v="2"/>
    <n v="0"/>
    <x v="1"/>
  </r>
  <r>
    <n v="41"/>
    <s v="No"/>
    <s v="Travel_Rarely"/>
    <n v="1276"/>
    <x v="0"/>
    <n v="2"/>
    <n v="5"/>
    <x v="0"/>
    <n v="1"/>
    <x v="466"/>
    <n v="2"/>
    <s v="Female"/>
    <n v="91"/>
    <n v="3"/>
    <x v="3"/>
    <x v="5"/>
    <n v="1"/>
    <s v="Married"/>
    <n v="16595"/>
    <n v="5626"/>
    <n v="7"/>
    <s v="Y"/>
    <x v="1"/>
    <n v="16"/>
    <n v="3"/>
    <n v="2"/>
    <n v="80"/>
    <n v="1"/>
    <n v="22"/>
    <n v="2"/>
    <n v="3"/>
    <n v="18"/>
    <n v="16"/>
    <n v="11"/>
    <n v="8"/>
    <n v="0"/>
    <x v="0"/>
  </r>
  <r>
    <n v="37"/>
    <s v="No"/>
    <s v="Non-Travel"/>
    <n v="142"/>
    <x v="0"/>
    <n v="9"/>
    <n v="4"/>
    <x v="2"/>
    <n v="1"/>
    <x v="467"/>
    <n v="1"/>
    <s v="Male"/>
    <n v="69"/>
    <n v="3"/>
    <x v="2"/>
    <x v="0"/>
    <n v="2"/>
    <s v="Divorced"/>
    <n v="8834"/>
    <n v="24666"/>
    <n v="1"/>
    <s v="Y"/>
    <x v="1"/>
    <n v="13"/>
    <n v="3"/>
    <n v="4"/>
    <n v="80"/>
    <n v="1"/>
    <n v="9"/>
    <n v="6"/>
    <n v="3"/>
    <n v="9"/>
    <n v="5"/>
    <n v="7"/>
    <n v="7"/>
    <n v="0"/>
    <x v="0"/>
  </r>
  <r>
    <n v="52"/>
    <s v="No"/>
    <s v="Travel_Rarely"/>
    <n v="956"/>
    <x v="1"/>
    <n v="6"/>
    <n v="2"/>
    <x v="4"/>
    <n v="1"/>
    <x v="468"/>
    <n v="4"/>
    <s v="Male"/>
    <n v="78"/>
    <n v="3"/>
    <x v="0"/>
    <x v="1"/>
    <n v="1"/>
    <s v="Divorced"/>
    <n v="5577"/>
    <n v="22087"/>
    <n v="3"/>
    <s v="Y"/>
    <x v="0"/>
    <n v="12"/>
    <n v="3"/>
    <n v="2"/>
    <n v="80"/>
    <n v="2"/>
    <n v="18"/>
    <n v="3"/>
    <n v="3"/>
    <n v="10"/>
    <n v="9"/>
    <n v="6"/>
    <n v="9"/>
    <n v="0"/>
    <x v="1"/>
  </r>
  <r>
    <n v="32"/>
    <s v="Yes"/>
    <s v="Non-Travel"/>
    <n v="1474"/>
    <x v="0"/>
    <n v="11"/>
    <n v="4"/>
    <x v="1"/>
    <n v="1"/>
    <x v="469"/>
    <n v="4"/>
    <s v="Male"/>
    <n v="60"/>
    <n v="4"/>
    <x v="0"/>
    <x v="0"/>
    <n v="3"/>
    <s v="Married"/>
    <n v="4707"/>
    <n v="23914"/>
    <n v="8"/>
    <s v="Y"/>
    <x v="1"/>
    <n v="12"/>
    <n v="3"/>
    <n v="4"/>
    <n v="80"/>
    <n v="0"/>
    <n v="6"/>
    <n v="2"/>
    <n v="3"/>
    <n v="4"/>
    <n v="2"/>
    <n v="1"/>
    <n v="2"/>
    <n v="1"/>
    <x v="2"/>
  </r>
  <r>
    <n v="24"/>
    <s v="No"/>
    <s v="Travel_Frequently"/>
    <n v="535"/>
    <x v="0"/>
    <n v="24"/>
    <n v="3"/>
    <x v="2"/>
    <n v="1"/>
    <x v="470"/>
    <n v="4"/>
    <s v="Male"/>
    <n v="38"/>
    <n v="3"/>
    <x v="1"/>
    <x v="6"/>
    <n v="4"/>
    <s v="Married"/>
    <n v="2400"/>
    <n v="5530"/>
    <n v="0"/>
    <s v="Y"/>
    <x v="1"/>
    <n v="13"/>
    <n v="3"/>
    <n v="3"/>
    <n v="80"/>
    <n v="2"/>
    <n v="3"/>
    <n v="3"/>
    <n v="3"/>
    <n v="2"/>
    <n v="2"/>
    <n v="2"/>
    <n v="1"/>
    <n v="0"/>
    <x v="4"/>
  </r>
  <r>
    <n v="38"/>
    <s v="No"/>
    <s v="Travel_Rarely"/>
    <n v="1495"/>
    <x v="1"/>
    <n v="10"/>
    <n v="3"/>
    <x v="2"/>
    <n v="1"/>
    <x v="471"/>
    <n v="3"/>
    <s v="Female"/>
    <n v="76"/>
    <n v="3"/>
    <x v="0"/>
    <x v="4"/>
    <n v="3"/>
    <s v="Married"/>
    <n v="9824"/>
    <n v="22174"/>
    <n v="3"/>
    <s v="Y"/>
    <x v="1"/>
    <n v="19"/>
    <n v="3"/>
    <n v="3"/>
    <n v="80"/>
    <n v="1"/>
    <n v="18"/>
    <n v="4"/>
    <n v="3"/>
    <n v="1"/>
    <n v="0"/>
    <n v="0"/>
    <n v="0"/>
    <n v="0"/>
    <x v="0"/>
  </r>
  <r>
    <n v="37"/>
    <s v="No"/>
    <s v="Travel_Rarely"/>
    <n v="446"/>
    <x v="1"/>
    <n v="1"/>
    <n v="4"/>
    <x v="0"/>
    <n v="1"/>
    <x v="472"/>
    <n v="2"/>
    <s v="Female"/>
    <n v="65"/>
    <n v="3"/>
    <x v="0"/>
    <x v="3"/>
    <n v="2"/>
    <s v="Married"/>
    <n v="6447"/>
    <n v="15701"/>
    <n v="6"/>
    <s v="Y"/>
    <x v="1"/>
    <n v="12"/>
    <n v="3"/>
    <n v="2"/>
    <n v="80"/>
    <n v="1"/>
    <n v="8"/>
    <n v="2"/>
    <n v="2"/>
    <n v="6"/>
    <n v="5"/>
    <n v="4"/>
    <n v="3"/>
    <n v="0"/>
    <x v="0"/>
  </r>
  <r>
    <n v="49"/>
    <s v="No"/>
    <s v="Travel_Rarely"/>
    <n v="1245"/>
    <x v="1"/>
    <n v="18"/>
    <n v="4"/>
    <x v="0"/>
    <n v="1"/>
    <x v="473"/>
    <n v="4"/>
    <s v="Male"/>
    <n v="58"/>
    <n v="2"/>
    <x v="4"/>
    <x v="7"/>
    <n v="3"/>
    <s v="Divorced"/>
    <n v="19502"/>
    <n v="2125"/>
    <n v="1"/>
    <s v="Y"/>
    <x v="0"/>
    <n v="17"/>
    <n v="3"/>
    <n v="3"/>
    <n v="80"/>
    <n v="1"/>
    <n v="31"/>
    <n v="5"/>
    <n v="3"/>
    <n v="31"/>
    <n v="9"/>
    <n v="0"/>
    <n v="9"/>
    <n v="0"/>
    <x v="1"/>
  </r>
  <r>
    <n v="24"/>
    <s v="No"/>
    <s v="Travel_Rarely"/>
    <n v="691"/>
    <x v="1"/>
    <n v="23"/>
    <n v="3"/>
    <x v="2"/>
    <n v="1"/>
    <x v="474"/>
    <n v="2"/>
    <s v="Male"/>
    <n v="89"/>
    <n v="4"/>
    <x v="1"/>
    <x v="1"/>
    <n v="4"/>
    <s v="Married"/>
    <n v="2725"/>
    <n v="21630"/>
    <n v="1"/>
    <s v="Y"/>
    <x v="0"/>
    <n v="11"/>
    <n v="3"/>
    <n v="2"/>
    <n v="80"/>
    <n v="2"/>
    <n v="6"/>
    <n v="3"/>
    <n v="3"/>
    <n v="6"/>
    <n v="5"/>
    <n v="1"/>
    <n v="4"/>
    <n v="0"/>
    <x v="4"/>
  </r>
  <r>
    <n v="26"/>
    <s v="No"/>
    <s v="Travel_Rarely"/>
    <n v="703"/>
    <x v="0"/>
    <n v="28"/>
    <n v="2"/>
    <x v="3"/>
    <n v="1"/>
    <x v="475"/>
    <n v="1"/>
    <s v="Male"/>
    <n v="66"/>
    <n v="3"/>
    <x v="0"/>
    <x v="0"/>
    <n v="2"/>
    <s v="Married"/>
    <n v="6272"/>
    <n v="7428"/>
    <n v="1"/>
    <s v="Y"/>
    <x v="1"/>
    <n v="20"/>
    <n v="4"/>
    <n v="4"/>
    <n v="80"/>
    <n v="2"/>
    <n v="6"/>
    <n v="5"/>
    <n v="4"/>
    <n v="5"/>
    <n v="3"/>
    <n v="1"/>
    <n v="4"/>
    <n v="0"/>
    <x v="2"/>
  </r>
  <r>
    <n v="24"/>
    <s v="No"/>
    <s v="Travel_Rarely"/>
    <n v="823"/>
    <x v="1"/>
    <n v="17"/>
    <n v="2"/>
    <x v="1"/>
    <n v="1"/>
    <x v="476"/>
    <n v="4"/>
    <s v="Male"/>
    <n v="94"/>
    <n v="2"/>
    <x v="1"/>
    <x v="2"/>
    <n v="2"/>
    <s v="Married"/>
    <n v="2127"/>
    <n v="9100"/>
    <n v="1"/>
    <s v="Y"/>
    <x v="1"/>
    <n v="21"/>
    <n v="4"/>
    <n v="4"/>
    <n v="80"/>
    <n v="1"/>
    <n v="1"/>
    <n v="2"/>
    <n v="3"/>
    <n v="1"/>
    <n v="0"/>
    <n v="0"/>
    <n v="0"/>
    <n v="0"/>
    <x v="4"/>
  </r>
  <r>
    <n v="50"/>
    <s v="No"/>
    <s v="Travel_Frequently"/>
    <n v="1246"/>
    <x v="2"/>
    <n v="3"/>
    <n v="3"/>
    <x v="2"/>
    <n v="1"/>
    <x v="477"/>
    <n v="1"/>
    <s v="Male"/>
    <n v="99"/>
    <n v="3"/>
    <x v="4"/>
    <x v="5"/>
    <n v="2"/>
    <s v="Married"/>
    <n v="18200"/>
    <n v="7999"/>
    <n v="1"/>
    <s v="Y"/>
    <x v="1"/>
    <n v="11"/>
    <n v="3"/>
    <n v="3"/>
    <n v="80"/>
    <n v="1"/>
    <n v="32"/>
    <n v="2"/>
    <n v="3"/>
    <n v="32"/>
    <n v="5"/>
    <n v="10"/>
    <n v="7"/>
    <n v="0"/>
    <x v="1"/>
  </r>
  <r>
    <n v="25"/>
    <s v="No"/>
    <s v="Travel_Rarely"/>
    <n v="622"/>
    <x v="0"/>
    <n v="13"/>
    <n v="1"/>
    <x v="2"/>
    <n v="1"/>
    <x v="478"/>
    <n v="2"/>
    <s v="Male"/>
    <n v="40"/>
    <n v="3"/>
    <x v="1"/>
    <x v="6"/>
    <n v="3"/>
    <s v="Married"/>
    <n v="2096"/>
    <n v="26376"/>
    <n v="1"/>
    <s v="Y"/>
    <x v="1"/>
    <n v="11"/>
    <n v="3"/>
    <n v="3"/>
    <n v="80"/>
    <n v="0"/>
    <n v="7"/>
    <n v="1"/>
    <n v="3"/>
    <n v="7"/>
    <n v="4"/>
    <n v="0"/>
    <n v="6"/>
    <n v="0"/>
    <x v="4"/>
  </r>
  <r>
    <n v="24"/>
    <s v="Yes"/>
    <s v="Travel_Frequently"/>
    <n v="1287"/>
    <x v="1"/>
    <n v="7"/>
    <n v="3"/>
    <x v="0"/>
    <n v="1"/>
    <x v="479"/>
    <n v="1"/>
    <s v="Female"/>
    <n v="55"/>
    <n v="3"/>
    <x v="1"/>
    <x v="2"/>
    <n v="3"/>
    <s v="Married"/>
    <n v="2886"/>
    <n v="14168"/>
    <n v="1"/>
    <s v="Y"/>
    <x v="0"/>
    <n v="16"/>
    <n v="3"/>
    <n v="4"/>
    <n v="80"/>
    <n v="1"/>
    <n v="6"/>
    <n v="4"/>
    <n v="3"/>
    <n v="6"/>
    <n v="3"/>
    <n v="1"/>
    <n v="2"/>
    <n v="1"/>
    <x v="4"/>
  </r>
  <r>
    <n v="30"/>
    <s v="Yes"/>
    <s v="Travel_Frequently"/>
    <n v="448"/>
    <x v="0"/>
    <n v="12"/>
    <n v="4"/>
    <x v="0"/>
    <n v="1"/>
    <x v="480"/>
    <n v="2"/>
    <s v="Male"/>
    <n v="74"/>
    <n v="2"/>
    <x v="1"/>
    <x v="6"/>
    <n v="1"/>
    <s v="Married"/>
    <n v="2033"/>
    <n v="14470"/>
    <n v="1"/>
    <s v="Y"/>
    <x v="1"/>
    <n v="18"/>
    <n v="3"/>
    <n v="3"/>
    <n v="80"/>
    <n v="1"/>
    <n v="1"/>
    <n v="2"/>
    <n v="4"/>
    <n v="1"/>
    <n v="0"/>
    <n v="0"/>
    <n v="0"/>
    <n v="1"/>
    <x v="2"/>
  </r>
  <r>
    <n v="34"/>
    <s v="No"/>
    <s v="Travel_Rarely"/>
    <n v="254"/>
    <x v="1"/>
    <n v="1"/>
    <n v="2"/>
    <x v="0"/>
    <n v="1"/>
    <x v="481"/>
    <n v="2"/>
    <s v="Male"/>
    <n v="83"/>
    <n v="2"/>
    <x v="1"/>
    <x v="1"/>
    <n v="4"/>
    <s v="Married"/>
    <n v="3622"/>
    <n v="22794"/>
    <n v="1"/>
    <s v="Y"/>
    <x v="0"/>
    <n v="13"/>
    <n v="3"/>
    <n v="4"/>
    <n v="80"/>
    <n v="1"/>
    <n v="6"/>
    <n v="3"/>
    <n v="3"/>
    <n v="6"/>
    <n v="5"/>
    <n v="1"/>
    <n v="3"/>
    <n v="0"/>
    <x v="2"/>
  </r>
  <r>
    <n v="31"/>
    <s v="Yes"/>
    <s v="Travel_Rarely"/>
    <n v="1365"/>
    <x v="0"/>
    <n v="13"/>
    <n v="4"/>
    <x v="2"/>
    <n v="1"/>
    <x v="482"/>
    <n v="2"/>
    <s v="Male"/>
    <n v="46"/>
    <n v="3"/>
    <x v="0"/>
    <x v="0"/>
    <n v="1"/>
    <s v="Divorced"/>
    <n v="4233"/>
    <n v="11512"/>
    <n v="2"/>
    <s v="Y"/>
    <x v="1"/>
    <n v="17"/>
    <n v="3"/>
    <n v="3"/>
    <n v="80"/>
    <n v="0"/>
    <n v="9"/>
    <n v="2"/>
    <n v="1"/>
    <n v="3"/>
    <n v="1"/>
    <n v="1"/>
    <n v="2"/>
    <n v="1"/>
    <x v="2"/>
  </r>
  <r>
    <n v="35"/>
    <s v="No"/>
    <s v="Travel_Rarely"/>
    <n v="538"/>
    <x v="1"/>
    <n v="25"/>
    <n v="2"/>
    <x v="1"/>
    <n v="1"/>
    <x v="483"/>
    <n v="1"/>
    <s v="Male"/>
    <n v="54"/>
    <n v="2"/>
    <x v="0"/>
    <x v="2"/>
    <n v="4"/>
    <s v="Single"/>
    <n v="3681"/>
    <n v="14004"/>
    <n v="4"/>
    <s v="Y"/>
    <x v="1"/>
    <n v="14"/>
    <n v="3"/>
    <n v="4"/>
    <n v="80"/>
    <n v="0"/>
    <n v="9"/>
    <n v="3"/>
    <n v="3"/>
    <n v="3"/>
    <n v="2"/>
    <n v="0"/>
    <n v="2"/>
    <n v="0"/>
    <x v="2"/>
  </r>
  <r>
    <n v="31"/>
    <s v="No"/>
    <s v="Travel_Rarely"/>
    <n v="525"/>
    <x v="0"/>
    <n v="6"/>
    <n v="4"/>
    <x v="2"/>
    <n v="1"/>
    <x v="484"/>
    <n v="1"/>
    <s v="Male"/>
    <n v="66"/>
    <n v="4"/>
    <x v="0"/>
    <x v="0"/>
    <n v="4"/>
    <s v="Divorced"/>
    <n v="5460"/>
    <n v="6219"/>
    <n v="4"/>
    <s v="Y"/>
    <x v="1"/>
    <n v="22"/>
    <n v="4"/>
    <n v="4"/>
    <n v="80"/>
    <n v="2"/>
    <n v="13"/>
    <n v="4"/>
    <n v="4"/>
    <n v="7"/>
    <n v="7"/>
    <n v="5"/>
    <n v="7"/>
    <n v="0"/>
    <x v="2"/>
  </r>
  <r>
    <n v="27"/>
    <s v="No"/>
    <s v="Travel_Rarely"/>
    <n v="798"/>
    <x v="1"/>
    <n v="6"/>
    <n v="4"/>
    <x v="2"/>
    <n v="1"/>
    <x v="485"/>
    <n v="1"/>
    <s v="Female"/>
    <n v="66"/>
    <n v="2"/>
    <x v="1"/>
    <x v="1"/>
    <n v="3"/>
    <s v="Divorced"/>
    <n v="2187"/>
    <n v="5013"/>
    <n v="0"/>
    <s v="Y"/>
    <x v="1"/>
    <n v="12"/>
    <n v="3"/>
    <n v="3"/>
    <n v="80"/>
    <n v="2"/>
    <n v="6"/>
    <n v="5"/>
    <n v="2"/>
    <n v="5"/>
    <n v="3"/>
    <n v="0"/>
    <n v="3"/>
    <n v="0"/>
    <x v="2"/>
  </r>
  <r>
    <n v="37"/>
    <s v="No"/>
    <s v="Travel_Rarely"/>
    <n v="558"/>
    <x v="0"/>
    <n v="2"/>
    <n v="3"/>
    <x v="3"/>
    <n v="1"/>
    <x v="486"/>
    <n v="4"/>
    <s v="Male"/>
    <n v="75"/>
    <n v="3"/>
    <x v="0"/>
    <x v="0"/>
    <n v="3"/>
    <s v="Married"/>
    <n v="9602"/>
    <n v="3010"/>
    <n v="4"/>
    <s v="Y"/>
    <x v="0"/>
    <n v="11"/>
    <n v="3"/>
    <n v="3"/>
    <n v="80"/>
    <n v="1"/>
    <n v="17"/>
    <n v="3"/>
    <n v="2"/>
    <n v="3"/>
    <n v="0"/>
    <n v="1"/>
    <n v="0"/>
    <n v="0"/>
    <x v="0"/>
  </r>
  <r>
    <n v="20"/>
    <s v="No"/>
    <s v="Travel_Rarely"/>
    <n v="959"/>
    <x v="1"/>
    <n v="1"/>
    <n v="3"/>
    <x v="0"/>
    <n v="1"/>
    <x v="487"/>
    <n v="4"/>
    <s v="Female"/>
    <n v="83"/>
    <n v="2"/>
    <x v="1"/>
    <x v="1"/>
    <n v="2"/>
    <s v="Single"/>
    <n v="2836"/>
    <n v="11757"/>
    <n v="1"/>
    <s v="Y"/>
    <x v="1"/>
    <n v="13"/>
    <n v="3"/>
    <n v="4"/>
    <n v="80"/>
    <n v="0"/>
    <n v="1"/>
    <n v="0"/>
    <n v="4"/>
    <n v="1"/>
    <n v="0"/>
    <n v="0"/>
    <n v="0"/>
    <n v="0"/>
    <x v="4"/>
  </r>
  <r>
    <n v="42"/>
    <s v="No"/>
    <s v="Travel_Rarely"/>
    <n v="622"/>
    <x v="1"/>
    <n v="2"/>
    <n v="4"/>
    <x v="0"/>
    <n v="1"/>
    <x v="488"/>
    <n v="3"/>
    <s v="Female"/>
    <n v="81"/>
    <n v="3"/>
    <x v="0"/>
    <x v="4"/>
    <n v="4"/>
    <s v="Married"/>
    <n v="4089"/>
    <n v="5718"/>
    <n v="1"/>
    <s v="Y"/>
    <x v="1"/>
    <n v="13"/>
    <n v="3"/>
    <n v="2"/>
    <n v="80"/>
    <n v="2"/>
    <n v="10"/>
    <n v="4"/>
    <n v="3"/>
    <n v="10"/>
    <n v="2"/>
    <n v="2"/>
    <n v="2"/>
    <n v="0"/>
    <x v="0"/>
  </r>
  <r>
    <n v="43"/>
    <s v="No"/>
    <s v="Travel_Rarely"/>
    <n v="782"/>
    <x v="1"/>
    <n v="6"/>
    <n v="4"/>
    <x v="1"/>
    <n v="1"/>
    <x v="489"/>
    <n v="2"/>
    <s v="Male"/>
    <n v="50"/>
    <n v="2"/>
    <x v="3"/>
    <x v="7"/>
    <n v="4"/>
    <s v="Divorced"/>
    <n v="16627"/>
    <n v="2671"/>
    <n v="4"/>
    <s v="Y"/>
    <x v="0"/>
    <n v="14"/>
    <n v="3"/>
    <n v="3"/>
    <n v="80"/>
    <n v="1"/>
    <n v="21"/>
    <n v="3"/>
    <n v="2"/>
    <n v="1"/>
    <n v="0"/>
    <n v="0"/>
    <n v="0"/>
    <n v="0"/>
    <x v="0"/>
  </r>
  <r>
    <n v="38"/>
    <s v="No"/>
    <s v="Travel_Rarely"/>
    <n v="362"/>
    <x v="1"/>
    <n v="1"/>
    <n v="1"/>
    <x v="0"/>
    <n v="1"/>
    <x v="490"/>
    <n v="3"/>
    <s v="Female"/>
    <n v="43"/>
    <n v="3"/>
    <x v="1"/>
    <x v="1"/>
    <n v="1"/>
    <s v="Single"/>
    <n v="2619"/>
    <n v="14561"/>
    <n v="3"/>
    <s v="Y"/>
    <x v="1"/>
    <n v="17"/>
    <n v="3"/>
    <n v="4"/>
    <n v="80"/>
    <n v="0"/>
    <n v="8"/>
    <n v="3"/>
    <n v="2"/>
    <n v="0"/>
    <n v="0"/>
    <n v="0"/>
    <n v="0"/>
    <n v="0"/>
    <x v="0"/>
  </r>
  <r>
    <n v="43"/>
    <s v="No"/>
    <s v="Travel_Frequently"/>
    <n v="1001"/>
    <x v="1"/>
    <n v="9"/>
    <n v="5"/>
    <x v="2"/>
    <n v="1"/>
    <x v="491"/>
    <n v="4"/>
    <s v="Male"/>
    <n v="72"/>
    <n v="3"/>
    <x v="0"/>
    <x v="2"/>
    <n v="3"/>
    <s v="Divorced"/>
    <n v="5679"/>
    <n v="19627"/>
    <n v="3"/>
    <s v="Y"/>
    <x v="0"/>
    <n v="13"/>
    <n v="3"/>
    <n v="2"/>
    <n v="80"/>
    <n v="1"/>
    <n v="10"/>
    <n v="3"/>
    <n v="3"/>
    <n v="8"/>
    <n v="7"/>
    <n v="4"/>
    <n v="7"/>
    <n v="0"/>
    <x v="0"/>
  </r>
  <r>
    <n v="48"/>
    <s v="No"/>
    <s v="Travel_Rarely"/>
    <n v="1236"/>
    <x v="1"/>
    <n v="1"/>
    <n v="4"/>
    <x v="0"/>
    <n v="1"/>
    <x v="492"/>
    <n v="4"/>
    <s v="Female"/>
    <n v="40"/>
    <n v="2"/>
    <x v="3"/>
    <x v="5"/>
    <n v="1"/>
    <s v="Married"/>
    <n v="15402"/>
    <n v="17997"/>
    <n v="7"/>
    <s v="Y"/>
    <x v="1"/>
    <n v="11"/>
    <n v="3"/>
    <n v="1"/>
    <n v="80"/>
    <n v="1"/>
    <n v="21"/>
    <n v="3"/>
    <n v="1"/>
    <n v="3"/>
    <n v="2"/>
    <n v="0"/>
    <n v="2"/>
    <n v="0"/>
    <x v="1"/>
  </r>
  <r>
    <n v="44"/>
    <s v="No"/>
    <s v="Travel_Rarely"/>
    <n v="1112"/>
    <x v="2"/>
    <n v="1"/>
    <n v="4"/>
    <x v="0"/>
    <n v="1"/>
    <x v="493"/>
    <n v="1"/>
    <s v="Female"/>
    <n v="50"/>
    <n v="2"/>
    <x v="0"/>
    <x v="8"/>
    <n v="3"/>
    <s v="Single"/>
    <n v="5985"/>
    <n v="26894"/>
    <n v="4"/>
    <s v="Y"/>
    <x v="1"/>
    <n v="11"/>
    <n v="3"/>
    <n v="2"/>
    <n v="80"/>
    <n v="0"/>
    <n v="10"/>
    <n v="1"/>
    <n v="4"/>
    <n v="2"/>
    <n v="2"/>
    <n v="0"/>
    <n v="2"/>
    <n v="0"/>
    <x v="0"/>
  </r>
  <r>
    <n v="34"/>
    <s v="No"/>
    <s v="Travel_Rarely"/>
    <n v="204"/>
    <x v="0"/>
    <n v="14"/>
    <n v="3"/>
    <x v="4"/>
    <n v="1"/>
    <x v="494"/>
    <n v="3"/>
    <s v="Female"/>
    <n v="31"/>
    <n v="3"/>
    <x v="1"/>
    <x v="6"/>
    <n v="3"/>
    <s v="Divorced"/>
    <n v="2579"/>
    <n v="2912"/>
    <n v="1"/>
    <s v="Y"/>
    <x v="0"/>
    <n v="18"/>
    <n v="3"/>
    <n v="4"/>
    <n v="80"/>
    <n v="2"/>
    <n v="8"/>
    <n v="3"/>
    <n v="3"/>
    <n v="8"/>
    <n v="2"/>
    <n v="0"/>
    <n v="6"/>
    <n v="0"/>
    <x v="2"/>
  </r>
  <r>
    <n v="27"/>
    <s v="Yes"/>
    <s v="Travel_Rarely"/>
    <n v="1420"/>
    <x v="0"/>
    <n v="2"/>
    <n v="1"/>
    <x v="3"/>
    <n v="1"/>
    <x v="495"/>
    <n v="3"/>
    <s v="Male"/>
    <n v="85"/>
    <n v="3"/>
    <x v="1"/>
    <x v="6"/>
    <n v="1"/>
    <s v="Divorced"/>
    <n v="3041"/>
    <n v="16346"/>
    <n v="0"/>
    <s v="Y"/>
    <x v="1"/>
    <n v="11"/>
    <n v="3"/>
    <n v="2"/>
    <n v="80"/>
    <n v="1"/>
    <n v="5"/>
    <n v="3"/>
    <n v="3"/>
    <n v="4"/>
    <n v="3"/>
    <n v="0"/>
    <n v="2"/>
    <n v="1"/>
    <x v="2"/>
  </r>
  <r>
    <n v="21"/>
    <s v="No"/>
    <s v="Travel_Rarely"/>
    <n v="1343"/>
    <x v="0"/>
    <n v="22"/>
    <n v="1"/>
    <x v="4"/>
    <n v="1"/>
    <x v="496"/>
    <n v="3"/>
    <s v="Male"/>
    <n v="49"/>
    <n v="3"/>
    <x v="1"/>
    <x v="6"/>
    <n v="3"/>
    <s v="Single"/>
    <n v="3447"/>
    <n v="24444"/>
    <n v="1"/>
    <s v="Y"/>
    <x v="1"/>
    <n v="11"/>
    <n v="3"/>
    <n v="3"/>
    <n v="80"/>
    <n v="0"/>
    <n v="3"/>
    <n v="2"/>
    <n v="3"/>
    <n v="3"/>
    <n v="2"/>
    <n v="1"/>
    <n v="2"/>
    <n v="0"/>
    <x v="4"/>
  </r>
  <r>
    <n v="44"/>
    <s v="No"/>
    <s v="Travel_Rarely"/>
    <n v="1315"/>
    <x v="1"/>
    <n v="3"/>
    <n v="4"/>
    <x v="1"/>
    <n v="1"/>
    <x v="497"/>
    <n v="4"/>
    <s v="Male"/>
    <n v="35"/>
    <n v="3"/>
    <x v="4"/>
    <x v="5"/>
    <n v="4"/>
    <s v="Married"/>
    <n v="19513"/>
    <n v="9358"/>
    <n v="4"/>
    <s v="Y"/>
    <x v="0"/>
    <n v="12"/>
    <n v="3"/>
    <n v="1"/>
    <n v="80"/>
    <n v="1"/>
    <n v="26"/>
    <n v="2"/>
    <n v="4"/>
    <n v="2"/>
    <n v="2"/>
    <n v="0"/>
    <n v="1"/>
    <n v="0"/>
    <x v="0"/>
  </r>
  <r>
    <n v="22"/>
    <s v="No"/>
    <s v="Travel_Rarely"/>
    <n v="604"/>
    <x v="1"/>
    <n v="6"/>
    <n v="1"/>
    <x v="2"/>
    <n v="1"/>
    <x v="498"/>
    <n v="1"/>
    <s v="Male"/>
    <n v="69"/>
    <n v="3"/>
    <x v="1"/>
    <x v="1"/>
    <n v="3"/>
    <s v="Married"/>
    <n v="2773"/>
    <n v="12145"/>
    <n v="0"/>
    <s v="Y"/>
    <x v="1"/>
    <n v="20"/>
    <n v="4"/>
    <n v="4"/>
    <n v="80"/>
    <n v="0"/>
    <n v="3"/>
    <n v="3"/>
    <n v="3"/>
    <n v="2"/>
    <n v="2"/>
    <n v="2"/>
    <n v="2"/>
    <n v="0"/>
    <x v="4"/>
  </r>
  <r>
    <n v="33"/>
    <s v="No"/>
    <s v="Travel_Rarely"/>
    <n v="1216"/>
    <x v="0"/>
    <n v="8"/>
    <n v="4"/>
    <x v="3"/>
    <n v="1"/>
    <x v="499"/>
    <n v="3"/>
    <s v="Male"/>
    <n v="39"/>
    <n v="3"/>
    <x v="0"/>
    <x v="0"/>
    <n v="3"/>
    <s v="Divorced"/>
    <n v="7104"/>
    <n v="20431"/>
    <n v="0"/>
    <s v="Y"/>
    <x v="1"/>
    <n v="12"/>
    <n v="3"/>
    <n v="4"/>
    <n v="80"/>
    <n v="0"/>
    <n v="6"/>
    <n v="3"/>
    <n v="3"/>
    <n v="5"/>
    <n v="0"/>
    <n v="1"/>
    <n v="2"/>
    <n v="0"/>
    <x v="2"/>
  </r>
  <r>
    <n v="32"/>
    <s v="No"/>
    <s v="Travel_Rarely"/>
    <n v="646"/>
    <x v="1"/>
    <n v="9"/>
    <n v="4"/>
    <x v="0"/>
    <n v="1"/>
    <x v="500"/>
    <n v="1"/>
    <s v="Female"/>
    <n v="92"/>
    <n v="3"/>
    <x v="0"/>
    <x v="1"/>
    <n v="4"/>
    <s v="Married"/>
    <n v="6322"/>
    <n v="18089"/>
    <n v="1"/>
    <s v="Y"/>
    <x v="0"/>
    <n v="12"/>
    <n v="3"/>
    <n v="4"/>
    <n v="80"/>
    <n v="1"/>
    <n v="6"/>
    <n v="2"/>
    <n v="2"/>
    <n v="6"/>
    <n v="4"/>
    <n v="0"/>
    <n v="5"/>
    <n v="0"/>
    <x v="2"/>
  </r>
  <r>
    <n v="30"/>
    <s v="No"/>
    <s v="Travel_Frequently"/>
    <n v="160"/>
    <x v="1"/>
    <n v="3"/>
    <n v="3"/>
    <x v="2"/>
    <n v="1"/>
    <x v="501"/>
    <n v="3"/>
    <s v="Female"/>
    <n v="71"/>
    <n v="3"/>
    <x v="1"/>
    <x v="1"/>
    <n v="3"/>
    <s v="Divorced"/>
    <n v="2083"/>
    <n v="22653"/>
    <n v="1"/>
    <s v="Y"/>
    <x v="1"/>
    <n v="20"/>
    <n v="4"/>
    <n v="3"/>
    <n v="80"/>
    <n v="1"/>
    <n v="1"/>
    <n v="2"/>
    <n v="3"/>
    <n v="1"/>
    <n v="0"/>
    <n v="0"/>
    <n v="0"/>
    <n v="0"/>
    <x v="2"/>
  </r>
  <r>
    <n v="53"/>
    <s v="No"/>
    <s v="Travel_Rarely"/>
    <n v="238"/>
    <x v="0"/>
    <n v="1"/>
    <n v="1"/>
    <x v="2"/>
    <n v="1"/>
    <x v="502"/>
    <n v="4"/>
    <s v="Female"/>
    <n v="34"/>
    <n v="3"/>
    <x v="0"/>
    <x v="0"/>
    <n v="1"/>
    <s v="Single"/>
    <n v="8381"/>
    <n v="7507"/>
    <n v="7"/>
    <s v="Y"/>
    <x v="1"/>
    <n v="20"/>
    <n v="4"/>
    <n v="4"/>
    <n v="80"/>
    <n v="0"/>
    <n v="18"/>
    <n v="2"/>
    <n v="4"/>
    <n v="14"/>
    <n v="7"/>
    <n v="8"/>
    <n v="10"/>
    <n v="0"/>
    <x v="1"/>
  </r>
  <r>
    <n v="34"/>
    <s v="No"/>
    <s v="Travel_Rarely"/>
    <n v="1397"/>
    <x v="1"/>
    <n v="1"/>
    <n v="5"/>
    <x v="0"/>
    <n v="1"/>
    <x v="503"/>
    <n v="2"/>
    <s v="Male"/>
    <n v="42"/>
    <n v="3"/>
    <x v="1"/>
    <x v="1"/>
    <n v="4"/>
    <s v="Married"/>
    <n v="2691"/>
    <n v="7660"/>
    <n v="1"/>
    <s v="Y"/>
    <x v="1"/>
    <n v="12"/>
    <n v="3"/>
    <n v="4"/>
    <n v="80"/>
    <n v="1"/>
    <n v="10"/>
    <n v="4"/>
    <n v="2"/>
    <n v="10"/>
    <n v="9"/>
    <n v="8"/>
    <n v="8"/>
    <n v="0"/>
    <x v="2"/>
  </r>
  <r>
    <n v="45"/>
    <s v="Yes"/>
    <s v="Travel_Frequently"/>
    <n v="306"/>
    <x v="0"/>
    <n v="26"/>
    <n v="4"/>
    <x v="0"/>
    <n v="1"/>
    <x v="504"/>
    <n v="1"/>
    <s v="Female"/>
    <n v="100"/>
    <n v="3"/>
    <x v="0"/>
    <x v="0"/>
    <n v="1"/>
    <s v="Married"/>
    <n v="4286"/>
    <n v="5630"/>
    <n v="2"/>
    <s v="Y"/>
    <x v="1"/>
    <n v="14"/>
    <n v="3"/>
    <n v="4"/>
    <n v="80"/>
    <n v="2"/>
    <n v="5"/>
    <n v="4"/>
    <n v="3"/>
    <n v="1"/>
    <n v="1"/>
    <n v="0"/>
    <n v="0"/>
    <n v="1"/>
    <x v="0"/>
  </r>
  <r>
    <n v="26"/>
    <s v="No"/>
    <s v="Travel_Rarely"/>
    <n v="991"/>
    <x v="1"/>
    <n v="6"/>
    <n v="3"/>
    <x v="0"/>
    <n v="1"/>
    <x v="505"/>
    <n v="3"/>
    <s v="Female"/>
    <n v="71"/>
    <n v="3"/>
    <x v="1"/>
    <x v="2"/>
    <n v="4"/>
    <s v="Married"/>
    <n v="2659"/>
    <n v="17759"/>
    <n v="1"/>
    <s v="Y"/>
    <x v="0"/>
    <n v="13"/>
    <n v="3"/>
    <n v="3"/>
    <n v="80"/>
    <n v="1"/>
    <n v="3"/>
    <n v="2"/>
    <n v="3"/>
    <n v="3"/>
    <n v="2"/>
    <n v="0"/>
    <n v="2"/>
    <n v="0"/>
    <x v="2"/>
  </r>
  <r>
    <n v="37"/>
    <s v="No"/>
    <s v="Travel_Rarely"/>
    <n v="482"/>
    <x v="1"/>
    <n v="3"/>
    <n v="3"/>
    <x v="1"/>
    <n v="1"/>
    <x v="506"/>
    <n v="3"/>
    <s v="Male"/>
    <n v="36"/>
    <n v="3"/>
    <x v="2"/>
    <x v="3"/>
    <n v="3"/>
    <s v="Married"/>
    <n v="9434"/>
    <n v="9606"/>
    <n v="1"/>
    <s v="Y"/>
    <x v="1"/>
    <n v="15"/>
    <n v="3"/>
    <n v="3"/>
    <n v="80"/>
    <n v="1"/>
    <n v="10"/>
    <n v="2"/>
    <n v="3"/>
    <n v="10"/>
    <n v="7"/>
    <n v="7"/>
    <n v="8"/>
    <n v="0"/>
    <x v="0"/>
  </r>
  <r>
    <n v="29"/>
    <s v="No"/>
    <s v="Travel_Rarely"/>
    <n v="1176"/>
    <x v="0"/>
    <n v="3"/>
    <n v="2"/>
    <x v="2"/>
    <n v="1"/>
    <x v="507"/>
    <n v="2"/>
    <s v="Female"/>
    <n v="62"/>
    <n v="3"/>
    <x v="0"/>
    <x v="0"/>
    <n v="3"/>
    <s v="Married"/>
    <n v="5561"/>
    <n v="3487"/>
    <n v="1"/>
    <s v="Y"/>
    <x v="1"/>
    <n v="14"/>
    <n v="3"/>
    <n v="1"/>
    <n v="80"/>
    <n v="1"/>
    <n v="6"/>
    <n v="5"/>
    <n v="2"/>
    <n v="6"/>
    <n v="0"/>
    <n v="1"/>
    <n v="2"/>
    <n v="0"/>
    <x v="2"/>
  </r>
  <r>
    <n v="35"/>
    <s v="No"/>
    <s v="Travel_Rarely"/>
    <n v="1017"/>
    <x v="1"/>
    <n v="6"/>
    <n v="4"/>
    <x v="0"/>
    <n v="1"/>
    <x v="508"/>
    <n v="2"/>
    <s v="Male"/>
    <n v="82"/>
    <n v="1"/>
    <x v="0"/>
    <x v="1"/>
    <n v="4"/>
    <s v="Single"/>
    <n v="6646"/>
    <n v="19368"/>
    <n v="1"/>
    <s v="Y"/>
    <x v="1"/>
    <n v="13"/>
    <n v="3"/>
    <n v="2"/>
    <n v="80"/>
    <n v="0"/>
    <n v="17"/>
    <n v="3"/>
    <n v="3"/>
    <n v="17"/>
    <n v="11"/>
    <n v="11"/>
    <n v="8"/>
    <n v="0"/>
    <x v="2"/>
  </r>
  <r>
    <n v="33"/>
    <s v="No"/>
    <s v="Travel_Frequently"/>
    <n v="1296"/>
    <x v="1"/>
    <n v="6"/>
    <n v="3"/>
    <x v="0"/>
    <n v="1"/>
    <x v="509"/>
    <n v="3"/>
    <s v="Male"/>
    <n v="30"/>
    <n v="3"/>
    <x v="0"/>
    <x v="4"/>
    <n v="4"/>
    <s v="Divorced"/>
    <n v="7725"/>
    <n v="5335"/>
    <n v="3"/>
    <s v="Y"/>
    <x v="1"/>
    <n v="23"/>
    <n v="4"/>
    <n v="3"/>
    <n v="80"/>
    <n v="1"/>
    <n v="15"/>
    <n v="2"/>
    <n v="1"/>
    <n v="13"/>
    <n v="11"/>
    <n v="4"/>
    <n v="7"/>
    <n v="0"/>
    <x v="2"/>
  </r>
  <r>
    <n v="54"/>
    <s v="No"/>
    <s v="Travel_Rarely"/>
    <n v="397"/>
    <x v="2"/>
    <n v="19"/>
    <n v="4"/>
    <x v="2"/>
    <n v="1"/>
    <x v="510"/>
    <n v="3"/>
    <s v="Male"/>
    <n v="88"/>
    <n v="3"/>
    <x v="2"/>
    <x v="8"/>
    <n v="2"/>
    <s v="Married"/>
    <n v="10725"/>
    <n v="6729"/>
    <n v="2"/>
    <s v="Y"/>
    <x v="1"/>
    <n v="15"/>
    <n v="3"/>
    <n v="3"/>
    <n v="80"/>
    <n v="1"/>
    <n v="16"/>
    <n v="1"/>
    <n v="4"/>
    <n v="9"/>
    <n v="7"/>
    <n v="7"/>
    <n v="1"/>
    <n v="0"/>
    <x v="1"/>
  </r>
  <r>
    <n v="36"/>
    <s v="No"/>
    <s v="Travel_Rarely"/>
    <n v="913"/>
    <x v="1"/>
    <n v="9"/>
    <n v="2"/>
    <x v="2"/>
    <n v="1"/>
    <x v="511"/>
    <n v="2"/>
    <s v="Male"/>
    <n v="48"/>
    <n v="2"/>
    <x v="0"/>
    <x v="3"/>
    <n v="2"/>
    <s v="Divorced"/>
    <n v="8847"/>
    <n v="13934"/>
    <n v="2"/>
    <s v="Y"/>
    <x v="0"/>
    <n v="11"/>
    <n v="3"/>
    <n v="3"/>
    <n v="80"/>
    <n v="1"/>
    <n v="13"/>
    <n v="2"/>
    <n v="3"/>
    <n v="3"/>
    <n v="2"/>
    <n v="0"/>
    <n v="2"/>
    <n v="0"/>
    <x v="0"/>
  </r>
  <r>
    <n v="27"/>
    <s v="No"/>
    <s v="Travel_Rarely"/>
    <n v="1115"/>
    <x v="1"/>
    <n v="3"/>
    <n v="4"/>
    <x v="2"/>
    <n v="1"/>
    <x v="512"/>
    <n v="1"/>
    <s v="Male"/>
    <n v="54"/>
    <n v="2"/>
    <x v="1"/>
    <x v="1"/>
    <n v="4"/>
    <s v="Single"/>
    <n v="2045"/>
    <n v="15174"/>
    <n v="0"/>
    <s v="Y"/>
    <x v="1"/>
    <n v="13"/>
    <n v="3"/>
    <n v="4"/>
    <n v="80"/>
    <n v="0"/>
    <n v="5"/>
    <n v="0"/>
    <n v="3"/>
    <n v="4"/>
    <n v="2"/>
    <n v="1"/>
    <n v="1"/>
    <n v="0"/>
    <x v="2"/>
  </r>
  <r>
    <n v="20"/>
    <s v="Yes"/>
    <s v="Travel_Rarely"/>
    <n v="1362"/>
    <x v="1"/>
    <n v="10"/>
    <n v="1"/>
    <x v="2"/>
    <n v="1"/>
    <x v="513"/>
    <n v="4"/>
    <s v="Male"/>
    <n v="32"/>
    <n v="3"/>
    <x v="1"/>
    <x v="1"/>
    <n v="3"/>
    <s v="Single"/>
    <n v="1009"/>
    <n v="26999"/>
    <n v="1"/>
    <s v="Y"/>
    <x v="0"/>
    <n v="11"/>
    <n v="3"/>
    <n v="4"/>
    <n v="80"/>
    <n v="0"/>
    <n v="1"/>
    <n v="5"/>
    <n v="3"/>
    <n v="1"/>
    <n v="0"/>
    <n v="1"/>
    <n v="1"/>
    <n v="1"/>
    <x v="4"/>
  </r>
  <r>
    <n v="33"/>
    <s v="Yes"/>
    <s v="Travel_Frequently"/>
    <n v="1076"/>
    <x v="1"/>
    <n v="3"/>
    <n v="3"/>
    <x v="0"/>
    <n v="1"/>
    <x v="514"/>
    <n v="1"/>
    <s v="Male"/>
    <n v="70"/>
    <n v="3"/>
    <x v="1"/>
    <x v="1"/>
    <n v="1"/>
    <s v="Single"/>
    <n v="3348"/>
    <n v="3164"/>
    <n v="1"/>
    <s v="Y"/>
    <x v="0"/>
    <n v="11"/>
    <n v="3"/>
    <n v="1"/>
    <n v="80"/>
    <n v="0"/>
    <n v="10"/>
    <n v="3"/>
    <n v="3"/>
    <n v="10"/>
    <n v="8"/>
    <n v="9"/>
    <n v="7"/>
    <n v="1"/>
    <x v="2"/>
  </r>
  <r>
    <n v="35"/>
    <s v="No"/>
    <s v="Non-Travel"/>
    <n v="727"/>
    <x v="1"/>
    <n v="3"/>
    <n v="3"/>
    <x v="0"/>
    <n v="1"/>
    <x v="515"/>
    <n v="3"/>
    <s v="Male"/>
    <n v="41"/>
    <n v="2"/>
    <x v="1"/>
    <x v="2"/>
    <n v="3"/>
    <s v="Married"/>
    <n v="1281"/>
    <n v="16900"/>
    <n v="1"/>
    <s v="Y"/>
    <x v="1"/>
    <n v="18"/>
    <n v="3"/>
    <n v="3"/>
    <n v="80"/>
    <n v="2"/>
    <n v="1"/>
    <n v="3"/>
    <n v="3"/>
    <n v="1"/>
    <n v="0"/>
    <n v="0"/>
    <n v="0"/>
    <n v="0"/>
    <x v="2"/>
  </r>
  <r>
    <n v="23"/>
    <s v="No"/>
    <s v="Travel_Rarely"/>
    <n v="885"/>
    <x v="1"/>
    <n v="4"/>
    <n v="3"/>
    <x v="2"/>
    <n v="1"/>
    <x v="516"/>
    <n v="1"/>
    <s v="Male"/>
    <n v="58"/>
    <n v="4"/>
    <x v="1"/>
    <x v="1"/>
    <n v="1"/>
    <s v="Married"/>
    <n v="2819"/>
    <n v="8544"/>
    <n v="2"/>
    <s v="Y"/>
    <x v="1"/>
    <n v="16"/>
    <n v="3"/>
    <n v="1"/>
    <n v="80"/>
    <n v="1"/>
    <n v="5"/>
    <n v="3"/>
    <n v="4"/>
    <n v="3"/>
    <n v="2"/>
    <n v="0"/>
    <n v="2"/>
    <n v="0"/>
    <x v="4"/>
  </r>
  <r>
    <n v="25"/>
    <s v="No"/>
    <s v="Travel_Rarely"/>
    <n v="810"/>
    <x v="0"/>
    <n v="8"/>
    <n v="3"/>
    <x v="0"/>
    <n v="1"/>
    <x v="517"/>
    <n v="4"/>
    <s v="Male"/>
    <n v="57"/>
    <n v="4"/>
    <x v="0"/>
    <x v="0"/>
    <n v="2"/>
    <s v="Married"/>
    <n v="4851"/>
    <n v="15678"/>
    <n v="0"/>
    <s v="Y"/>
    <x v="1"/>
    <n v="22"/>
    <n v="4"/>
    <n v="3"/>
    <n v="80"/>
    <n v="1"/>
    <n v="4"/>
    <n v="4"/>
    <n v="3"/>
    <n v="3"/>
    <n v="2"/>
    <n v="1"/>
    <n v="2"/>
    <n v="0"/>
    <x v="4"/>
  </r>
  <r>
    <n v="38"/>
    <s v="No"/>
    <s v="Travel_Rarely"/>
    <n v="243"/>
    <x v="0"/>
    <n v="7"/>
    <n v="4"/>
    <x v="3"/>
    <n v="1"/>
    <x v="518"/>
    <n v="4"/>
    <s v="Female"/>
    <n v="46"/>
    <n v="2"/>
    <x v="0"/>
    <x v="0"/>
    <n v="4"/>
    <s v="Single"/>
    <n v="4028"/>
    <n v="7791"/>
    <n v="0"/>
    <s v="Y"/>
    <x v="1"/>
    <n v="20"/>
    <n v="4"/>
    <n v="1"/>
    <n v="80"/>
    <n v="0"/>
    <n v="8"/>
    <n v="2"/>
    <n v="3"/>
    <n v="7"/>
    <n v="7"/>
    <n v="0"/>
    <n v="5"/>
    <n v="0"/>
    <x v="0"/>
  </r>
  <r>
    <n v="29"/>
    <s v="No"/>
    <s v="Travel_Frequently"/>
    <n v="806"/>
    <x v="1"/>
    <n v="1"/>
    <n v="4"/>
    <x v="0"/>
    <n v="1"/>
    <x v="519"/>
    <n v="2"/>
    <s v="Male"/>
    <n v="76"/>
    <n v="1"/>
    <x v="1"/>
    <x v="1"/>
    <n v="4"/>
    <s v="Divorced"/>
    <n v="2720"/>
    <n v="18959"/>
    <n v="1"/>
    <s v="Y"/>
    <x v="1"/>
    <n v="18"/>
    <n v="3"/>
    <n v="4"/>
    <n v="80"/>
    <n v="1"/>
    <n v="10"/>
    <n v="5"/>
    <n v="3"/>
    <n v="10"/>
    <n v="7"/>
    <n v="2"/>
    <n v="8"/>
    <n v="0"/>
    <x v="2"/>
  </r>
  <r>
    <n v="48"/>
    <s v="No"/>
    <s v="Travel_Rarely"/>
    <n v="817"/>
    <x v="0"/>
    <n v="2"/>
    <n v="1"/>
    <x v="3"/>
    <n v="1"/>
    <x v="520"/>
    <n v="2"/>
    <s v="Male"/>
    <n v="56"/>
    <n v="4"/>
    <x v="0"/>
    <x v="0"/>
    <n v="2"/>
    <s v="Married"/>
    <n v="8120"/>
    <n v="18597"/>
    <n v="3"/>
    <s v="Y"/>
    <x v="1"/>
    <n v="12"/>
    <n v="3"/>
    <n v="4"/>
    <n v="80"/>
    <n v="0"/>
    <n v="12"/>
    <n v="3"/>
    <n v="3"/>
    <n v="2"/>
    <n v="2"/>
    <n v="2"/>
    <n v="2"/>
    <n v="0"/>
    <x v="1"/>
  </r>
  <r>
    <n v="27"/>
    <s v="No"/>
    <s v="Travel_Frequently"/>
    <n v="1410"/>
    <x v="0"/>
    <n v="3"/>
    <n v="1"/>
    <x v="2"/>
    <n v="1"/>
    <x v="521"/>
    <n v="4"/>
    <s v="Female"/>
    <n v="71"/>
    <n v="4"/>
    <x v="0"/>
    <x v="0"/>
    <n v="4"/>
    <s v="Divorced"/>
    <n v="4647"/>
    <n v="16673"/>
    <n v="1"/>
    <s v="Y"/>
    <x v="0"/>
    <n v="20"/>
    <n v="4"/>
    <n v="2"/>
    <n v="80"/>
    <n v="2"/>
    <n v="6"/>
    <n v="3"/>
    <n v="3"/>
    <n v="6"/>
    <n v="5"/>
    <n v="0"/>
    <n v="4"/>
    <n v="0"/>
    <x v="2"/>
  </r>
  <r>
    <n v="37"/>
    <s v="No"/>
    <s v="Travel_Rarely"/>
    <n v="1225"/>
    <x v="1"/>
    <n v="10"/>
    <n v="2"/>
    <x v="0"/>
    <n v="1"/>
    <x v="522"/>
    <n v="4"/>
    <s v="Male"/>
    <n v="80"/>
    <n v="4"/>
    <x v="1"/>
    <x v="1"/>
    <n v="4"/>
    <s v="Single"/>
    <n v="4680"/>
    <n v="15232"/>
    <n v="3"/>
    <s v="Y"/>
    <x v="1"/>
    <n v="17"/>
    <n v="3"/>
    <n v="1"/>
    <n v="80"/>
    <n v="0"/>
    <n v="4"/>
    <n v="2"/>
    <n v="3"/>
    <n v="1"/>
    <n v="0"/>
    <n v="0"/>
    <n v="0"/>
    <n v="0"/>
    <x v="0"/>
  </r>
  <r>
    <n v="50"/>
    <s v="No"/>
    <s v="Travel_Rarely"/>
    <n v="1207"/>
    <x v="1"/>
    <n v="28"/>
    <n v="1"/>
    <x v="2"/>
    <n v="1"/>
    <x v="523"/>
    <n v="4"/>
    <s v="Male"/>
    <n v="74"/>
    <n v="4"/>
    <x v="1"/>
    <x v="2"/>
    <n v="3"/>
    <s v="Married"/>
    <n v="3221"/>
    <n v="3297"/>
    <n v="1"/>
    <s v="Y"/>
    <x v="0"/>
    <n v="11"/>
    <n v="3"/>
    <n v="3"/>
    <n v="80"/>
    <n v="3"/>
    <n v="20"/>
    <n v="3"/>
    <n v="3"/>
    <n v="20"/>
    <n v="8"/>
    <n v="3"/>
    <n v="8"/>
    <n v="0"/>
    <x v="1"/>
  </r>
  <r>
    <n v="34"/>
    <s v="No"/>
    <s v="Travel_Rarely"/>
    <n v="1442"/>
    <x v="1"/>
    <n v="9"/>
    <n v="3"/>
    <x v="2"/>
    <n v="1"/>
    <x v="524"/>
    <n v="4"/>
    <s v="Female"/>
    <n v="46"/>
    <n v="2"/>
    <x v="2"/>
    <x v="4"/>
    <n v="2"/>
    <s v="Single"/>
    <n v="8621"/>
    <n v="17654"/>
    <n v="1"/>
    <s v="Y"/>
    <x v="1"/>
    <n v="14"/>
    <n v="3"/>
    <n v="2"/>
    <n v="80"/>
    <n v="0"/>
    <n v="9"/>
    <n v="3"/>
    <n v="4"/>
    <n v="8"/>
    <n v="7"/>
    <n v="7"/>
    <n v="7"/>
    <n v="0"/>
    <x v="2"/>
  </r>
  <r>
    <n v="24"/>
    <s v="Yes"/>
    <s v="Travel_Rarely"/>
    <n v="693"/>
    <x v="0"/>
    <n v="3"/>
    <n v="2"/>
    <x v="0"/>
    <n v="1"/>
    <x v="525"/>
    <n v="1"/>
    <s v="Female"/>
    <n v="65"/>
    <n v="3"/>
    <x v="0"/>
    <x v="0"/>
    <n v="3"/>
    <s v="Single"/>
    <n v="4577"/>
    <n v="24785"/>
    <n v="9"/>
    <s v="Y"/>
    <x v="1"/>
    <n v="14"/>
    <n v="3"/>
    <n v="1"/>
    <n v="80"/>
    <n v="0"/>
    <n v="4"/>
    <n v="3"/>
    <n v="3"/>
    <n v="2"/>
    <n v="2"/>
    <n v="2"/>
    <n v="0"/>
    <n v="1"/>
    <x v="4"/>
  </r>
  <r>
    <n v="39"/>
    <s v="No"/>
    <s v="Travel_Rarely"/>
    <n v="408"/>
    <x v="1"/>
    <n v="2"/>
    <n v="4"/>
    <x v="4"/>
    <n v="1"/>
    <x v="526"/>
    <n v="4"/>
    <s v="Female"/>
    <n v="80"/>
    <n v="2"/>
    <x v="0"/>
    <x v="4"/>
    <n v="3"/>
    <s v="Single"/>
    <n v="4553"/>
    <n v="20978"/>
    <n v="1"/>
    <s v="Y"/>
    <x v="1"/>
    <n v="11"/>
    <n v="3"/>
    <n v="1"/>
    <n v="80"/>
    <n v="0"/>
    <n v="20"/>
    <n v="4"/>
    <n v="3"/>
    <n v="20"/>
    <n v="7"/>
    <n v="11"/>
    <n v="10"/>
    <n v="0"/>
    <x v="0"/>
  </r>
  <r>
    <n v="32"/>
    <s v="No"/>
    <s v="Travel_Rarely"/>
    <n v="929"/>
    <x v="0"/>
    <n v="10"/>
    <n v="3"/>
    <x v="3"/>
    <n v="1"/>
    <x v="527"/>
    <n v="4"/>
    <s v="Male"/>
    <n v="55"/>
    <n v="3"/>
    <x v="0"/>
    <x v="0"/>
    <n v="4"/>
    <s v="Single"/>
    <n v="5396"/>
    <n v="21703"/>
    <n v="1"/>
    <s v="Y"/>
    <x v="1"/>
    <n v="12"/>
    <n v="3"/>
    <n v="4"/>
    <n v="80"/>
    <n v="0"/>
    <n v="10"/>
    <n v="2"/>
    <n v="2"/>
    <n v="10"/>
    <n v="7"/>
    <n v="0"/>
    <n v="8"/>
    <n v="0"/>
    <x v="2"/>
  </r>
  <r>
    <n v="50"/>
    <s v="Yes"/>
    <s v="Travel_Frequently"/>
    <n v="562"/>
    <x v="0"/>
    <n v="8"/>
    <n v="2"/>
    <x v="4"/>
    <n v="1"/>
    <x v="528"/>
    <n v="2"/>
    <s v="Male"/>
    <n v="50"/>
    <n v="3"/>
    <x v="0"/>
    <x v="0"/>
    <n v="3"/>
    <s v="Married"/>
    <n v="6796"/>
    <n v="23452"/>
    <n v="3"/>
    <s v="Y"/>
    <x v="0"/>
    <n v="14"/>
    <n v="3"/>
    <n v="1"/>
    <n v="80"/>
    <n v="1"/>
    <n v="18"/>
    <n v="4"/>
    <n v="3"/>
    <n v="4"/>
    <n v="3"/>
    <n v="1"/>
    <n v="3"/>
    <n v="1"/>
    <x v="1"/>
  </r>
  <r>
    <n v="38"/>
    <s v="No"/>
    <s v="Travel_Rarely"/>
    <n v="827"/>
    <x v="1"/>
    <n v="1"/>
    <n v="4"/>
    <x v="0"/>
    <n v="1"/>
    <x v="529"/>
    <n v="2"/>
    <s v="Female"/>
    <n v="33"/>
    <n v="4"/>
    <x v="0"/>
    <x v="4"/>
    <n v="4"/>
    <s v="Single"/>
    <n v="7625"/>
    <n v="19383"/>
    <n v="0"/>
    <s v="Y"/>
    <x v="1"/>
    <n v="13"/>
    <n v="3"/>
    <n v="3"/>
    <n v="80"/>
    <n v="0"/>
    <n v="10"/>
    <n v="4"/>
    <n v="2"/>
    <n v="9"/>
    <n v="7"/>
    <n v="1"/>
    <n v="8"/>
    <n v="0"/>
    <x v="0"/>
  </r>
  <r>
    <n v="27"/>
    <s v="No"/>
    <s v="Travel_Rarely"/>
    <n v="608"/>
    <x v="1"/>
    <n v="1"/>
    <n v="2"/>
    <x v="0"/>
    <n v="1"/>
    <x v="530"/>
    <n v="3"/>
    <s v="Female"/>
    <n v="68"/>
    <n v="3"/>
    <x v="2"/>
    <x v="3"/>
    <n v="1"/>
    <s v="Married"/>
    <n v="7412"/>
    <n v="6009"/>
    <n v="1"/>
    <s v="Y"/>
    <x v="1"/>
    <n v="11"/>
    <n v="3"/>
    <n v="4"/>
    <n v="80"/>
    <n v="0"/>
    <n v="9"/>
    <n v="3"/>
    <n v="3"/>
    <n v="9"/>
    <n v="7"/>
    <n v="0"/>
    <n v="7"/>
    <n v="0"/>
    <x v="2"/>
  </r>
  <r>
    <n v="32"/>
    <s v="No"/>
    <s v="Travel_Rarely"/>
    <n v="1018"/>
    <x v="1"/>
    <n v="3"/>
    <n v="2"/>
    <x v="0"/>
    <n v="1"/>
    <x v="531"/>
    <n v="3"/>
    <s v="Female"/>
    <n v="39"/>
    <n v="3"/>
    <x v="2"/>
    <x v="7"/>
    <n v="4"/>
    <s v="Single"/>
    <n v="11159"/>
    <n v="19373"/>
    <n v="3"/>
    <s v="Y"/>
    <x v="1"/>
    <n v="15"/>
    <n v="3"/>
    <n v="4"/>
    <n v="80"/>
    <n v="0"/>
    <n v="10"/>
    <n v="6"/>
    <n v="3"/>
    <n v="7"/>
    <n v="7"/>
    <n v="7"/>
    <n v="7"/>
    <n v="0"/>
    <x v="2"/>
  </r>
  <r>
    <n v="47"/>
    <s v="No"/>
    <s v="Travel_Rarely"/>
    <n v="703"/>
    <x v="0"/>
    <n v="14"/>
    <n v="4"/>
    <x v="3"/>
    <n v="1"/>
    <x v="532"/>
    <n v="4"/>
    <s v="Male"/>
    <n v="42"/>
    <n v="3"/>
    <x v="0"/>
    <x v="0"/>
    <n v="1"/>
    <s v="Single"/>
    <n v="4960"/>
    <n v="11825"/>
    <n v="2"/>
    <s v="Y"/>
    <x v="1"/>
    <n v="12"/>
    <n v="3"/>
    <n v="4"/>
    <n v="80"/>
    <n v="0"/>
    <n v="20"/>
    <n v="2"/>
    <n v="3"/>
    <n v="7"/>
    <n v="7"/>
    <n v="1"/>
    <n v="7"/>
    <n v="0"/>
    <x v="1"/>
  </r>
  <r>
    <n v="40"/>
    <s v="No"/>
    <s v="Travel_Frequently"/>
    <n v="580"/>
    <x v="0"/>
    <n v="5"/>
    <n v="4"/>
    <x v="0"/>
    <n v="1"/>
    <x v="533"/>
    <n v="4"/>
    <s v="Male"/>
    <n v="48"/>
    <n v="2"/>
    <x v="2"/>
    <x v="0"/>
    <n v="1"/>
    <s v="Married"/>
    <n v="10475"/>
    <n v="23772"/>
    <n v="5"/>
    <s v="Y"/>
    <x v="0"/>
    <n v="21"/>
    <n v="4"/>
    <n v="3"/>
    <n v="80"/>
    <n v="1"/>
    <n v="20"/>
    <n v="2"/>
    <n v="3"/>
    <n v="18"/>
    <n v="13"/>
    <n v="1"/>
    <n v="12"/>
    <n v="0"/>
    <x v="0"/>
  </r>
  <r>
    <n v="53"/>
    <s v="No"/>
    <s v="Travel_Rarely"/>
    <n v="970"/>
    <x v="1"/>
    <n v="7"/>
    <n v="3"/>
    <x v="0"/>
    <n v="1"/>
    <x v="534"/>
    <n v="3"/>
    <s v="Male"/>
    <n v="59"/>
    <n v="4"/>
    <x v="3"/>
    <x v="7"/>
    <n v="3"/>
    <s v="Married"/>
    <n v="14814"/>
    <n v="13514"/>
    <n v="3"/>
    <s v="Y"/>
    <x v="1"/>
    <n v="19"/>
    <n v="3"/>
    <n v="3"/>
    <n v="80"/>
    <n v="0"/>
    <n v="32"/>
    <n v="3"/>
    <n v="3"/>
    <n v="5"/>
    <n v="1"/>
    <n v="1"/>
    <n v="3"/>
    <n v="0"/>
    <x v="1"/>
  </r>
  <r>
    <n v="41"/>
    <s v="No"/>
    <s v="Travel_Rarely"/>
    <n v="427"/>
    <x v="2"/>
    <n v="10"/>
    <n v="4"/>
    <x v="5"/>
    <n v="1"/>
    <x v="535"/>
    <n v="2"/>
    <s v="Male"/>
    <n v="73"/>
    <n v="2"/>
    <x v="4"/>
    <x v="5"/>
    <n v="4"/>
    <s v="Divorced"/>
    <n v="19141"/>
    <n v="8861"/>
    <n v="3"/>
    <s v="Y"/>
    <x v="1"/>
    <n v="15"/>
    <n v="3"/>
    <n v="2"/>
    <n v="80"/>
    <n v="3"/>
    <n v="23"/>
    <n v="2"/>
    <n v="2"/>
    <n v="21"/>
    <n v="6"/>
    <n v="12"/>
    <n v="6"/>
    <n v="0"/>
    <x v="0"/>
  </r>
  <r>
    <n v="60"/>
    <s v="No"/>
    <s v="Travel_Rarely"/>
    <n v="1179"/>
    <x v="0"/>
    <n v="16"/>
    <n v="4"/>
    <x v="3"/>
    <n v="1"/>
    <x v="536"/>
    <n v="1"/>
    <s v="Male"/>
    <n v="84"/>
    <n v="3"/>
    <x v="0"/>
    <x v="0"/>
    <n v="1"/>
    <s v="Single"/>
    <n v="5405"/>
    <n v="11924"/>
    <n v="8"/>
    <s v="Y"/>
    <x v="1"/>
    <n v="14"/>
    <n v="3"/>
    <n v="4"/>
    <n v="80"/>
    <n v="0"/>
    <n v="10"/>
    <n v="1"/>
    <n v="3"/>
    <n v="2"/>
    <n v="2"/>
    <n v="2"/>
    <n v="2"/>
    <n v="0"/>
    <x v="3"/>
  </r>
  <r>
    <n v="27"/>
    <s v="No"/>
    <s v="Travel_Frequently"/>
    <n v="294"/>
    <x v="1"/>
    <n v="10"/>
    <n v="2"/>
    <x v="0"/>
    <n v="1"/>
    <x v="537"/>
    <n v="4"/>
    <s v="Male"/>
    <n v="32"/>
    <n v="3"/>
    <x v="2"/>
    <x v="3"/>
    <n v="1"/>
    <s v="Divorced"/>
    <n v="8793"/>
    <n v="4809"/>
    <n v="1"/>
    <s v="Y"/>
    <x v="1"/>
    <n v="21"/>
    <n v="4"/>
    <n v="3"/>
    <n v="80"/>
    <n v="2"/>
    <n v="9"/>
    <n v="4"/>
    <n v="2"/>
    <n v="9"/>
    <n v="7"/>
    <n v="1"/>
    <n v="7"/>
    <n v="0"/>
    <x v="2"/>
  </r>
  <r>
    <n v="41"/>
    <s v="No"/>
    <s v="Travel_Rarely"/>
    <n v="314"/>
    <x v="2"/>
    <n v="1"/>
    <n v="3"/>
    <x v="5"/>
    <n v="1"/>
    <x v="538"/>
    <n v="4"/>
    <s v="Male"/>
    <n v="59"/>
    <n v="2"/>
    <x v="4"/>
    <x v="5"/>
    <n v="3"/>
    <s v="Married"/>
    <n v="19189"/>
    <n v="19562"/>
    <n v="1"/>
    <s v="Y"/>
    <x v="1"/>
    <n v="12"/>
    <n v="3"/>
    <n v="2"/>
    <n v="80"/>
    <n v="1"/>
    <n v="22"/>
    <n v="3"/>
    <n v="3"/>
    <n v="22"/>
    <n v="7"/>
    <n v="2"/>
    <n v="10"/>
    <n v="0"/>
    <x v="0"/>
  </r>
  <r>
    <n v="50"/>
    <s v="No"/>
    <s v="Travel_Rarely"/>
    <n v="316"/>
    <x v="0"/>
    <n v="8"/>
    <n v="4"/>
    <x v="3"/>
    <n v="1"/>
    <x v="539"/>
    <n v="4"/>
    <s v="Male"/>
    <n v="54"/>
    <n v="3"/>
    <x v="1"/>
    <x v="6"/>
    <n v="2"/>
    <s v="Married"/>
    <n v="3875"/>
    <n v="9983"/>
    <n v="7"/>
    <s v="Y"/>
    <x v="1"/>
    <n v="15"/>
    <n v="3"/>
    <n v="4"/>
    <n v="80"/>
    <n v="1"/>
    <n v="4"/>
    <n v="2"/>
    <n v="3"/>
    <n v="2"/>
    <n v="2"/>
    <n v="2"/>
    <n v="2"/>
    <n v="0"/>
    <x v="1"/>
  </r>
  <r>
    <n v="28"/>
    <s v="Yes"/>
    <s v="Travel_Rarely"/>
    <n v="654"/>
    <x v="1"/>
    <n v="1"/>
    <n v="2"/>
    <x v="0"/>
    <n v="1"/>
    <x v="540"/>
    <n v="1"/>
    <s v="Female"/>
    <n v="67"/>
    <n v="1"/>
    <x v="1"/>
    <x v="1"/>
    <n v="2"/>
    <s v="Single"/>
    <n v="2216"/>
    <n v="3872"/>
    <n v="7"/>
    <s v="Y"/>
    <x v="0"/>
    <n v="13"/>
    <n v="3"/>
    <n v="4"/>
    <n v="80"/>
    <n v="0"/>
    <n v="10"/>
    <n v="4"/>
    <n v="3"/>
    <n v="7"/>
    <n v="7"/>
    <n v="3"/>
    <n v="7"/>
    <n v="1"/>
    <x v="2"/>
  </r>
  <r>
    <n v="36"/>
    <s v="No"/>
    <s v="Non-Travel"/>
    <n v="427"/>
    <x v="1"/>
    <n v="8"/>
    <n v="3"/>
    <x v="0"/>
    <n v="1"/>
    <x v="541"/>
    <n v="1"/>
    <s v="Female"/>
    <n v="63"/>
    <n v="4"/>
    <x v="2"/>
    <x v="7"/>
    <n v="1"/>
    <s v="Married"/>
    <n v="11713"/>
    <n v="20335"/>
    <n v="9"/>
    <s v="Y"/>
    <x v="1"/>
    <n v="14"/>
    <n v="3"/>
    <n v="1"/>
    <n v="80"/>
    <n v="1"/>
    <n v="10"/>
    <n v="2"/>
    <n v="3"/>
    <n v="8"/>
    <n v="7"/>
    <n v="0"/>
    <n v="5"/>
    <n v="0"/>
    <x v="0"/>
  </r>
  <r>
    <n v="38"/>
    <s v="No"/>
    <s v="Travel_Rarely"/>
    <n v="168"/>
    <x v="1"/>
    <n v="1"/>
    <n v="3"/>
    <x v="0"/>
    <n v="1"/>
    <x v="542"/>
    <n v="3"/>
    <s v="Female"/>
    <n v="81"/>
    <n v="3"/>
    <x v="2"/>
    <x v="3"/>
    <n v="3"/>
    <s v="Single"/>
    <n v="7861"/>
    <n v="15397"/>
    <n v="4"/>
    <s v="Y"/>
    <x v="0"/>
    <n v="14"/>
    <n v="3"/>
    <n v="4"/>
    <n v="80"/>
    <n v="0"/>
    <n v="10"/>
    <n v="4"/>
    <n v="4"/>
    <n v="1"/>
    <n v="0"/>
    <n v="0"/>
    <n v="0"/>
    <n v="0"/>
    <x v="0"/>
  </r>
  <r>
    <n v="44"/>
    <s v="No"/>
    <s v="Non-Travel"/>
    <n v="381"/>
    <x v="1"/>
    <n v="24"/>
    <n v="3"/>
    <x v="2"/>
    <n v="1"/>
    <x v="543"/>
    <n v="1"/>
    <s v="Male"/>
    <n v="49"/>
    <n v="1"/>
    <x v="1"/>
    <x v="2"/>
    <n v="3"/>
    <s v="Single"/>
    <n v="3708"/>
    <n v="2104"/>
    <n v="2"/>
    <s v="Y"/>
    <x v="1"/>
    <n v="14"/>
    <n v="3"/>
    <n v="3"/>
    <n v="80"/>
    <n v="0"/>
    <n v="9"/>
    <n v="5"/>
    <n v="3"/>
    <n v="5"/>
    <n v="2"/>
    <n v="1"/>
    <n v="4"/>
    <n v="0"/>
    <x v="0"/>
  </r>
  <r>
    <n v="47"/>
    <s v="No"/>
    <s v="Travel_Frequently"/>
    <n v="217"/>
    <x v="0"/>
    <n v="3"/>
    <n v="3"/>
    <x v="2"/>
    <n v="1"/>
    <x v="544"/>
    <n v="4"/>
    <s v="Female"/>
    <n v="49"/>
    <n v="3"/>
    <x v="3"/>
    <x v="0"/>
    <n v="3"/>
    <s v="Divorced"/>
    <n v="13770"/>
    <n v="10225"/>
    <n v="9"/>
    <s v="Y"/>
    <x v="0"/>
    <n v="12"/>
    <n v="3"/>
    <n v="4"/>
    <n v="80"/>
    <n v="2"/>
    <n v="28"/>
    <n v="2"/>
    <n v="2"/>
    <n v="22"/>
    <n v="2"/>
    <n v="11"/>
    <n v="13"/>
    <n v="0"/>
    <x v="1"/>
  </r>
  <r>
    <n v="30"/>
    <s v="No"/>
    <s v="Travel_Rarely"/>
    <n v="501"/>
    <x v="0"/>
    <n v="27"/>
    <n v="5"/>
    <x v="3"/>
    <n v="1"/>
    <x v="545"/>
    <n v="3"/>
    <s v="Male"/>
    <n v="99"/>
    <n v="3"/>
    <x v="0"/>
    <x v="0"/>
    <n v="4"/>
    <s v="Divorced"/>
    <n v="5304"/>
    <n v="25275"/>
    <n v="7"/>
    <s v="Y"/>
    <x v="1"/>
    <n v="23"/>
    <n v="4"/>
    <n v="4"/>
    <n v="80"/>
    <n v="1"/>
    <n v="10"/>
    <n v="2"/>
    <n v="2"/>
    <n v="8"/>
    <n v="7"/>
    <n v="7"/>
    <n v="7"/>
    <n v="0"/>
    <x v="2"/>
  </r>
  <r>
    <n v="29"/>
    <s v="No"/>
    <s v="Travel_Rarely"/>
    <n v="1396"/>
    <x v="0"/>
    <n v="10"/>
    <n v="3"/>
    <x v="0"/>
    <n v="1"/>
    <x v="546"/>
    <n v="3"/>
    <s v="Male"/>
    <n v="99"/>
    <n v="3"/>
    <x v="1"/>
    <x v="6"/>
    <n v="3"/>
    <s v="Single"/>
    <n v="2642"/>
    <n v="2755"/>
    <n v="1"/>
    <s v="Y"/>
    <x v="1"/>
    <n v="11"/>
    <n v="3"/>
    <n v="3"/>
    <n v="80"/>
    <n v="0"/>
    <n v="1"/>
    <n v="6"/>
    <n v="3"/>
    <n v="1"/>
    <n v="0"/>
    <n v="0"/>
    <n v="0"/>
    <n v="0"/>
    <x v="2"/>
  </r>
  <r>
    <n v="42"/>
    <s v="Yes"/>
    <s v="Travel_Frequently"/>
    <n v="933"/>
    <x v="1"/>
    <n v="19"/>
    <n v="3"/>
    <x v="2"/>
    <n v="1"/>
    <x v="547"/>
    <n v="3"/>
    <s v="Male"/>
    <n v="57"/>
    <n v="4"/>
    <x v="1"/>
    <x v="1"/>
    <n v="3"/>
    <s v="Divorced"/>
    <n v="2759"/>
    <n v="20366"/>
    <n v="6"/>
    <s v="Y"/>
    <x v="0"/>
    <n v="12"/>
    <n v="3"/>
    <n v="4"/>
    <n v="80"/>
    <n v="0"/>
    <n v="7"/>
    <n v="2"/>
    <n v="3"/>
    <n v="2"/>
    <n v="2"/>
    <n v="2"/>
    <n v="2"/>
    <n v="1"/>
    <x v="0"/>
  </r>
  <r>
    <n v="43"/>
    <s v="No"/>
    <s v="Travel_Frequently"/>
    <n v="775"/>
    <x v="0"/>
    <n v="15"/>
    <n v="3"/>
    <x v="0"/>
    <n v="1"/>
    <x v="548"/>
    <n v="4"/>
    <s v="Male"/>
    <n v="47"/>
    <n v="2"/>
    <x v="0"/>
    <x v="0"/>
    <n v="4"/>
    <s v="Married"/>
    <n v="6804"/>
    <n v="23683"/>
    <n v="3"/>
    <s v="Y"/>
    <x v="1"/>
    <n v="18"/>
    <n v="3"/>
    <n v="3"/>
    <n v="80"/>
    <n v="1"/>
    <n v="7"/>
    <n v="5"/>
    <n v="3"/>
    <n v="2"/>
    <n v="2"/>
    <n v="2"/>
    <n v="2"/>
    <n v="0"/>
    <x v="0"/>
  </r>
  <r>
    <n v="34"/>
    <s v="No"/>
    <s v="Travel_Rarely"/>
    <n v="970"/>
    <x v="1"/>
    <n v="8"/>
    <n v="2"/>
    <x v="2"/>
    <n v="1"/>
    <x v="549"/>
    <n v="2"/>
    <s v="Female"/>
    <n v="96"/>
    <n v="3"/>
    <x v="0"/>
    <x v="4"/>
    <n v="3"/>
    <s v="Single"/>
    <n v="6142"/>
    <n v="7360"/>
    <n v="3"/>
    <s v="Y"/>
    <x v="1"/>
    <n v="11"/>
    <n v="3"/>
    <n v="4"/>
    <n v="80"/>
    <n v="0"/>
    <n v="10"/>
    <n v="2"/>
    <n v="3"/>
    <n v="5"/>
    <n v="1"/>
    <n v="4"/>
    <n v="3"/>
    <n v="0"/>
    <x v="2"/>
  </r>
  <r>
    <n v="23"/>
    <s v="No"/>
    <s v="Travel_Rarely"/>
    <n v="650"/>
    <x v="1"/>
    <n v="9"/>
    <n v="1"/>
    <x v="2"/>
    <n v="1"/>
    <x v="550"/>
    <n v="2"/>
    <s v="Male"/>
    <n v="37"/>
    <n v="3"/>
    <x v="1"/>
    <x v="2"/>
    <n v="1"/>
    <s v="Married"/>
    <n v="2500"/>
    <n v="4344"/>
    <n v="1"/>
    <s v="Y"/>
    <x v="1"/>
    <n v="14"/>
    <n v="3"/>
    <n v="4"/>
    <n v="80"/>
    <n v="1"/>
    <n v="5"/>
    <n v="2"/>
    <n v="4"/>
    <n v="4"/>
    <n v="3"/>
    <n v="0"/>
    <n v="2"/>
    <n v="0"/>
    <x v="4"/>
  </r>
  <r>
    <n v="39"/>
    <s v="No"/>
    <s v="Travel_Rarely"/>
    <n v="141"/>
    <x v="2"/>
    <n v="3"/>
    <n v="3"/>
    <x v="5"/>
    <n v="1"/>
    <x v="551"/>
    <n v="3"/>
    <s v="Female"/>
    <n v="44"/>
    <n v="4"/>
    <x v="0"/>
    <x v="8"/>
    <n v="2"/>
    <s v="Married"/>
    <n v="6389"/>
    <n v="18767"/>
    <n v="9"/>
    <s v="Y"/>
    <x v="1"/>
    <n v="15"/>
    <n v="3"/>
    <n v="3"/>
    <n v="80"/>
    <n v="1"/>
    <n v="12"/>
    <n v="3"/>
    <n v="1"/>
    <n v="8"/>
    <n v="3"/>
    <n v="3"/>
    <n v="6"/>
    <n v="0"/>
    <x v="0"/>
  </r>
  <r>
    <n v="56"/>
    <s v="No"/>
    <s v="Travel_Rarely"/>
    <n v="832"/>
    <x v="1"/>
    <n v="9"/>
    <n v="3"/>
    <x v="2"/>
    <n v="1"/>
    <x v="552"/>
    <n v="3"/>
    <s v="Male"/>
    <n v="81"/>
    <n v="3"/>
    <x v="3"/>
    <x v="4"/>
    <n v="4"/>
    <s v="Married"/>
    <n v="11103"/>
    <n v="20420"/>
    <n v="7"/>
    <s v="Y"/>
    <x v="1"/>
    <n v="11"/>
    <n v="3"/>
    <n v="3"/>
    <n v="80"/>
    <n v="0"/>
    <n v="30"/>
    <n v="1"/>
    <n v="2"/>
    <n v="10"/>
    <n v="7"/>
    <n v="1"/>
    <n v="1"/>
    <n v="0"/>
    <x v="3"/>
  </r>
  <r>
    <n v="40"/>
    <s v="No"/>
    <s v="Travel_Rarely"/>
    <n v="804"/>
    <x v="1"/>
    <n v="2"/>
    <n v="1"/>
    <x v="2"/>
    <n v="1"/>
    <x v="553"/>
    <n v="4"/>
    <s v="Female"/>
    <n v="86"/>
    <n v="2"/>
    <x v="1"/>
    <x v="1"/>
    <n v="4"/>
    <s v="Single"/>
    <n v="2342"/>
    <n v="22929"/>
    <n v="0"/>
    <s v="Y"/>
    <x v="0"/>
    <n v="20"/>
    <n v="4"/>
    <n v="4"/>
    <n v="80"/>
    <n v="0"/>
    <n v="5"/>
    <n v="2"/>
    <n v="2"/>
    <n v="4"/>
    <n v="2"/>
    <n v="2"/>
    <n v="3"/>
    <n v="0"/>
    <x v="0"/>
  </r>
  <r>
    <n v="27"/>
    <s v="No"/>
    <s v="Travel_Rarely"/>
    <n v="975"/>
    <x v="1"/>
    <n v="7"/>
    <n v="3"/>
    <x v="2"/>
    <n v="1"/>
    <x v="554"/>
    <n v="4"/>
    <s v="Female"/>
    <n v="55"/>
    <n v="2"/>
    <x v="0"/>
    <x v="4"/>
    <n v="1"/>
    <s v="Single"/>
    <n v="6811"/>
    <n v="23398"/>
    <n v="8"/>
    <s v="Y"/>
    <x v="1"/>
    <n v="19"/>
    <n v="3"/>
    <n v="1"/>
    <n v="80"/>
    <n v="0"/>
    <n v="9"/>
    <n v="2"/>
    <n v="1"/>
    <n v="7"/>
    <n v="6"/>
    <n v="0"/>
    <n v="7"/>
    <n v="0"/>
    <x v="2"/>
  </r>
  <r>
    <n v="29"/>
    <s v="No"/>
    <s v="Travel_Rarely"/>
    <n v="1090"/>
    <x v="0"/>
    <n v="10"/>
    <n v="3"/>
    <x v="3"/>
    <n v="1"/>
    <x v="555"/>
    <n v="4"/>
    <s v="Male"/>
    <n v="83"/>
    <n v="3"/>
    <x v="1"/>
    <x v="6"/>
    <n v="2"/>
    <s v="Divorced"/>
    <n v="2297"/>
    <n v="17967"/>
    <n v="1"/>
    <s v="Y"/>
    <x v="1"/>
    <n v="14"/>
    <n v="3"/>
    <n v="4"/>
    <n v="80"/>
    <n v="2"/>
    <n v="2"/>
    <n v="2"/>
    <n v="3"/>
    <n v="2"/>
    <n v="2"/>
    <n v="2"/>
    <n v="2"/>
    <n v="0"/>
    <x v="2"/>
  </r>
  <r>
    <n v="53"/>
    <s v="No"/>
    <s v="Travel_Rarely"/>
    <n v="346"/>
    <x v="1"/>
    <n v="6"/>
    <n v="3"/>
    <x v="0"/>
    <n v="1"/>
    <x v="556"/>
    <n v="4"/>
    <s v="Male"/>
    <n v="86"/>
    <n v="3"/>
    <x v="0"/>
    <x v="2"/>
    <n v="4"/>
    <s v="Single"/>
    <n v="2450"/>
    <n v="10919"/>
    <n v="2"/>
    <s v="Y"/>
    <x v="1"/>
    <n v="17"/>
    <n v="3"/>
    <n v="4"/>
    <n v="80"/>
    <n v="0"/>
    <n v="19"/>
    <n v="4"/>
    <n v="3"/>
    <n v="2"/>
    <n v="2"/>
    <n v="2"/>
    <n v="2"/>
    <n v="0"/>
    <x v="1"/>
  </r>
  <r>
    <n v="35"/>
    <s v="No"/>
    <s v="Non-Travel"/>
    <n v="1225"/>
    <x v="1"/>
    <n v="2"/>
    <n v="4"/>
    <x v="0"/>
    <n v="1"/>
    <x v="557"/>
    <n v="4"/>
    <s v="Female"/>
    <n v="61"/>
    <n v="3"/>
    <x v="0"/>
    <x v="4"/>
    <n v="1"/>
    <s v="Divorced"/>
    <n v="5093"/>
    <n v="4761"/>
    <n v="2"/>
    <s v="Y"/>
    <x v="1"/>
    <n v="11"/>
    <n v="3"/>
    <n v="1"/>
    <n v="80"/>
    <n v="1"/>
    <n v="16"/>
    <n v="2"/>
    <n v="4"/>
    <n v="1"/>
    <n v="0"/>
    <n v="0"/>
    <n v="0"/>
    <n v="0"/>
    <x v="2"/>
  </r>
  <r>
    <n v="32"/>
    <s v="No"/>
    <s v="Travel_Frequently"/>
    <n v="430"/>
    <x v="1"/>
    <n v="24"/>
    <n v="4"/>
    <x v="0"/>
    <n v="1"/>
    <x v="558"/>
    <n v="1"/>
    <s v="Male"/>
    <n v="80"/>
    <n v="3"/>
    <x v="0"/>
    <x v="2"/>
    <n v="4"/>
    <s v="Married"/>
    <n v="5309"/>
    <n v="21146"/>
    <n v="1"/>
    <s v="Y"/>
    <x v="1"/>
    <n v="15"/>
    <n v="3"/>
    <n v="4"/>
    <n v="80"/>
    <n v="2"/>
    <n v="10"/>
    <n v="2"/>
    <n v="3"/>
    <n v="10"/>
    <n v="8"/>
    <n v="4"/>
    <n v="7"/>
    <n v="0"/>
    <x v="2"/>
  </r>
  <r>
    <n v="38"/>
    <s v="No"/>
    <s v="Travel_Rarely"/>
    <n v="268"/>
    <x v="1"/>
    <n v="2"/>
    <n v="5"/>
    <x v="2"/>
    <n v="1"/>
    <x v="559"/>
    <n v="4"/>
    <s v="Male"/>
    <n v="92"/>
    <n v="3"/>
    <x v="1"/>
    <x v="1"/>
    <n v="3"/>
    <s v="Married"/>
    <n v="3057"/>
    <n v="20471"/>
    <n v="6"/>
    <s v="Y"/>
    <x v="0"/>
    <n v="13"/>
    <n v="3"/>
    <n v="2"/>
    <n v="80"/>
    <n v="1"/>
    <n v="6"/>
    <n v="0"/>
    <n v="1"/>
    <n v="1"/>
    <n v="0"/>
    <n v="0"/>
    <n v="1"/>
    <n v="0"/>
    <x v="0"/>
  </r>
  <r>
    <n v="34"/>
    <s v="No"/>
    <s v="Travel_Rarely"/>
    <n v="167"/>
    <x v="1"/>
    <n v="8"/>
    <n v="5"/>
    <x v="0"/>
    <n v="1"/>
    <x v="560"/>
    <n v="2"/>
    <s v="Female"/>
    <n v="32"/>
    <n v="3"/>
    <x v="0"/>
    <x v="3"/>
    <n v="1"/>
    <s v="Divorced"/>
    <n v="5121"/>
    <n v="4187"/>
    <n v="3"/>
    <s v="Y"/>
    <x v="1"/>
    <n v="14"/>
    <n v="3"/>
    <n v="3"/>
    <n v="80"/>
    <n v="1"/>
    <n v="7"/>
    <n v="3"/>
    <n v="3"/>
    <n v="0"/>
    <n v="0"/>
    <n v="0"/>
    <n v="0"/>
    <n v="0"/>
    <x v="2"/>
  </r>
  <r>
    <n v="52"/>
    <s v="No"/>
    <s v="Travel_Rarely"/>
    <n v="621"/>
    <x v="0"/>
    <n v="3"/>
    <n v="4"/>
    <x v="3"/>
    <n v="1"/>
    <x v="561"/>
    <n v="3"/>
    <s v="Male"/>
    <n v="31"/>
    <n v="2"/>
    <x v="3"/>
    <x v="5"/>
    <n v="1"/>
    <s v="Married"/>
    <n v="16856"/>
    <n v="10084"/>
    <n v="1"/>
    <s v="Y"/>
    <x v="1"/>
    <n v="11"/>
    <n v="3"/>
    <n v="1"/>
    <n v="80"/>
    <n v="0"/>
    <n v="34"/>
    <n v="3"/>
    <n v="4"/>
    <n v="34"/>
    <n v="6"/>
    <n v="1"/>
    <n v="16"/>
    <n v="0"/>
    <x v="1"/>
  </r>
  <r>
    <n v="33"/>
    <s v="Yes"/>
    <s v="Travel_Rarely"/>
    <n v="527"/>
    <x v="1"/>
    <n v="1"/>
    <n v="4"/>
    <x v="1"/>
    <n v="1"/>
    <x v="562"/>
    <n v="4"/>
    <s v="Male"/>
    <n v="63"/>
    <n v="3"/>
    <x v="1"/>
    <x v="1"/>
    <n v="4"/>
    <s v="Single"/>
    <n v="2686"/>
    <n v="5207"/>
    <n v="1"/>
    <s v="Y"/>
    <x v="0"/>
    <n v="13"/>
    <n v="3"/>
    <n v="3"/>
    <n v="80"/>
    <n v="0"/>
    <n v="10"/>
    <n v="2"/>
    <n v="2"/>
    <n v="10"/>
    <n v="9"/>
    <n v="7"/>
    <n v="8"/>
    <n v="1"/>
    <x v="2"/>
  </r>
  <r>
    <n v="25"/>
    <s v="No"/>
    <s v="Travel_Rarely"/>
    <n v="883"/>
    <x v="0"/>
    <n v="26"/>
    <n v="1"/>
    <x v="2"/>
    <n v="1"/>
    <x v="563"/>
    <n v="3"/>
    <s v="Female"/>
    <n v="32"/>
    <n v="3"/>
    <x v="0"/>
    <x v="0"/>
    <n v="4"/>
    <s v="Single"/>
    <n v="6180"/>
    <n v="22807"/>
    <n v="1"/>
    <s v="Y"/>
    <x v="1"/>
    <n v="23"/>
    <n v="4"/>
    <n v="2"/>
    <n v="80"/>
    <n v="0"/>
    <n v="6"/>
    <n v="5"/>
    <n v="2"/>
    <n v="6"/>
    <n v="5"/>
    <n v="1"/>
    <n v="4"/>
    <n v="0"/>
    <x v="4"/>
  </r>
  <r>
    <n v="45"/>
    <s v="No"/>
    <s v="Travel_Rarely"/>
    <n v="954"/>
    <x v="0"/>
    <n v="2"/>
    <n v="2"/>
    <x v="4"/>
    <n v="1"/>
    <x v="564"/>
    <n v="2"/>
    <s v="Male"/>
    <n v="46"/>
    <n v="1"/>
    <x v="0"/>
    <x v="6"/>
    <n v="3"/>
    <s v="Single"/>
    <n v="6632"/>
    <n v="12388"/>
    <n v="0"/>
    <s v="Y"/>
    <x v="1"/>
    <n v="13"/>
    <n v="3"/>
    <n v="1"/>
    <n v="80"/>
    <n v="0"/>
    <n v="9"/>
    <n v="3"/>
    <n v="3"/>
    <n v="8"/>
    <n v="7"/>
    <n v="3"/>
    <n v="1"/>
    <n v="0"/>
    <x v="0"/>
  </r>
  <r>
    <n v="23"/>
    <s v="No"/>
    <s v="Travel_Rarely"/>
    <n v="310"/>
    <x v="1"/>
    <n v="10"/>
    <n v="1"/>
    <x v="2"/>
    <n v="1"/>
    <x v="565"/>
    <n v="1"/>
    <s v="Male"/>
    <n v="79"/>
    <n v="4"/>
    <x v="1"/>
    <x v="1"/>
    <n v="3"/>
    <s v="Single"/>
    <n v="3505"/>
    <n v="19630"/>
    <n v="1"/>
    <s v="Y"/>
    <x v="1"/>
    <n v="18"/>
    <n v="3"/>
    <n v="4"/>
    <n v="80"/>
    <n v="0"/>
    <n v="2"/>
    <n v="3"/>
    <n v="3"/>
    <n v="2"/>
    <n v="2"/>
    <n v="0"/>
    <n v="2"/>
    <n v="0"/>
    <x v="4"/>
  </r>
  <r>
    <n v="47"/>
    <s v="Yes"/>
    <s v="Travel_Frequently"/>
    <n v="719"/>
    <x v="0"/>
    <n v="27"/>
    <n v="2"/>
    <x v="0"/>
    <n v="1"/>
    <x v="566"/>
    <n v="2"/>
    <s v="Female"/>
    <n v="77"/>
    <n v="4"/>
    <x v="0"/>
    <x v="0"/>
    <n v="3"/>
    <s v="Single"/>
    <n v="6397"/>
    <n v="10339"/>
    <n v="4"/>
    <s v="Y"/>
    <x v="0"/>
    <n v="12"/>
    <n v="3"/>
    <n v="4"/>
    <n v="80"/>
    <n v="0"/>
    <n v="8"/>
    <n v="2"/>
    <n v="3"/>
    <n v="5"/>
    <n v="4"/>
    <n v="1"/>
    <n v="3"/>
    <n v="1"/>
    <x v="1"/>
  </r>
  <r>
    <n v="34"/>
    <s v="No"/>
    <s v="Travel_Rarely"/>
    <n v="304"/>
    <x v="0"/>
    <n v="2"/>
    <n v="3"/>
    <x v="1"/>
    <n v="1"/>
    <x v="567"/>
    <n v="4"/>
    <s v="Male"/>
    <n v="60"/>
    <n v="3"/>
    <x v="0"/>
    <x v="0"/>
    <n v="4"/>
    <s v="Single"/>
    <n v="6274"/>
    <n v="18686"/>
    <n v="1"/>
    <s v="Y"/>
    <x v="1"/>
    <n v="22"/>
    <n v="4"/>
    <n v="3"/>
    <n v="80"/>
    <n v="0"/>
    <n v="6"/>
    <n v="5"/>
    <n v="3"/>
    <n v="6"/>
    <n v="5"/>
    <n v="1"/>
    <n v="4"/>
    <n v="0"/>
    <x v="2"/>
  </r>
  <r>
    <n v="55"/>
    <s v="Yes"/>
    <s v="Travel_Rarely"/>
    <n v="725"/>
    <x v="1"/>
    <n v="2"/>
    <n v="3"/>
    <x v="2"/>
    <n v="1"/>
    <x v="568"/>
    <n v="4"/>
    <s v="Male"/>
    <n v="78"/>
    <n v="3"/>
    <x v="4"/>
    <x v="5"/>
    <n v="1"/>
    <s v="Married"/>
    <n v="19859"/>
    <n v="21199"/>
    <n v="5"/>
    <s v="Y"/>
    <x v="0"/>
    <n v="13"/>
    <n v="3"/>
    <n v="4"/>
    <n v="80"/>
    <n v="1"/>
    <n v="24"/>
    <n v="2"/>
    <n v="3"/>
    <n v="5"/>
    <n v="2"/>
    <n v="1"/>
    <n v="4"/>
    <n v="1"/>
    <x v="1"/>
  </r>
  <r>
    <n v="36"/>
    <s v="No"/>
    <s v="Non-Travel"/>
    <n v="1434"/>
    <x v="0"/>
    <n v="8"/>
    <n v="4"/>
    <x v="0"/>
    <n v="1"/>
    <x v="569"/>
    <n v="1"/>
    <s v="Male"/>
    <n v="76"/>
    <n v="2"/>
    <x v="2"/>
    <x v="0"/>
    <n v="1"/>
    <s v="Single"/>
    <n v="7587"/>
    <n v="14229"/>
    <n v="1"/>
    <s v="Y"/>
    <x v="1"/>
    <n v="15"/>
    <n v="3"/>
    <n v="2"/>
    <n v="80"/>
    <n v="0"/>
    <n v="10"/>
    <n v="1"/>
    <n v="3"/>
    <n v="10"/>
    <n v="7"/>
    <n v="0"/>
    <n v="9"/>
    <n v="0"/>
    <x v="0"/>
  </r>
  <r>
    <n v="52"/>
    <s v="No"/>
    <s v="Non-Travel"/>
    <n v="715"/>
    <x v="1"/>
    <n v="19"/>
    <n v="4"/>
    <x v="2"/>
    <n v="1"/>
    <x v="570"/>
    <n v="4"/>
    <s v="Male"/>
    <n v="41"/>
    <n v="3"/>
    <x v="1"/>
    <x v="1"/>
    <n v="4"/>
    <s v="Married"/>
    <n v="4258"/>
    <n v="26589"/>
    <n v="0"/>
    <s v="Y"/>
    <x v="1"/>
    <n v="18"/>
    <n v="3"/>
    <n v="1"/>
    <n v="80"/>
    <n v="1"/>
    <n v="5"/>
    <n v="3"/>
    <n v="3"/>
    <n v="4"/>
    <n v="3"/>
    <n v="1"/>
    <n v="2"/>
    <n v="0"/>
    <x v="1"/>
  </r>
  <r>
    <n v="26"/>
    <s v="No"/>
    <s v="Travel_Frequently"/>
    <n v="575"/>
    <x v="1"/>
    <n v="1"/>
    <n v="2"/>
    <x v="0"/>
    <n v="1"/>
    <x v="571"/>
    <n v="1"/>
    <s v="Female"/>
    <n v="71"/>
    <n v="1"/>
    <x v="1"/>
    <x v="2"/>
    <n v="4"/>
    <s v="Divorced"/>
    <n v="4364"/>
    <n v="5288"/>
    <n v="3"/>
    <s v="Y"/>
    <x v="1"/>
    <n v="14"/>
    <n v="3"/>
    <n v="1"/>
    <n v="80"/>
    <n v="1"/>
    <n v="5"/>
    <n v="2"/>
    <n v="3"/>
    <n v="2"/>
    <n v="2"/>
    <n v="2"/>
    <n v="0"/>
    <n v="0"/>
    <x v="2"/>
  </r>
  <r>
    <n v="29"/>
    <s v="No"/>
    <s v="Travel_Rarely"/>
    <n v="657"/>
    <x v="1"/>
    <n v="27"/>
    <n v="3"/>
    <x v="2"/>
    <n v="1"/>
    <x v="572"/>
    <n v="2"/>
    <s v="Female"/>
    <n v="66"/>
    <n v="3"/>
    <x v="0"/>
    <x v="4"/>
    <n v="3"/>
    <s v="Married"/>
    <n v="4335"/>
    <n v="25549"/>
    <n v="4"/>
    <s v="Y"/>
    <x v="1"/>
    <n v="12"/>
    <n v="3"/>
    <n v="1"/>
    <n v="80"/>
    <n v="1"/>
    <n v="11"/>
    <n v="3"/>
    <n v="2"/>
    <n v="8"/>
    <n v="7"/>
    <n v="1"/>
    <n v="1"/>
    <n v="0"/>
    <x v="2"/>
  </r>
  <r>
    <n v="26"/>
    <s v="Yes"/>
    <s v="Travel_Rarely"/>
    <n v="1146"/>
    <x v="0"/>
    <n v="8"/>
    <n v="3"/>
    <x v="4"/>
    <n v="1"/>
    <x v="573"/>
    <n v="4"/>
    <s v="Male"/>
    <n v="38"/>
    <n v="2"/>
    <x v="0"/>
    <x v="0"/>
    <n v="1"/>
    <s v="Single"/>
    <n v="5326"/>
    <n v="3064"/>
    <n v="6"/>
    <s v="Y"/>
    <x v="1"/>
    <n v="17"/>
    <n v="3"/>
    <n v="3"/>
    <n v="80"/>
    <n v="0"/>
    <n v="6"/>
    <n v="2"/>
    <n v="2"/>
    <n v="4"/>
    <n v="3"/>
    <n v="1"/>
    <n v="2"/>
    <n v="1"/>
    <x v="2"/>
  </r>
  <r>
    <n v="34"/>
    <s v="No"/>
    <s v="Travel_Rarely"/>
    <n v="182"/>
    <x v="1"/>
    <n v="1"/>
    <n v="4"/>
    <x v="0"/>
    <n v="1"/>
    <x v="574"/>
    <n v="2"/>
    <s v="Female"/>
    <n v="72"/>
    <n v="4"/>
    <x v="1"/>
    <x v="1"/>
    <n v="4"/>
    <s v="Single"/>
    <n v="3280"/>
    <n v="13551"/>
    <n v="2"/>
    <s v="Y"/>
    <x v="1"/>
    <n v="16"/>
    <n v="3"/>
    <n v="3"/>
    <n v="80"/>
    <n v="0"/>
    <n v="10"/>
    <n v="2"/>
    <n v="3"/>
    <n v="4"/>
    <n v="2"/>
    <n v="1"/>
    <n v="3"/>
    <n v="0"/>
    <x v="2"/>
  </r>
  <r>
    <n v="54"/>
    <s v="No"/>
    <s v="Travel_Rarely"/>
    <n v="376"/>
    <x v="1"/>
    <n v="19"/>
    <n v="4"/>
    <x v="2"/>
    <n v="1"/>
    <x v="575"/>
    <n v="4"/>
    <s v="Female"/>
    <n v="95"/>
    <n v="3"/>
    <x v="0"/>
    <x v="3"/>
    <n v="1"/>
    <s v="Divorced"/>
    <n v="5485"/>
    <n v="22670"/>
    <n v="9"/>
    <s v="Y"/>
    <x v="0"/>
    <n v="11"/>
    <n v="3"/>
    <n v="2"/>
    <n v="80"/>
    <n v="2"/>
    <n v="9"/>
    <n v="4"/>
    <n v="3"/>
    <n v="5"/>
    <n v="3"/>
    <n v="1"/>
    <n v="4"/>
    <n v="0"/>
    <x v="1"/>
  </r>
  <r>
    <n v="27"/>
    <s v="No"/>
    <s v="Travel_Frequently"/>
    <n v="829"/>
    <x v="0"/>
    <n v="8"/>
    <n v="1"/>
    <x v="3"/>
    <n v="1"/>
    <x v="576"/>
    <n v="3"/>
    <s v="Male"/>
    <n v="84"/>
    <n v="3"/>
    <x v="0"/>
    <x v="0"/>
    <n v="4"/>
    <s v="Married"/>
    <n v="4342"/>
    <n v="24008"/>
    <n v="0"/>
    <s v="Y"/>
    <x v="1"/>
    <n v="19"/>
    <n v="3"/>
    <n v="2"/>
    <n v="80"/>
    <n v="1"/>
    <n v="5"/>
    <n v="3"/>
    <n v="3"/>
    <n v="4"/>
    <n v="2"/>
    <n v="1"/>
    <n v="1"/>
    <n v="0"/>
    <x v="2"/>
  </r>
  <r>
    <n v="37"/>
    <s v="No"/>
    <s v="Travel_Rarely"/>
    <n v="571"/>
    <x v="1"/>
    <n v="10"/>
    <n v="1"/>
    <x v="0"/>
    <n v="1"/>
    <x v="577"/>
    <n v="4"/>
    <s v="Female"/>
    <n v="82"/>
    <n v="3"/>
    <x v="1"/>
    <x v="1"/>
    <n v="1"/>
    <s v="Divorced"/>
    <n v="2782"/>
    <n v="19905"/>
    <n v="0"/>
    <s v="Y"/>
    <x v="0"/>
    <n v="13"/>
    <n v="3"/>
    <n v="2"/>
    <n v="80"/>
    <n v="2"/>
    <n v="6"/>
    <n v="3"/>
    <n v="2"/>
    <n v="5"/>
    <n v="3"/>
    <n v="4"/>
    <n v="3"/>
    <n v="0"/>
    <x v="0"/>
  </r>
  <r>
    <n v="38"/>
    <s v="No"/>
    <s v="Travel_Frequently"/>
    <n v="240"/>
    <x v="1"/>
    <n v="2"/>
    <n v="4"/>
    <x v="0"/>
    <n v="1"/>
    <x v="578"/>
    <n v="1"/>
    <s v="Female"/>
    <n v="75"/>
    <n v="4"/>
    <x v="0"/>
    <x v="3"/>
    <n v="1"/>
    <s v="Single"/>
    <n v="5980"/>
    <n v="26085"/>
    <n v="6"/>
    <s v="Y"/>
    <x v="0"/>
    <n v="12"/>
    <n v="3"/>
    <n v="4"/>
    <n v="80"/>
    <n v="0"/>
    <n v="17"/>
    <n v="2"/>
    <n v="3"/>
    <n v="15"/>
    <n v="7"/>
    <n v="4"/>
    <n v="12"/>
    <n v="0"/>
    <x v="0"/>
  </r>
  <r>
    <n v="34"/>
    <s v="No"/>
    <s v="Travel_Rarely"/>
    <n v="121"/>
    <x v="1"/>
    <n v="2"/>
    <n v="4"/>
    <x v="2"/>
    <n v="1"/>
    <x v="579"/>
    <n v="3"/>
    <s v="Female"/>
    <n v="86"/>
    <n v="2"/>
    <x v="1"/>
    <x v="1"/>
    <n v="1"/>
    <s v="Single"/>
    <n v="4381"/>
    <n v="7530"/>
    <n v="1"/>
    <s v="Y"/>
    <x v="1"/>
    <n v="11"/>
    <n v="3"/>
    <n v="3"/>
    <n v="80"/>
    <n v="0"/>
    <n v="6"/>
    <n v="3"/>
    <n v="3"/>
    <n v="6"/>
    <n v="5"/>
    <n v="1"/>
    <n v="3"/>
    <n v="0"/>
    <x v="2"/>
  </r>
  <r>
    <n v="35"/>
    <s v="No"/>
    <s v="Travel_Rarely"/>
    <n v="384"/>
    <x v="0"/>
    <n v="8"/>
    <n v="4"/>
    <x v="0"/>
    <n v="1"/>
    <x v="580"/>
    <n v="1"/>
    <s v="Female"/>
    <n v="72"/>
    <n v="3"/>
    <x v="1"/>
    <x v="6"/>
    <n v="4"/>
    <s v="Married"/>
    <n v="2572"/>
    <n v="20317"/>
    <n v="1"/>
    <s v="Y"/>
    <x v="1"/>
    <n v="16"/>
    <n v="3"/>
    <n v="2"/>
    <n v="80"/>
    <n v="1"/>
    <n v="3"/>
    <n v="1"/>
    <n v="2"/>
    <n v="3"/>
    <n v="2"/>
    <n v="0"/>
    <n v="2"/>
    <n v="0"/>
    <x v="2"/>
  </r>
  <r>
    <n v="30"/>
    <s v="No"/>
    <s v="Travel_Rarely"/>
    <n v="921"/>
    <x v="1"/>
    <n v="1"/>
    <n v="3"/>
    <x v="0"/>
    <n v="1"/>
    <x v="581"/>
    <n v="4"/>
    <s v="Male"/>
    <n v="38"/>
    <n v="1"/>
    <x v="1"/>
    <x v="2"/>
    <n v="3"/>
    <s v="Married"/>
    <n v="3833"/>
    <n v="24375"/>
    <n v="3"/>
    <s v="Y"/>
    <x v="1"/>
    <n v="21"/>
    <n v="4"/>
    <n v="3"/>
    <n v="80"/>
    <n v="2"/>
    <n v="7"/>
    <n v="2"/>
    <n v="3"/>
    <n v="2"/>
    <n v="2"/>
    <n v="0"/>
    <n v="2"/>
    <n v="0"/>
    <x v="2"/>
  </r>
  <r>
    <n v="40"/>
    <s v="No"/>
    <s v="Travel_Frequently"/>
    <n v="791"/>
    <x v="1"/>
    <n v="2"/>
    <n v="2"/>
    <x v="2"/>
    <n v="1"/>
    <x v="582"/>
    <n v="3"/>
    <s v="Female"/>
    <n v="38"/>
    <n v="4"/>
    <x v="0"/>
    <x v="4"/>
    <n v="2"/>
    <s v="Married"/>
    <n v="4244"/>
    <n v="9931"/>
    <n v="1"/>
    <s v="Y"/>
    <x v="1"/>
    <n v="24"/>
    <n v="4"/>
    <n v="4"/>
    <n v="80"/>
    <n v="1"/>
    <n v="8"/>
    <n v="2"/>
    <n v="3"/>
    <n v="8"/>
    <n v="7"/>
    <n v="3"/>
    <n v="7"/>
    <n v="0"/>
    <x v="0"/>
  </r>
  <r>
    <n v="34"/>
    <s v="No"/>
    <s v="Travel_Rarely"/>
    <n v="1111"/>
    <x v="0"/>
    <n v="8"/>
    <n v="2"/>
    <x v="0"/>
    <n v="1"/>
    <x v="583"/>
    <n v="3"/>
    <s v="Female"/>
    <n v="93"/>
    <n v="3"/>
    <x v="0"/>
    <x v="0"/>
    <n v="1"/>
    <s v="Married"/>
    <n v="6500"/>
    <n v="13305"/>
    <n v="5"/>
    <s v="Y"/>
    <x v="1"/>
    <n v="17"/>
    <n v="3"/>
    <n v="2"/>
    <n v="80"/>
    <n v="1"/>
    <n v="6"/>
    <n v="1"/>
    <n v="3"/>
    <n v="3"/>
    <n v="2"/>
    <n v="1"/>
    <n v="2"/>
    <n v="0"/>
    <x v="2"/>
  </r>
  <r>
    <n v="42"/>
    <s v="No"/>
    <s v="Travel_Frequently"/>
    <n v="570"/>
    <x v="1"/>
    <n v="8"/>
    <n v="3"/>
    <x v="0"/>
    <n v="1"/>
    <x v="584"/>
    <n v="2"/>
    <s v="Male"/>
    <n v="66"/>
    <n v="3"/>
    <x v="4"/>
    <x v="5"/>
    <n v="4"/>
    <s v="Divorced"/>
    <n v="18430"/>
    <n v="16225"/>
    <n v="1"/>
    <s v="Y"/>
    <x v="1"/>
    <n v="13"/>
    <n v="3"/>
    <n v="2"/>
    <n v="80"/>
    <n v="1"/>
    <n v="24"/>
    <n v="4"/>
    <n v="2"/>
    <n v="24"/>
    <n v="7"/>
    <n v="14"/>
    <n v="9"/>
    <n v="0"/>
    <x v="0"/>
  </r>
  <r>
    <n v="23"/>
    <s v="Yes"/>
    <s v="Travel_Rarely"/>
    <n v="1243"/>
    <x v="1"/>
    <n v="6"/>
    <n v="3"/>
    <x v="0"/>
    <n v="1"/>
    <x v="585"/>
    <n v="3"/>
    <s v="Male"/>
    <n v="63"/>
    <n v="4"/>
    <x v="1"/>
    <x v="2"/>
    <n v="1"/>
    <s v="Married"/>
    <n v="1601"/>
    <n v="3445"/>
    <n v="1"/>
    <s v="Y"/>
    <x v="0"/>
    <n v="21"/>
    <n v="4"/>
    <n v="3"/>
    <n v="80"/>
    <n v="2"/>
    <n v="1"/>
    <n v="2"/>
    <n v="3"/>
    <n v="0"/>
    <n v="0"/>
    <n v="0"/>
    <n v="0"/>
    <n v="1"/>
    <x v="4"/>
  </r>
  <r>
    <n v="24"/>
    <s v="No"/>
    <s v="Non-Travel"/>
    <n v="1092"/>
    <x v="1"/>
    <n v="9"/>
    <n v="3"/>
    <x v="0"/>
    <n v="1"/>
    <x v="586"/>
    <n v="3"/>
    <s v="Male"/>
    <n v="60"/>
    <n v="2"/>
    <x v="1"/>
    <x v="2"/>
    <n v="2"/>
    <s v="Divorced"/>
    <n v="2694"/>
    <n v="26551"/>
    <n v="1"/>
    <s v="Y"/>
    <x v="1"/>
    <n v="11"/>
    <n v="3"/>
    <n v="3"/>
    <n v="80"/>
    <n v="3"/>
    <n v="1"/>
    <n v="4"/>
    <n v="3"/>
    <n v="1"/>
    <n v="0"/>
    <n v="0"/>
    <n v="0"/>
    <n v="0"/>
    <x v="4"/>
  </r>
  <r>
    <n v="52"/>
    <s v="No"/>
    <s v="Travel_Rarely"/>
    <n v="1325"/>
    <x v="1"/>
    <n v="11"/>
    <n v="4"/>
    <x v="0"/>
    <n v="1"/>
    <x v="587"/>
    <n v="4"/>
    <s v="Female"/>
    <n v="82"/>
    <n v="3"/>
    <x v="0"/>
    <x v="2"/>
    <n v="3"/>
    <s v="Married"/>
    <n v="3149"/>
    <n v="21821"/>
    <n v="8"/>
    <s v="Y"/>
    <x v="1"/>
    <n v="20"/>
    <n v="4"/>
    <n v="2"/>
    <n v="80"/>
    <n v="1"/>
    <n v="9"/>
    <n v="3"/>
    <n v="3"/>
    <n v="5"/>
    <n v="2"/>
    <n v="1"/>
    <n v="4"/>
    <n v="0"/>
    <x v="1"/>
  </r>
  <r>
    <n v="50"/>
    <s v="No"/>
    <s v="Travel_Rarely"/>
    <n v="691"/>
    <x v="1"/>
    <n v="2"/>
    <n v="3"/>
    <x v="2"/>
    <n v="1"/>
    <x v="588"/>
    <n v="3"/>
    <s v="Male"/>
    <n v="64"/>
    <n v="3"/>
    <x v="3"/>
    <x v="7"/>
    <n v="3"/>
    <s v="Married"/>
    <n v="17639"/>
    <n v="6881"/>
    <n v="5"/>
    <s v="Y"/>
    <x v="1"/>
    <n v="16"/>
    <n v="3"/>
    <n v="4"/>
    <n v="80"/>
    <n v="0"/>
    <n v="30"/>
    <n v="3"/>
    <n v="3"/>
    <n v="4"/>
    <n v="3"/>
    <n v="0"/>
    <n v="3"/>
    <n v="0"/>
    <x v="1"/>
  </r>
  <r>
    <n v="29"/>
    <s v="Yes"/>
    <s v="Travel_Rarely"/>
    <n v="805"/>
    <x v="1"/>
    <n v="1"/>
    <n v="2"/>
    <x v="0"/>
    <n v="1"/>
    <x v="589"/>
    <n v="2"/>
    <s v="Female"/>
    <n v="36"/>
    <n v="2"/>
    <x v="1"/>
    <x v="2"/>
    <n v="1"/>
    <s v="Married"/>
    <n v="2319"/>
    <n v="6689"/>
    <n v="1"/>
    <s v="Y"/>
    <x v="0"/>
    <n v="11"/>
    <n v="3"/>
    <n v="4"/>
    <n v="80"/>
    <n v="1"/>
    <n v="1"/>
    <n v="1"/>
    <n v="3"/>
    <n v="1"/>
    <n v="0"/>
    <n v="0"/>
    <n v="0"/>
    <n v="1"/>
    <x v="2"/>
  </r>
  <r>
    <n v="33"/>
    <s v="No"/>
    <s v="Travel_Rarely"/>
    <n v="213"/>
    <x v="1"/>
    <n v="7"/>
    <n v="3"/>
    <x v="2"/>
    <n v="1"/>
    <x v="590"/>
    <n v="3"/>
    <s v="Male"/>
    <n v="49"/>
    <n v="3"/>
    <x v="2"/>
    <x v="7"/>
    <n v="3"/>
    <s v="Married"/>
    <n v="11691"/>
    <n v="25995"/>
    <n v="0"/>
    <s v="Y"/>
    <x v="1"/>
    <n v="11"/>
    <n v="3"/>
    <n v="4"/>
    <n v="80"/>
    <n v="0"/>
    <n v="14"/>
    <n v="3"/>
    <n v="4"/>
    <n v="13"/>
    <n v="9"/>
    <n v="3"/>
    <n v="7"/>
    <n v="0"/>
    <x v="2"/>
  </r>
  <r>
    <n v="33"/>
    <s v="Yes"/>
    <s v="Travel_Rarely"/>
    <n v="118"/>
    <x v="0"/>
    <n v="16"/>
    <n v="3"/>
    <x v="3"/>
    <n v="1"/>
    <x v="591"/>
    <n v="1"/>
    <s v="Female"/>
    <n v="69"/>
    <n v="3"/>
    <x v="0"/>
    <x v="0"/>
    <n v="1"/>
    <s v="Single"/>
    <n v="5324"/>
    <n v="26507"/>
    <n v="5"/>
    <s v="Y"/>
    <x v="1"/>
    <n v="15"/>
    <n v="3"/>
    <n v="3"/>
    <n v="80"/>
    <n v="0"/>
    <n v="6"/>
    <n v="3"/>
    <n v="3"/>
    <n v="3"/>
    <n v="2"/>
    <n v="0"/>
    <n v="2"/>
    <n v="1"/>
    <x v="2"/>
  </r>
  <r>
    <n v="47"/>
    <s v="No"/>
    <s v="Travel_Rarely"/>
    <n v="202"/>
    <x v="1"/>
    <n v="2"/>
    <n v="2"/>
    <x v="1"/>
    <n v="1"/>
    <x v="592"/>
    <n v="3"/>
    <s v="Female"/>
    <n v="33"/>
    <n v="3"/>
    <x v="3"/>
    <x v="5"/>
    <n v="4"/>
    <s v="Married"/>
    <n v="16752"/>
    <n v="12982"/>
    <n v="1"/>
    <s v="Y"/>
    <x v="0"/>
    <n v="11"/>
    <n v="3"/>
    <n v="3"/>
    <n v="80"/>
    <n v="1"/>
    <n v="26"/>
    <n v="3"/>
    <n v="2"/>
    <n v="26"/>
    <n v="14"/>
    <n v="3"/>
    <n v="0"/>
    <n v="0"/>
    <x v="1"/>
  </r>
  <r>
    <n v="36"/>
    <s v="No"/>
    <s v="Travel_Rarely"/>
    <n v="676"/>
    <x v="1"/>
    <n v="1"/>
    <n v="3"/>
    <x v="1"/>
    <n v="1"/>
    <x v="593"/>
    <n v="3"/>
    <s v="Female"/>
    <n v="35"/>
    <n v="3"/>
    <x v="0"/>
    <x v="3"/>
    <n v="2"/>
    <s v="Married"/>
    <n v="5228"/>
    <n v="23361"/>
    <n v="0"/>
    <s v="Y"/>
    <x v="1"/>
    <n v="15"/>
    <n v="3"/>
    <n v="1"/>
    <n v="80"/>
    <n v="1"/>
    <n v="10"/>
    <n v="2"/>
    <n v="3"/>
    <n v="9"/>
    <n v="7"/>
    <n v="0"/>
    <n v="5"/>
    <n v="0"/>
    <x v="0"/>
  </r>
  <r>
    <n v="29"/>
    <s v="No"/>
    <s v="Travel_Rarely"/>
    <n v="1252"/>
    <x v="1"/>
    <n v="23"/>
    <n v="2"/>
    <x v="0"/>
    <n v="1"/>
    <x v="594"/>
    <n v="3"/>
    <s v="Male"/>
    <n v="81"/>
    <n v="4"/>
    <x v="1"/>
    <x v="1"/>
    <n v="3"/>
    <s v="Married"/>
    <n v="2700"/>
    <n v="23779"/>
    <n v="1"/>
    <s v="Y"/>
    <x v="1"/>
    <n v="24"/>
    <n v="4"/>
    <n v="3"/>
    <n v="80"/>
    <n v="1"/>
    <n v="10"/>
    <n v="3"/>
    <n v="3"/>
    <n v="10"/>
    <n v="7"/>
    <n v="0"/>
    <n v="7"/>
    <n v="0"/>
    <x v="2"/>
  </r>
  <r>
    <n v="58"/>
    <s v="Yes"/>
    <s v="Travel_Rarely"/>
    <n v="286"/>
    <x v="1"/>
    <n v="2"/>
    <n v="4"/>
    <x v="0"/>
    <n v="1"/>
    <x v="595"/>
    <n v="4"/>
    <s v="Male"/>
    <n v="31"/>
    <n v="3"/>
    <x v="4"/>
    <x v="7"/>
    <n v="2"/>
    <s v="Single"/>
    <n v="19246"/>
    <n v="25761"/>
    <n v="7"/>
    <s v="Y"/>
    <x v="0"/>
    <n v="12"/>
    <n v="3"/>
    <n v="4"/>
    <n v="80"/>
    <n v="0"/>
    <n v="40"/>
    <n v="2"/>
    <n v="3"/>
    <n v="31"/>
    <n v="15"/>
    <n v="13"/>
    <n v="8"/>
    <n v="1"/>
    <x v="3"/>
  </r>
  <r>
    <n v="35"/>
    <s v="No"/>
    <s v="Travel_Rarely"/>
    <n v="1258"/>
    <x v="1"/>
    <n v="1"/>
    <n v="4"/>
    <x v="0"/>
    <n v="1"/>
    <x v="596"/>
    <n v="4"/>
    <s v="Female"/>
    <n v="40"/>
    <n v="4"/>
    <x v="1"/>
    <x v="1"/>
    <n v="3"/>
    <s v="Single"/>
    <n v="2506"/>
    <n v="13301"/>
    <n v="3"/>
    <s v="Y"/>
    <x v="1"/>
    <n v="13"/>
    <n v="3"/>
    <n v="3"/>
    <n v="80"/>
    <n v="0"/>
    <n v="7"/>
    <n v="0"/>
    <n v="3"/>
    <n v="2"/>
    <n v="2"/>
    <n v="2"/>
    <n v="2"/>
    <n v="0"/>
    <x v="2"/>
  </r>
  <r>
    <n v="42"/>
    <s v="No"/>
    <s v="Travel_Rarely"/>
    <n v="932"/>
    <x v="1"/>
    <n v="1"/>
    <n v="2"/>
    <x v="0"/>
    <n v="1"/>
    <x v="597"/>
    <n v="4"/>
    <s v="Female"/>
    <n v="43"/>
    <n v="2"/>
    <x v="0"/>
    <x v="3"/>
    <n v="4"/>
    <s v="Married"/>
    <n v="6062"/>
    <n v="4051"/>
    <n v="9"/>
    <s v="Y"/>
    <x v="0"/>
    <n v="13"/>
    <n v="3"/>
    <n v="4"/>
    <n v="80"/>
    <n v="1"/>
    <n v="8"/>
    <n v="4"/>
    <n v="3"/>
    <n v="4"/>
    <n v="3"/>
    <n v="0"/>
    <n v="2"/>
    <n v="0"/>
    <x v="0"/>
  </r>
  <r>
    <n v="28"/>
    <s v="Yes"/>
    <s v="Travel_Rarely"/>
    <n v="890"/>
    <x v="1"/>
    <n v="2"/>
    <n v="4"/>
    <x v="2"/>
    <n v="1"/>
    <x v="598"/>
    <n v="3"/>
    <s v="Male"/>
    <n v="46"/>
    <n v="3"/>
    <x v="1"/>
    <x v="1"/>
    <n v="3"/>
    <s v="Single"/>
    <n v="4382"/>
    <n v="16374"/>
    <n v="6"/>
    <s v="Y"/>
    <x v="1"/>
    <n v="17"/>
    <n v="3"/>
    <n v="4"/>
    <n v="80"/>
    <n v="0"/>
    <n v="5"/>
    <n v="3"/>
    <n v="2"/>
    <n v="2"/>
    <n v="2"/>
    <n v="2"/>
    <n v="1"/>
    <n v="1"/>
    <x v="2"/>
  </r>
  <r>
    <n v="36"/>
    <s v="No"/>
    <s v="Travel_Rarely"/>
    <n v="1041"/>
    <x v="2"/>
    <n v="13"/>
    <n v="3"/>
    <x v="5"/>
    <n v="1"/>
    <x v="599"/>
    <n v="3"/>
    <s v="Male"/>
    <n v="36"/>
    <n v="3"/>
    <x v="1"/>
    <x v="8"/>
    <n v="2"/>
    <s v="Married"/>
    <n v="2143"/>
    <n v="25527"/>
    <n v="4"/>
    <s v="Y"/>
    <x v="1"/>
    <n v="13"/>
    <n v="3"/>
    <n v="2"/>
    <n v="80"/>
    <n v="1"/>
    <n v="8"/>
    <n v="2"/>
    <n v="3"/>
    <n v="5"/>
    <n v="2"/>
    <n v="0"/>
    <n v="4"/>
    <n v="0"/>
    <x v="0"/>
  </r>
  <r>
    <n v="32"/>
    <s v="No"/>
    <s v="Travel_Rarely"/>
    <n v="859"/>
    <x v="1"/>
    <n v="4"/>
    <n v="3"/>
    <x v="0"/>
    <n v="1"/>
    <x v="600"/>
    <n v="3"/>
    <s v="Female"/>
    <n v="98"/>
    <n v="2"/>
    <x v="0"/>
    <x v="3"/>
    <n v="3"/>
    <s v="Married"/>
    <n v="6162"/>
    <n v="19124"/>
    <n v="1"/>
    <s v="Y"/>
    <x v="1"/>
    <n v="12"/>
    <n v="3"/>
    <n v="3"/>
    <n v="80"/>
    <n v="1"/>
    <n v="14"/>
    <n v="3"/>
    <n v="3"/>
    <n v="14"/>
    <n v="13"/>
    <n v="6"/>
    <n v="8"/>
    <n v="0"/>
    <x v="2"/>
  </r>
  <r>
    <n v="40"/>
    <s v="No"/>
    <s v="Travel_Frequently"/>
    <n v="720"/>
    <x v="1"/>
    <n v="16"/>
    <n v="4"/>
    <x v="2"/>
    <n v="1"/>
    <x v="601"/>
    <n v="1"/>
    <s v="Male"/>
    <n v="51"/>
    <n v="2"/>
    <x v="0"/>
    <x v="2"/>
    <n v="3"/>
    <s v="Single"/>
    <n v="5094"/>
    <n v="11983"/>
    <n v="6"/>
    <s v="Y"/>
    <x v="1"/>
    <n v="14"/>
    <n v="3"/>
    <n v="4"/>
    <n v="80"/>
    <n v="0"/>
    <n v="10"/>
    <n v="6"/>
    <n v="3"/>
    <n v="1"/>
    <n v="0"/>
    <n v="0"/>
    <n v="0"/>
    <n v="0"/>
    <x v="0"/>
  </r>
  <r>
    <n v="30"/>
    <s v="No"/>
    <s v="Travel_Rarely"/>
    <n v="946"/>
    <x v="1"/>
    <n v="2"/>
    <n v="3"/>
    <x v="2"/>
    <n v="1"/>
    <x v="602"/>
    <n v="3"/>
    <s v="Female"/>
    <n v="52"/>
    <n v="2"/>
    <x v="0"/>
    <x v="3"/>
    <n v="4"/>
    <s v="Single"/>
    <n v="6877"/>
    <n v="20234"/>
    <n v="5"/>
    <s v="Y"/>
    <x v="0"/>
    <n v="24"/>
    <n v="4"/>
    <n v="2"/>
    <n v="80"/>
    <n v="0"/>
    <n v="12"/>
    <n v="4"/>
    <n v="2"/>
    <n v="0"/>
    <n v="0"/>
    <n v="0"/>
    <n v="0"/>
    <n v="0"/>
    <x v="2"/>
  </r>
  <r>
    <n v="45"/>
    <s v="No"/>
    <s v="Travel_Rarely"/>
    <n v="252"/>
    <x v="1"/>
    <n v="2"/>
    <n v="3"/>
    <x v="0"/>
    <n v="1"/>
    <x v="603"/>
    <n v="2"/>
    <s v="Female"/>
    <n v="95"/>
    <n v="2"/>
    <x v="1"/>
    <x v="1"/>
    <n v="3"/>
    <s v="Single"/>
    <n v="2274"/>
    <n v="6153"/>
    <n v="1"/>
    <s v="Y"/>
    <x v="1"/>
    <n v="14"/>
    <n v="3"/>
    <n v="4"/>
    <n v="80"/>
    <n v="0"/>
    <n v="1"/>
    <n v="3"/>
    <n v="3"/>
    <n v="1"/>
    <n v="0"/>
    <n v="0"/>
    <n v="0"/>
    <n v="0"/>
    <x v="0"/>
  </r>
  <r>
    <n v="42"/>
    <s v="No"/>
    <s v="Travel_Rarely"/>
    <n v="933"/>
    <x v="1"/>
    <n v="29"/>
    <n v="3"/>
    <x v="0"/>
    <n v="1"/>
    <x v="604"/>
    <n v="2"/>
    <s v="Male"/>
    <n v="98"/>
    <n v="3"/>
    <x v="0"/>
    <x v="3"/>
    <n v="2"/>
    <s v="Married"/>
    <n v="4434"/>
    <n v="11806"/>
    <n v="1"/>
    <s v="Y"/>
    <x v="1"/>
    <n v="13"/>
    <n v="3"/>
    <n v="4"/>
    <n v="80"/>
    <n v="1"/>
    <n v="10"/>
    <n v="3"/>
    <n v="2"/>
    <n v="9"/>
    <n v="8"/>
    <n v="7"/>
    <n v="8"/>
    <n v="0"/>
    <x v="0"/>
  </r>
  <r>
    <n v="38"/>
    <s v="No"/>
    <s v="Travel_Frequently"/>
    <n v="471"/>
    <x v="1"/>
    <n v="12"/>
    <n v="3"/>
    <x v="0"/>
    <n v="1"/>
    <x v="605"/>
    <n v="1"/>
    <s v="Male"/>
    <n v="45"/>
    <n v="2"/>
    <x v="0"/>
    <x v="4"/>
    <n v="1"/>
    <s v="Divorced"/>
    <n v="6288"/>
    <n v="4284"/>
    <n v="2"/>
    <s v="Y"/>
    <x v="1"/>
    <n v="15"/>
    <n v="3"/>
    <n v="3"/>
    <n v="80"/>
    <n v="1"/>
    <n v="13"/>
    <n v="3"/>
    <n v="2"/>
    <n v="4"/>
    <n v="3"/>
    <n v="1"/>
    <n v="2"/>
    <n v="0"/>
    <x v="0"/>
  </r>
  <r>
    <n v="34"/>
    <s v="No"/>
    <s v="Travel_Frequently"/>
    <n v="702"/>
    <x v="1"/>
    <n v="16"/>
    <n v="4"/>
    <x v="0"/>
    <n v="1"/>
    <x v="606"/>
    <n v="3"/>
    <s v="Female"/>
    <n v="100"/>
    <n v="2"/>
    <x v="1"/>
    <x v="1"/>
    <n v="4"/>
    <s v="Single"/>
    <n v="2553"/>
    <n v="8306"/>
    <n v="1"/>
    <s v="Y"/>
    <x v="1"/>
    <n v="16"/>
    <n v="3"/>
    <n v="3"/>
    <n v="80"/>
    <n v="0"/>
    <n v="6"/>
    <n v="3"/>
    <n v="3"/>
    <n v="5"/>
    <n v="2"/>
    <n v="1"/>
    <n v="3"/>
    <n v="0"/>
    <x v="2"/>
  </r>
  <r>
    <n v="49"/>
    <s v="Yes"/>
    <s v="Travel_Rarely"/>
    <n v="1184"/>
    <x v="0"/>
    <n v="11"/>
    <n v="3"/>
    <x v="3"/>
    <n v="1"/>
    <x v="607"/>
    <n v="3"/>
    <s v="Female"/>
    <n v="43"/>
    <n v="3"/>
    <x v="2"/>
    <x v="0"/>
    <n v="4"/>
    <s v="Married"/>
    <n v="7654"/>
    <n v="5860"/>
    <n v="1"/>
    <s v="Y"/>
    <x v="1"/>
    <n v="18"/>
    <n v="3"/>
    <n v="1"/>
    <n v="80"/>
    <n v="2"/>
    <n v="9"/>
    <n v="3"/>
    <n v="4"/>
    <n v="9"/>
    <n v="8"/>
    <n v="7"/>
    <n v="7"/>
    <n v="1"/>
    <x v="1"/>
  </r>
  <r>
    <n v="55"/>
    <s v="Yes"/>
    <s v="Travel_Rarely"/>
    <n v="436"/>
    <x v="0"/>
    <n v="2"/>
    <n v="1"/>
    <x v="2"/>
    <n v="1"/>
    <x v="608"/>
    <n v="3"/>
    <s v="Male"/>
    <n v="37"/>
    <n v="3"/>
    <x v="0"/>
    <x v="0"/>
    <n v="4"/>
    <s v="Single"/>
    <n v="5160"/>
    <n v="21519"/>
    <n v="4"/>
    <s v="Y"/>
    <x v="1"/>
    <n v="16"/>
    <n v="3"/>
    <n v="3"/>
    <n v="80"/>
    <n v="0"/>
    <n v="12"/>
    <n v="3"/>
    <n v="2"/>
    <n v="9"/>
    <n v="7"/>
    <n v="7"/>
    <n v="3"/>
    <n v="1"/>
    <x v="1"/>
  </r>
  <r>
    <n v="43"/>
    <s v="No"/>
    <s v="Travel_Rarely"/>
    <n v="589"/>
    <x v="1"/>
    <n v="14"/>
    <n v="2"/>
    <x v="0"/>
    <n v="1"/>
    <x v="609"/>
    <n v="2"/>
    <s v="Male"/>
    <n v="94"/>
    <n v="3"/>
    <x v="3"/>
    <x v="7"/>
    <n v="1"/>
    <s v="Married"/>
    <n v="17159"/>
    <n v="5200"/>
    <n v="6"/>
    <s v="Y"/>
    <x v="1"/>
    <n v="24"/>
    <n v="4"/>
    <n v="3"/>
    <n v="80"/>
    <n v="1"/>
    <n v="22"/>
    <n v="3"/>
    <n v="3"/>
    <n v="4"/>
    <n v="1"/>
    <n v="1"/>
    <n v="0"/>
    <n v="0"/>
    <x v="0"/>
  </r>
  <r>
    <n v="27"/>
    <s v="No"/>
    <s v="Travel_Rarely"/>
    <n v="269"/>
    <x v="1"/>
    <n v="5"/>
    <n v="1"/>
    <x v="4"/>
    <n v="1"/>
    <x v="610"/>
    <n v="3"/>
    <s v="Male"/>
    <n v="42"/>
    <n v="2"/>
    <x v="2"/>
    <x v="7"/>
    <n v="4"/>
    <s v="Divorced"/>
    <n v="12808"/>
    <n v="8842"/>
    <n v="1"/>
    <s v="Y"/>
    <x v="0"/>
    <n v="16"/>
    <n v="3"/>
    <n v="2"/>
    <n v="80"/>
    <n v="1"/>
    <n v="9"/>
    <n v="3"/>
    <n v="3"/>
    <n v="9"/>
    <n v="8"/>
    <n v="0"/>
    <n v="8"/>
    <n v="0"/>
    <x v="2"/>
  </r>
  <r>
    <n v="35"/>
    <s v="No"/>
    <s v="Travel_Rarely"/>
    <n v="950"/>
    <x v="1"/>
    <n v="7"/>
    <n v="3"/>
    <x v="1"/>
    <n v="1"/>
    <x v="611"/>
    <n v="3"/>
    <s v="Male"/>
    <n v="59"/>
    <n v="3"/>
    <x v="2"/>
    <x v="3"/>
    <n v="3"/>
    <s v="Single"/>
    <n v="10221"/>
    <n v="18869"/>
    <n v="3"/>
    <s v="Y"/>
    <x v="1"/>
    <n v="21"/>
    <n v="4"/>
    <n v="2"/>
    <n v="80"/>
    <n v="0"/>
    <n v="17"/>
    <n v="3"/>
    <n v="4"/>
    <n v="8"/>
    <n v="5"/>
    <n v="1"/>
    <n v="6"/>
    <n v="0"/>
    <x v="2"/>
  </r>
  <r>
    <n v="28"/>
    <s v="No"/>
    <s v="Travel_Rarely"/>
    <n v="760"/>
    <x v="0"/>
    <n v="2"/>
    <n v="4"/>
    <x v="3"/>
    <n v="1"/>
    <x v="612"/>
    <n v="2"/>
    <s v="Female"/>
    <n v="81"/>
    <n v="3"/>
    <x v="0"/>
    <x v="0"/>
    <n v="2"/>
    <s v="Married"/>
    <n v="4779"/>
    <n v="3698"/>
    <n v="1"/>
    <s v="Y"/>
    <x v="0"/>
    <n v="20"/>
    <n v="4"/>
    <n v="1"/>
    <n v="80"/>
    <n v="0"/>
    <n v="8"/>
    <n v="2"/>
    <n v="3"/>
    <n v="8"/>
    <n v="7"/>
    <n v="7"/>
    <n v="5"/>
    <n v="0"/>
    <x v="2"/>
  </r>
  <r>
    <n v="34"/>
    <s v="No"/>
    <s v="Travel_Rarely"/>
    <n v="829"/>
    <x v="2"/>
    <n v="3"/>
    <n v="2"/>
    <x v="5"/>
    <n v="1"/>
    <x v="613"/>
    <n v="3"/>
    <s v="Male"/>
    <n v="88"/>
    <n v="3"/>
    <x v="1"/>
    <x v="8"/>
    <n v="4"/>
    <s v="Married"/>
    <n v="3737"/>
    <n v="2243"/>
    <n v="0"/>
    <s v="Y"/>
    <x v="1"/>
    <n v="19"/>
    <n v="3"/>
    <n v="3"/>
    <n v="80"/>
    <n v="1"/>
    <n v="4"/>
    <n v="1"/>
    <n v="1"/>
    <n v="3"/>
    <n v="2"/>
    <n v="0"/>
    <n v="2"/>
    <n v="0"/>
    <x v="2"/>
  </r>
  <r>
    <n v="26"/>
    <s v="Yes"/>
    <s v="Travel_Frequently"/>
    <n v="887"/>
    <x v="1"/>
    <n v="5"/>
    <n v="2"/>
    <x v="2"/>
    <n v="1"/>
    <x v="614"/>
    <n v="3"/>
    <s v="Female"/>
    <n v="88"/>
    <n v="2"/>
    <x v="1"/>
    <x v="1"/>
    <n v="3"/>
    <s v="Married"/>
    <n v="2366"/>
    <n v="20898"/>
    <n v="1"/>
    <s v="Y"/>
    <x v="0"/>
    <n v="14"/>
    <n v="3"/>
    <n v="1"/>
    <n v="80"/>
    <n v="1"/>
    <n v="8"/>
    <n v="2"/>
    <n v="3"/>
    <n v="8"/>
    <n v="7"/>
    <n v="1"/>
    <n v="7"/>
    <n v="1"/>
    <x v="2"/>
  </r>
  <r>
    <n v="27"/>
    <s v="No"/>
    <s v="Non-Travel"/>
    <n v="443"/>
    <x v="1"/>
    <n v="3"/>
    <n v="3"/>
    <x v="2"/>
    <n v="1"/>
    <x v="615"/>
    <n v="4"/>
    <s v="Male"/>
    <n v="50"/>
    <n v="3"/>
    <x v="1"/>
    <x v="1"/>
    <n v="4"/>
    <s v="Married"/>
    <n v="1706"/>
    <n v="16571"/>
    <n v="1"/>
    <s v="Y"/>
    <x v="1"/>
    <n v="11"/>
    <n v="3"/>
    <n v="3"/>
    <n v="80"/>
    <n v="3"/>
    <n v="0"/>
    <n v="6"/>
    <n v="2"/>
    <n v="0"/>
    <n v="0"/>
    <n v="0"/>
    <n v="0"/>
    <n v="0"/>
    <x v="2"/>
  </r>
  <r>
    <n v="51"/>
    <s v="No"/>
    <s v="Travel_Rarely"/>
    <n v="1318"/>
    <x v="0"/>
    <n v="26"/>
    <n v="4"/>
    <x v="3"/>
    <n v="1"/>
    <x v="616"/>
    <n v="1"/>
    <s v="Female"/>
    <n v="66"/>
    <n v="3"/>
    <x v="3"/>
    <x v="5"/>
    <n v="3"/>
    <s v="Married"/>
    <n v="16307"/>
    <n v="5594"/>
    <n v="2"/>
    <s v="Y"/>
    <x v="1"/>
    <n v="14"/>
    <n v="3"/>
    <n v="3"/>
    <n v="80"/>
    <n v="1"/>
    <n v="29"/>
    <n v="2"/>
    <n v="2"/>
    <n v="20"/>
    <n v="6"/>
    <n v="4"/>
    <n v="17"/>
    <n v="0"/>
    <x v="1"/>
  </r>
  <r>
    <n v="44"/>
    <s v="No"/>
    <s v="Travel_Rarely"/>
    <n v="625"/>
    <x v="1"/>
    <n v="4"/>
    <n v="3"/>
    <x v="2"/>
    <n v="1"/>
    <x v="617"/>
    <n v="4"/>
    <s v="Male"/>
    <n v="50"/>
    <n v="3"/>
    <x v="0"/>
    <x v="4"/>
    <n v="2"/>
    <s v="Single"/>
    <n v="5933"/>
    <n v="5197"/>
    <n v="9"/>
    <s v="Y"/>
    <x v="1"/>
    <n v="12"/>
    <n v="3"/>
    <n v="4"/>
    <n v="80"/>
    <n v="0"/>
    <n v="10"/>
    <n v="2"/>
    <n v="2"/>
    <n v="5"/>
    <n v="2"/>
    <n v="2"/>
    <n v="3"/>
    <n v="0"/>
    <x v="0"/>
  </r>
  <r>
    <n v="25"/>
    <s v="No"/>
    <s v="Travel_Rarely"/>
    <n v="180"/>
    <x v="1"/>
    <n v="2"/>
    <n v="1"/>
    <x v="2"/>
    <n v="1"/>
    <x v="618"/>
    <n v="1"/>
    <s v="Male"/>
    <n v="65"/>
    <n v="4"/>
    <x v="1"/>
    <x v="1"/>
    <n v="1"/>
    <s v="Single"/>
    <n v="3424"/>
    <n v="21632"/>
    <n v="7"/>
    <s v="Y"/>
    <x v="1"/>
    <n v="13"/>
    <n v="3"/>
    <n v="3"/>
    <n v="80"/>
    <n v="0"/>
    <n v="6"/>
    <n v="3"/>
    <n v="2"/>
    <n v="4"/>
    <n v="3"/>
    <n v="0"/>
    <n v="1"/>
    <n v="0"/>
    <x v="4"/>
  </r>
  <r>
    <n v="33"/>
    <s v="No"/>
    <s v="Travel_Rarely"/>
    <n v="586"/>
    <x v="0"/>
    <n v="1"/>
    <n v="3"/>
    <x v="2"/>
    <n v="1"/>
    <x v="619"/>
    <n v="1"/>
    <s v="Male"/>
    <n v="48"/>
    <n v="4"/>
    <x v="0"/>
    <x v="0"/>
    <n v="1"/>
    <s v="Divorced"/>
    <n v="4037"/>
    <n v="21816"/>
    <n v="1"/>
    <s v="Y"/>
    <x v="1"/>
    <n v="22"/>
    <n v="4"/>
    <n v="1"/>
    <n v="80"/>
    <n v="1"/>
    <n v="9"/>
    <n v="5"/>
    <n v="3"/>
    <n v="9"/>
    <n v="8"/>
    <n v="0"/>
    <n v="8"/>
    <n v="0"/>
    <x v="2"/>
  </r>
  <r>
    <n v="35"/>
    <s v="No"/>
    <s v="Travel_Rarely"/>
    <n v="1343"/>
    <x v="1"/>
    <n v="27"/>
    <n v="1"/>
    <x v="2"/>
    <n v="1"/>
    <x v="620"/>
    <n v="3"/>
    <s v="Female"/>
    <n v="53"/>
    <n v="2"/>
    <x v="1"/>
    <x v="1"/>
    <n v="1"/>
    <s v="Single"/>
    <n v="2559"/>
    <n v="17852"/>
    <n v="1"/>
    <s v="Y"/>
    <x v="1"/>
    <n v="11"/>
    <n v="3"/>
    <n v="4"/>
    <n v="80"/>
    <n v="0"/>
    <n v="6"/>
    <n v="3"/>
    <n v="2"/>
    <n v="6"/>
    <n v="5"/>
    <n v="1"/>
    <n v="1"/>
    <n v="0"/>
    <x v="2"/>
  </r>
  <r>
    <n v="36"/>
    <s v="No"/>
    <s v="Travel_Rarely"/>
    <n v="928"/>
    <x v="0"/>
    <n v="1"/>
    <n v="2"/>
    <x v="0"/>
    <n v="1"/>
    <x v="621"/>
    <n v="2"/>
    <s v="Male"/>
    <n v="56"/>
    <n v="3"/>
    <x v="0"/>
    <x v="0"/>
    <n v="4"/>
    <s v="Married"/>
    <n v="6201"/>
    <n v="2823"/>
    <n v="1"/>
    <s v="Y"/>
    <x v="0"/>
    <n v="14"/>
    <n v="3"/>
    <n v="4"/>
    <n v="80"/>
    <n v="1"/>
    <n v="18"/>
    <n v="1"/>
    <n v="2"/>
    <n v="18"/>
    <n v="14"/>
    <n v="4"/>
    <n v="11"/>
    <n v="0"/>
    <x v="0"/>
  </r>
  <r>
    <n v="32"/>
    <s v="No"/>
    <s v="Travel_Rarely"/>
    <n v="117"/>
    <x v="0"/>
    <n v="13"/>
    <n v="4"/>
    <x v="0"/>
    <n v="1"/>
    <x v="622"/>
    <n v="2"/>
    <s v="Male"/>
    <n v="73"/>
    <n v="3"/>
    <x v="0"/>
    <x v="0"/>
    <n v="4"/>
    <s v="Divorced"/>
    <n v="4403"/>
    <n v="9250"/>
    <n v="2"/>
    <s v="Y"/>
    <x v="1"/>
    <n v="11"/>
    <n v="3"/>
    <n v="3"/>
    <n v="80"/>
    <n v="1"/>
    <n v="8"/>
    <n v="3"/>
    <n v="2"/>
    <n v="5"/>
    <n v="2"/>
    <n v="0"/>
    <n v="3"/>
    <n v="0"/>
    <x v="2"/>
  </r>
  <r>
    <n v="30"/>
    <s v="No"/>
    <s v="Travel_Frequently"/>
    <n v="1012"/>
    <x v="1"/>
    <n v="5"/>
    <n v="4"/>
    <x v="0"/>
    <n v="1"/>
    <x v="623"/>
    <n v="2"/>
    <s v="Male"/>
    <n v="75"/>
    <n v="2"/>
    <x v="1"/>
    <x v="1"/>
    <n v="4"/>
    <s v="Divorced"/>
    <n v="3761"/>
    <n v="2373"/>
    <n v="9"/>
    <s v="Y"/>
    <x v="1"/>
    <n v="12"/>
    <n v="3"/>
    <n v="2"/>
    <n v="80"/>
    <n v="1"/>
    <n v="10"/>
    <n v="3"/>
    <n v="2"/>
    <n v="5"/>
    <n v="4"/>
    <n v="0"/>
    <n v="3"/>
    <n v="0"/>
    <x v="2"/>
  </r>
  <r>
    <n v="53"/>
    <s v="No"/>
    <s v="Travel_Rarely"/>
    <n v="661"/>
    <x v="0"/>
    <n v="7"/>
    <n v="2"/>
    <x v="3"/>
    <n v="1"/>
    <x v="624"/>
    <n v="1"/>
    <s v="Female"/>
    <n v="78"/>
    <n v="2"/>
    <x v="2"/>
    <x v="0"/>
    <n v="4"/>
    <s v="Married"/>
    <n v="10934"/>
    <n v="20715"/>
    <n v="7"/>
    <s v="Y"/>
    <x v="0"/>
    <n v="18"/>
    <n v="3"/>
    <n v="4"/>
    <n v="80"/>
    <n v="1"/>
    <n v="35"/>
    <n v="3"/>
    <n v="3"/>
    <n v="5"/>
    <n v="2"/>
    <n v="0"/>
    <n v="4"/>
    <n v="0"/>
    <x v="1"/>
  </r>
  <r>
    <n v="45"/>
    <s v="No"/>
    <s v="Travel_Rarely"/>
    <n v="930"/>
    <x v="0"/>
    <n v="9"/>
    <n v="3"/>
    <x v="3"/>
    <n v="1"/>
    <x v="625"/>
    <n v="4"/>
    <s v="Male"/>
    <n v="74"/>
    <n v="3"/>
    <x v="2"/>
    <x v="0"/>
    <n v="1"/>
    <s v="Divorced"/>
    <n v="10761"/>
    <n v="19239"/>
    <n v="4"/>
    <s v="Y"/>
    <x v="0"/>
    <n v="12"/>
    <n v="3"/>
    <n v="3"/>
    <n v="80"/>
    <n v="1"/>
    <n v="18"/>
    <n v="2"/>
    <n v="3"/>
    <n v="5"/>
    <n v="4"/>
    <n v="0"/>
    <n v="2"/>
    <n v="0"/>
    <x v="0"/>
  </r>
  <r>
    <n v="32"/>
    <s v="No"/>
    <s v="Travel_Rarely"/>
    <n v="638"/>
    <x v="1"/>
    <n v="8"/>
    <n v="2"/>
    <x v="2"/>
    <n v="1"/>
    <x v="626"/>
    <n v="3"/>
    <s v="Female"/>
    <n v="91"/>
    <n v="4"/>
    <x v="0"/>
    <x v="1"/>
    <n v="3"/>
    <s v="Married"/>
    <n v="5175"/>
    <n v="22162"/>
    <n v="5"/>
    <s v="Y"/>
    <x v="1"/>
    <n v="12"/>
    <n v="3"/>
    <n v="3"/>
    <n v="80"/>
    <n v="1"/>
    <n v="9"/>
    <n v="3"/>
    <n v="2"/>
    <n v="5"/>
    <n v="3"/>
    <n v="1"/>
    <n v="3"/>
    <n v="0"/>
    <x v="2"/>
  </r>
  <r>
    <n v="52"/>
    <s v="No"/>
    <s v="Travel_Frequently"/>
    <n v="890"/>
    <x v="1"/>
    <n v="25"/>
    <n v="4"/>
    <x v="2"/>
    <n v="1"/>
    <x v="627"/>
    <n v="3"/>
    <s v="Female"/>
    <n v="81"/>
    <n v="2"/>
    <x v="3"/>
    <x v="3"/>
    <n v="4"/>
    <s v="Married"/>
    <n v="13826"/>
    <n v="19028"/>
    <n v="3"/>
    <s v="Y"/>
    <x v="1"/>
    <n v="22"/>
    <n v="4"/>
    <n v="3"/>
    <n v="80"/>
    <n v="0"/>
    <n v="31"/>
    <n v="3"/>
    <n v="3"/>
    <n v="9"/>
    <n v="8"/>
    <n v="0"/>
    <n v="0"/>
    <n v="0"/>
    <x v="1"/>
  </r>
  <r>
    <n v="37"/>
    <s v="No"/>
    <s v="Travel_Rarely"/>
    <n v="342"/>
    <x v="0"/>
    <n v="16"/>
    <n v="4"/>
    <x v="3"/>
    <n v="1"/>
    <x v="628"/>
    <n v="4"/>
    <s v="Male"/>
    <n v="66"/>
    <n v="2"/>
    <x v="0"/>
    <x v="0"/>
    <n v="3"/>
    <s v="Divorced"/>
    <n v="6334"/>
    <n v="24558"/>
    <n v="4"/>
    <s v="Y"/>
    <x v="1"/>
    <n v="19"/>
    <n v="3"/>
    <n v="4"/>
    <n v="80"/>
    <n v="2"/>
    <n v="9"/>
    <n v="2"/>
    <n v="3"/>
    <n v="1"/>
    <n v="0"/>
    <n v="0"/>
    <n v="0"/>
    <n v="0"/>
    <x v="0"/>
  </r>
  <r>
    <n v="28"/>
    <s v="No"/>
    <s v="Travel_Rarely"/>
    <n v="1169"/>
    <x v="2"/>
    <n v="8"/>
    <n v="2"/>
    <x v="2"/>
    <n v="1"/>
    <x v="629"/>
    <n v="2"/>
    <s v="Male"/>
    <n v="63"/>
    <n v="2"/>
    <x v="1"/>
    <x v="8"/>
    <n v="4"/>
    <s v="Divorced"/>
    <n v="4936"/>
    <n v="23965"/>
    <n v="1"/>
    <s v="Y"/>
    <x v="1"/>
    <n v="13"/>
    <n v="3"/>
    <n v="4"/>
    <n v="80"/>
    <n v="1"/>
    <n v="6"/>
    <n v="6"/>
    <n v="3"/>
    <n v="5"/>
    <n v="1"/>
    <n v="0"/>
    <n v="4"/>
    <n v="0"/>
    <x v="2"/>
  </r>
  <r>
    <n v="22"/>
    <s v="No"/>
    <s v="Travel_Rarely"/>
    <n v="1230"/>
    <x v="1"/>
    <n v="1"/>
    <n v="2"/>
    <x v="0"/>
    <n v="1"/>
    <x v="630"/>
    <n v="4"/>
    <s v="Male"/>
    <n v="33"/>
    <n v="2"/>
    <x v="0"/>
    <x v="3"/>
    <n v="4"/>
    <s v="Married"/>
    <n v="4775"/>
    <n v="19146"/>
    <n v="6"/>
    <s v="Y"/>
    <x v="1"/>
    <n v="22"/>
    <n v="4"/>
    <n v="1"/>
    <n v="80"/>
    <n v="2"/>
    <n v="4"/>
    <n v="2"/>
    <n v="1"/>
    <n v="2"/>
    <n v="2"/>
    <n v="2"/>
    <n v="2"/>
    <n v="0"/>
    <x v="4"/>
  </r>
  <r>
    <n v="44"/>
    <s v="No"/>
    <s v="Travel_Rarely"/>
    <n v="986"/>
    <x v="1"/>
    <n v="8"/>
    <n v="4"/>
    <x v="0"/>
    <n v="1"/>
    <x v="631"/>
    <n v="1"/>
    <s v="Male"/>
    <n v="62"/>
    <n v="4"/>
    <x v="1"/>
    <x v="2"/>
    <n v="4"/>
    <s v="Married"/>
    <n v="2818"/>
    <n v="5044"/>
    <n v="2"/>
    <s v="Y"/>
    <x v="0"/>
    <n v="24"/>
    <n v="4"/>
    <n v="3"/>
    <n v="80"/>
    <n v="1"/>
    <n v="10"/>
    <n v="2"/>
    <n v="2"/>
    <n v="3"/>
    <n v="2"/>
    <n v="0"/>
    <n v="2"/>
    <n v="0"/>
    <x v="0"/>
  </r>
  <r>
    <n v="42"/>
    <s v="No"/>
    <s v="Travel_Frequently"/>
    <n v="1271"/>
    <x v="1"/>
    <n v="2"/>
    <n v="1"/>
    <x v="2"/>
    <n v="1"/>
    <x v="632"/>
    <n v="2"/>
    <s v="Male"/>
    <n v="35"/>
    <n v="3"/>
    <x v="1"/>
    <x v="1"/>
    <n v="4"/>
    <s v="Single"/>
    <n v="2515"/>
    <n v="9068"/>
    <n v="5"/>
    <s v="Y"/>
    <x v="0"/>
    <n v="14"/>
    <n v="3"/>
    <n v="4"/>
    <n v="80"/>
    <n v="0"/>
    <n v="8"/>
    <n v="2"/>
    <n v="3"/>
    <n v="2"/>
    <n v="1"/>
    <n v="2"/>
    <n v="2"/>
    <n v="0"/>
    <x v="0"/>
  </r>
  <r>
    <n v="36"/>
    <s v="No"/>
    <s v="Travel_Rarely"/>
    <n v="1278"/>
    <x v="2"/>
    <n v="8"/>
    <n v="3"/>
    <x v="0"/>
    <n v="1"/>
    <x v="633"/>
    <n v="1"/>
    <s v="Male"/>
    <n v="77"/>
    <n v="2"/>
    <x v="1"/>
    <x v="8"/>
    <n v="1"/>
    <s v="Married"/>
    <n v="2342"/>
    <n v="8635"/>
    <n v="0"/>
    <s v="Y"/>
    <x v="1"/>
    <n v="21"/>
    <n v="4"/>
    <n v="3"/>
    <n v="80"/>
    <n v="0"/>
    <n v="6"/>
    <n v="3"/>
    <n v="3"/>
    <n v="5"/>
    <n v="4"/>
    <n v="0"/>
    <n v="3"/>
    <n v="0"/>
    <x v="0"/>
  </r>
  <r>
    <n v="25"/>
    <s v="No"/>
    <s v="Travel_Rarely"/>
    <n v="141"/>
    <x v="0"/>
    <n v="3"/>
    <n v="1"/>
    <x v="1"/>
    <n v="1"/>
    <x v="634"/>
    <n v="3"/>
    <s v="Male"/>
    <n v="98"/>
    <n v="3"/>
    <x v="0"/>
    <x v="0"/>
    <n v="1"/>
    <s v="Married"/>
    <n v="4194"/>
    <n v="14363"/>
    <n v="1"/>
    <s v="Y"/>
    <x v="0"/>
    <n v="18"/>
    <n v="3"/>
    <n v="4"/>
    <n v="80"/>
    <n v="0"/>
    <n v="5"/>
    <n v="3"/>
    <n v="3"/>
    <n v="5"/>
    <n v="3"/>
    <n v="0"/>
    <n v="3"/>
    <n v="0"/>
    <x v="4"/>
  </r>
  <r>
    <n v="35"/>
    <s v="No"/>
    <s v="Travel_Rarely"/>
    <n v="607"/>
    <x v="1"/>
    <n v="9"/>
    <n v="3"/>
    <x v="0"/>
    <n v="1"/>
    <x v="635"/>
    <n v="4"/>
    <s v="Female"/>
    <n v="66"/>
    <n v="2"/>
    <x v="2"/>
    <x v="3"/>
    <n v="3"/>
    <s v="Married"/>
    <n v="10685"/>
    <n v="23457"/>
    <n v="1"/>
    <s v="Y"/>
    <x v="0"/>
    <n v="20"/>
    <n v="4"/>
    <n v="2"/>
    <n v="80"/>
    <n v="1"/>
    <n v="17"/>
    <n v="2"/>
    <n v="3"/>
    <n v="17"/>
    <n v="14"/>
    <n v="5"/>
    <n v="15"/>
    <n v="0"/>
    <x v="2"/>
  </r>
  <r>
    <n v="35"/>
    <s v="Yes"/>
    <s v="Travel_Frequently"/>
    <n v="130"/>
    <x v="1"/>
    <n v="25"/>
    <n v="4"/>
    <x v="0"/>
    <n v="1"/>
    <x v="636"/>
    <n v="4"/>
    <s v="Female"/>
    <n v="96"/>
    <n v="3"/>
    <x v="1"/>
    <x v="1"/>
    <n v="2"/>
    <s v="Divorced"/>
    <n v="2022"/>
    <n v="16612"/>
    <n v="1"/>
    <s v="Y"/>
    <x v="0"/>
    <n v="19"/>
    <n v="3"/>
    <n v="1"/>
    <n v="80"/>
    <n v="1"/>
    <n v="10"/>
    <n v="3"/>
    <n v="2"/>
    <n v="10"/>
    <n v="2"/>
    <n v="7"/>
    <n v="8"/>
    <n v="1"/>
    <x v="2"/>
  </r>
  <r>
    <n v="32"/>
    <s v="No"/>
    <s v="Non-Travel"/>
    <n v="300"/>
    <x v="1"/>
    <n v="1"/>
    <n v="3"/>
    <x v="0"/>
    <n v="1"/>
    <x v="637"/>
    <n v="4"/>
    <s v="Male"/>
    <n v="61"/>
    <n v="3"/>
    <x v="1"/>
    <x v="2"/>
    <n v="4"/>
    <s v="Divorced"/>
    <n v="2314"/>
    <n v="9148"/>
    <n v="0"/>
    <s v="Y"/>
    <x v="1"/>
    <n v="12"/>
    <n v="3"/>
    <n v="2"/>
    <n v="80"/>
    <n v="1"/>
    <n v="4"/>
    <n v="2"/>
    <n v="3"/>
    <n v="3"/>
    <n v="0"/>
    <n v="0"/>
    <n v="2"/>
    <n v="0"/>
    <x v="2"/>
  </r>
  <r>
    <n v="25"/>
    <s v="No"/>
    <s v="Travel_Rarely"/>
    <n v="583"/>
    <x v="0"/>
    <n v="4"/>
    <n v="1"/>
    <x v="3"/>
    <n v="1"/>
    <x v="638"/>
    <n v="3"/>
    <s v="Male"/>
    <n v="87"/>
    <n v="2"/>
    <x v="0"/>
    <x v="0"/>
    <n v="1"/>
    <s v="Married"/>
    <n v="4256"/>
    <n v="18154"/>
    <n v="1"/>
    <s v="Y"/>
    <x v="1"/>
    <n v="12"/>
    <n v="3"/>
    <n v="1"/>
    <n v="80"/>
    <n v="0"/>
    <n v="5"/>
    <n v="1"/>
    <n v="4"/>
    <n v="5"/>
    <n v="2"/>
    <n v="0"/>
    <n v="3"/>
    <n v="0"/>
    <x v="4"/>
  </r>
  <r>
    <n v="49"/>
    <s v="No"/>
    <s v="Travel_Rarely"/>
    <n v="1418"/>
    <x v="1"/>
    <n v="1"/>
    <n v="3"/>
    <x v="4"/>
    <n v="1"/>
    <x v="639"/>
    <n v="3"/>
    <s v="Female"/>
    <n v="36"/>
    <n v="3"/>
    <x v="1"/>
    <x v="1"/>
    <n v="1"/>
    <s v="Married"/>
    <n v="3580"/>
    <n v="10554"/>
    <n v="2"/>
    <s v="Y"/>
    <x v="1"/>
    <n v="16"/>
    <n v="3"/>
    <n v="2"/>
    <n v="80"/>
    <n v="1"/>
    <n v="7"/>
    <n v="2"/>
    <n v="3"/>
    <n v="4"/>
    <n v="2"/>
    <n v="0"/>
    <n v="2"/>
    <n v="0"/>
    <x v="1"/>
  </r>
  <r>
    <n v="24"/>
    <s v="No"/>
    <s v="Non-Travel"/>
    <n v="1269"/>
    <x v="1"/>
    <n v="4"/>
    <n v="1"/>
    <x v="0"/>
    <n v="1"/>
    <x v="640"/>
    <n v="1"/>
    <s v="Male"/>
    <n v="46"/>
    <n v="2"/>
    <x v="1"/>
    <x v="2"/>
    <n v="4"/>
    <s v="Married"/>
    <n v="3162"/>
    <n v="10778"/>
    <n v="0"/>
    <s v="Y"/>
    <x v="1"/>
    <n v="17"/>
    <n v="3"/>
    <n v="4"/>
    <n v="80"/>
    <n v="0"/>
    <n v="6"/>
    <n v="2"/>
    <n v="2"/>
    <n v="5"/>
    <n v="2"/>
    <n v="3"/>
    <n v="4"/>
    <n v="0"/>
    <x v="4"/>
  </r>
  <r>
    <n v="32"/>
    <s v="No"/>
    <s v="Travel_Frequently"/>
    <n v="379"/>
    <x v="0"/>
    <n v="5"/>
    <n v="2"/>
    <x v="0"/>
    <n v="1"/>
    <x v="641"/>
    <n v="2"/>
    <s v="Male"/>
    <n v="48"/>
    <n v="3"/>
    <x v="0"/>
    <x v="0"/>
    <n v="2"/>
    <s v="Married"/>
    <n v="6524"/>
    <n v="8891"/>
    <n v="1"/>
    <s v="Y"/>
    <x v="1"/>
    <n v="14"/>
    <n v="3"/>
    <n v="4"/>
    <n v="80"/>
    <n v="1"/>
    <n v="10"/>
    <n v="3"/>
    <n v="3"/>
    <n v="10"/>
    <n v="8"/>
    <n v="5"/>
    <n v="3"/>
    <n v="0"/>
    <x v="2"/>
  </r>
  <r>
    <n v="38"/>
    <s v="No"/>
    <s v="Travel_Rarely"/>
    <n v="395"/>
    <x v="0"/>
    <n v="9"/>
    <n v="3"/>
    <x v="3"/>
    <n v="1"/>
    <x v="642"/>
    <n v="2"/>
    <s v="Male"/>
    <n v="98"/>
    <n v="2"/>
    <x v="1"/>
    <x v="6"/>
    <n v="2"/>
    <s v="Married"/>
    <n v="2899"/>
    <n v="12102"/>
    <n v="0"/>
    <s v="Y"/>
    <x v="1"/>
    <n v="19"/>
    <n v="3"/>
    <n v="4"/>
    <n v="80"/>
    <n v="1"/>
    <n v="3"/>
    <n v="3"/>
    <n v="3"/>
    <n v="2"/>
    <n v="2"/>
    <n v="1"/>
    <n v="2"/>
    <n v="0"/>
    <x v="0"/>
  </r>
  <r>
    <n v="42"/>
    <s v="No"/>
    <s v="Travel_Rarely"/>
    <n v="1265"/>
    <x v="1"/>
    <n v="3"/>
    <n v="3"/>
    <x v="0"/>
    <n v="1"/>
    <x v="643"/>
    <n v="3"/>
    <s v="Female"/>
    <n v="95"/>
    <n v="4"/>
    <x v="0"/>
    <x v="2"/>
    <n v="4"/>
    <s v="Married"/>
    <n v="5231"/>
    <n v="23726"/>
    <n v="2"/>
    <s v="Y"/>
    <x v="0"/>
    <n v="13"/>
    <n v="3"/>
    <n v="2"/>
    <n v="80"/>
    <n v="1"/>
    <n v="17"/>
    <n v="1"/>
    <n v="2"/>
    <n v="5"/>
    <n v="3"/>
    <n v="1"/>
    <n v="3"/>
    <n v="0"/>
    <x v="0"/>
  </r>
  <r>
    <n v="31"/>
    <s v="No"/>
    <s v="Travel_Rarely"/>
    <n v="1222"/>
    <x v="1"/>
    <n v="11"/>
    <n v="4"/>
    <x v="0"/>
    <n v="1"/>
    <x v="644"/>
    <n v="4"/>
    <s v="Male"/>
    <n v="48"/>
    <n v="3"/>
    <x v="1"/>
    <x v="1"/>
    <n v="4"/>
    <s v="Married"/>
    <n v="2356"/>
    <n v="14871"/>
    <n v="3"/>
    <s v="Y"/>
    <x v="0"/>
    <n v="19"/>
    <n v="3"/>
    <n v="2"/>
    <n v="80"/>
    <n v="1"/>
    <n v="8"/>
    <n v="2"/>
    <n v="3"/>
    <n v="6"/>
    <n v="4"/>
    <n v="0"/>
    <n v="2"/>
    <n v="0"/>
    <x v="2"/>
  </r>
  <r>
    <n v="29"/>
    <s v="Yes"/>
    <s v="Travel_Rarely"/>
    <n v="341"/>
    <x v="0"/>
    <n v="1"/>
    <n v="3"/>
    <x v="2"/>
    <n v="1"/>
    <x v="645"/>
    <n v="2"/>
    <s v="Female"/>
    <n v="48"/>
    <n v="2"/>
    <x v="1"/>
    <x v="6"/>
    <n v="3"/>
    <s v="Divorced"/>
    <n v="2800"/>
    <n v="23522"/>
    <n v="6"/>
    <s v="Y"/>
    <x v="0"/>
    <n v="19"/>
    <n v="3"/>
    <n v="3"/>
    <n v="80"/>
    <n v="3"/>
    <n v="5"/>
    <n v="3"/>
    <n v="3"/>
    <n v="3"/>
    <n v="2"/>
    <n v="0"/>
    <n v="2"/>
    <n v="1"/>
    <x v="2"/>
  </r>
  <r>
    <n v="53"/>
    <s v="No"/>
    <s v="Travel_Rarely"/>
    <n v="868"/>
    <x v="0"/>
    <n v="8"/>
    <n v="3"/>
    <x v="3"/>
    <n v="1"/>
    <x v="646"/>
    <n v="1"/>
    <s v="Male"/>
    <n v="73"/>
    <n v="3"/>
    <x v="3"/>
    <x v="0"/>
    <n v="4"/>
    <s v="Married"/>
    <n v="11836"/>
    <n v="22789"/>
    <n v="5"/>
    <s v="Y"/>
    <x v="1"/>
    <n v="14"/>
    <n v="3"/>
    <n v="3"/>
    <n v="80"/>
    <n v="1"/>
    <n v="28"/>
    <n v="3"/>
    <n v="3"/>
    <n v="2"/>
    <n v="0"/>
    <n v="2"/>
    <n v="2"/>
    <n v="0"/>
    <x v="1"/>
  </r>
  <r>
    <n v="35"/>
    <s v="No"/>
    <s v="Travel_Rarely"/>
    <n v="672"/>
    <x v="1"/>
    <n v="25"/>
    <n v="3"/>
    <x v="4"/>
    <n v="1"/>
    <x v="647"/>
    <n v="4"/>
    <s v="Male"/>
    <n v="78"/>
    <n v="2"/>
    <x v="2"/>
    <x v="3"/>
    <n v="2"/>
    <s v="Married"/>
    <n v="10903"/>
    <n v="9129"/>
    <n v="3"/>
    <s v="Y"/>
    <x v="1"/>
    <n v="16"/>
    <n v="3"/>
    <n v="1"/>
    <n v="80"/>
    <n v="0"/>
    <n v="16"/>
    <n v="2"/>
    <n v="3"/>
    <n v="13"/>
    <n v="10"/>
    <n v="4"/>
    <n v="8"/>
    <n v="0"/>
    <x v="2"/>
  </r>
  <r>
    <n v="37"/>
    <s v="No"/>
    <s v="Travel_Frequently"/>
    <n v="1231"/>
    <x v="0"/>
    <n v="21"/>
    <n v="2"/>
    <x v="2"/>
    <n v="1"/>
    <x v="648"/>
    <n v="3"/>
    <s v="Female"/>
    <n v="54"/>
    <n v="3"/>
    <x v="1"/>
    <x v="6"/>
    <n v="4"/>
    <s v="Married"/>
    <n v="2973"/>
    <n v="21222"/>
    <n v="5"/>
    <s v="Y"/>
    <x v="1"/>
    <n v="15"/>
    <n v="3"/>
    <n v="2"/>
    <n v="80"/>
    <n v="1"/>
    <n v="10"/>
    <n v="3"/>
    <n v="3"/>
    <n v="5"/>
    <n v="4"/>
    <n v="0"/>
    <n v="0"/>
    <n v="0"/>
    <x v="0"/>
  </r>
  <r>
    <n v="53"/>
    <s v="No"/>
    <s v="Travel_Rarely"/>
    <n v="102"/>
    <x v="1"/>
    <n v="23"/>
    <n v="4"/>
    <x v="0"/>
    <n v="1"/>
    <x v="649"/>
    <n v="4"/>
    <s v="Female"/>
    <n v="72"/>
    <n v="3"/>
    <x v="3"/>
    <x v="7"/>
    <n v="4"/>
    <s v="Single"/>
    <n v="14275"/>
    <n v="20206"/>
    <n v="6"/>
    <s v="Y"/>
    <x v="1"/>
    <n v="18"/>
    <n v="3"/>
    <n v="3"/>
    <n v="80"/>
    <n v="0"/>
    <n v="33"/>
    <n v="0"/>
    <n v="3"/>
    <n v="12"/>
    <n v="9"/>
    <n v="3"/>
    <n v="8"/>
    <n v="0"/>
    <x v="1"/>
  </r>
  <r>
    <n v="43"/>
    <s v="No"/>
    <s v="Travel_Frequently"/>
    <n v="422"/>
    <x v="1"/>
    <n v="1"/>
    <n v="3"/>
    <x v="0"/>
    <n v="1"/>
    <x v="650"/>
    <n v="4"/>
    <s v="Female"/>
    <n v="33"/>
    <n v="3"/>
    <x v="0"/>
    <x v="4"/>
    <n v="4"/>
    <s v="Married"/>
    <n v="5562"/>
    <n v="21782"/>
    <n v="4"/>
    <s v="Y"/>
    <x v="1"/>
    <n v="13"/>
    <n v="3"/>
    <n v="2"/>
    <n v="80"/>
    <n v="1"/>
    <n v="12"/>
    <n v="2"/>
    <n v="2"/>
    <n v="5"/>
    <n v="2"/>
    <n v="2"/>
    <n v="2"/>
    <n v="0"/>
    <x v="0"/>
  </r>
  <r>
    <n v="47"/>
    <s v="No"/>
    <s v="Travel_Rarely"/>
    <n v="249"/>
    <x v="0"/>
    <n v="2"/>
    <n v="2"/>
    <x v="3"/>
    <n v="1"/>
    <x v="651"/>
    <n v="3"/>
    <s v="Female"/>
    <n v="35"/>
    <n v="3"/>
    <x v="0"/>
    <x v="0"/>
    <n v="4"/>
    <s v="Married"/>
    <n v="4537"/>
    <n v="17783"/>
    <n v="0"/>
    <s v="Y"/>
    <x v="0"/>
    <n v="22"/>
    <n v="4"/>
    <n v="1"/>
    <n v="80"/>
    <n v="1"/>
    <n v="8"/>
    <n v="2"/>
    <n v="3"/>
    <n v="7"/>
    <n v="6"/>
    <n v="7"/>
    <n v="7"/>
    <n v="0"/>
    <x v="1"/>
  </r>
  <r>
    <n v="37"/>
    <s v="No"/>
    <s v="Non-Travel"/>
    <n v="1252"/>
    <x v="0"/>
    <n v="19"/>
    <n v="2"/>
    <x v="2"/>
    <n v="1"/>
    <x v="652"/>
    <n v="1"/>
    <s v="Male"/>
    <n v="32"/>
    <n v="3"/>
    <x v="2"/>
    <x v="0"/>
    <n v="2"/>
    <s v="Single"/>
    <n v="7642"/>
    <n v="4814"/>
    <n v="1"/>
    <s v="Y"/>
    <x v="0"/>
    <n v="13"/>
    <n v="3"/>
    <n v="4"/>
    <n v="80"/>
    <n v="0"/>
    <n v="10"/>
    <n v="2"/>
    <n v="3"/>
    <n v="10"/>
    <n v="0"/>
    <n v="0"/>
    <n v="9"/>
    <n v="0"/>
    <x v="0"/>
  </r>
  <r>
    <n v="50"/>
    <s v="No"/>
    <s v="Non-Travel"/>
    <n v="881"/>
    <x v="1"/>
    <n v="2"/>
    <n v="4"/>
    <x v="0"/>
    <n v="1"/>
    <x v="653"/>
    <n v="1"/>
    <s v="Male"/>
    <n v="98"/>
    <n v="3"/>
    <x v="3"/>
    <x v="5"/>
    <n v="1"/>
    <s v="Divorced"/>
    <n v="17924"/>
    <n v="4544"/>
    <n v="1"/>
    <s v="Y"/>
    <x v="1"/>
    <n v="11"/>
    <n v="3"/>
    <n v="4"/>
    <n v="80"/>
    <n v="1"/>
    <n v="31"/>
    <n v="3"/>
    <n v="3"/>
    <n v="31"/>
    <n v="6"/>
    <n v="14"/>
    <n v="7"/>
    <n v="0"/>
    <x v="1"/>
  </r>
  <r>
    <n v="39"/>
    <s v="No"/>
    <s v="Travel_Rarely"/>
    <n v="1383"/>
    <x v="2"/>
    <n v="2"/>
    <n v="3"/>
    <x v="0"/>
    <n v="1"/>
    <x v="654"/>
    <n v="4"/>
    <s v="Female"/>
    <n v="42"/>
    <n v="2"/>
    <x v="0"/>
    <x v="8"/>
    <n v="4"/>
    <s v="Married"/>
    <n v="5204"/>
    <n v="7790"/>
    <n v="8"/>
    <s v="Y"/>
    <x v="1"/>
    <n v="11"/>
    <n v="3"/>
    <n v="3"/>
    <n v="80"/>
    <n v="2"/>
    <n v="13"/>
    <n v="2"/>
    <n v="3"/>
    <n v="5"/>
    <n v="4"/>
    <n v="0"/>
    <n v="4"/>
    <n v="0"/>
    <x v="0"/>
  </r>
  <r>
    <n v="33"/>
    <s v="No"/>
    <s v="Travel_Rarely"/>
    <n v="1075"/>
    <x v="2"/>
    <n v="3"/>
    <n v="2"/>
    <x v="5"/>
    <n v="1"/>
    <x v="655"/>
    <n v="4"/>
    <s v="Male"/>
    <n v="57"/>
    <n v="3"/>
    <x v="1"/>
    <x v="8"/>
    <n v="2"/>
    <s v="Divorced"/>
    <n v="2277"/>
    <n v="22650"/>
    <n v="3"/>
    <s v="Y"/>
    <x v="0"/>
    <n v="11"/>
    <n v="3"/>
    <n v="3"/>
    <n v="80"/>
    <n v="1"/>
    <n v="7"/>
    <n v="4"/>
    <n v="4"/>
    <n v="4"/>
    <n v="3"/>
    <n v="0"/>
    <n v="3"/>
    <n v="0"/>
    <x v="2"/>
  </r>
  <r>
    <n v="32"/>
    <s v="Yes"/>
    <s v="Travel_Rarely"/>
    <n v="374"/>
    <x v="1"/>
    <n v="25"/>
    <n v="4"/>
    <x v="0"/>
    <n v="1"/>
    <x v="656"/>
    <n v="1"/>
    <s v="Male"/>
    <n v="87"/>
    <n v="3"/>
    <x v="1"/>
    <x v="2"/>
    <n v="4"/>
    <s v="Single"/>
    <n v="2795"/>
    <n v="18016"/>
    <n v="1"/>
    <s v="Y"/>
    <x v="0"/>
    <n v="24"/>
    <n v="4"/>
    <n v="3"/>
    <n v="80"/>
    <n v="0"/>
    <n v="1"/>
    <n v="2"/>
    <n v="1"/>
    <n v="1"/>
    <n v="0"/>
    <n v="0"/>
    <n v="1"/>
    <n v="1"/>
    <x v="2"/>
  </r>
  <r>
    <n v="29"/>
    <s v="No"/>
    <s v="Travel_Rarely"/>
    <n v="1086"/>
    <x v="1"/>
    <n v="7"/>
    <n v="1"/>
    <x v="2"/>
    <n v="1"/>
    <x v="657"/>
    <n v="1"/>
    <s v="Female"/>
    <n v="62"/>
    <n v="2"/>
    <x v="1"/>
    <x v="2"/>
    <n v="4"/>
    <s v="Divorced"/>
    <n v="2532"/>
    <n v="6054"/>
    <n v="6"/>
    <s v="Y"/>
    <x v="1"/>
    <n v="14"/>
    <n v="3"/>
    <n v="3"/>
    <n v="80"/>
    <n v="3"/>
    <n v="8"/>
    <n v="5"/>
    <n v="3"/>
    <n v="4"/>
    <n v="3"/>
    <n v="0"/>
    <n v="3"/>
    <n v="0"/>
    <x v="2"/>
  </r>
  <r>
    <n v="44"/>
    <s v="No"/>
    <s v="Travel_Rarely"/>
    <n v="661"/>
    <x v="1"/>
    <n v="9"/>
    <n v="2"/>
    <x v="0"/>
    <n v="1"/>
    <x v="658"/>
    <n v="2"/>
    <s v="Male"/>
    <n v="61"/>
    <n v="3"/>
    <x v="1"/>
    <x v="1"/>
    <n v="1"/>
    <s v="Married"/>
    <n v="2559"/>
    <n v="7508"/>
    <n v="1"/>
    <s v="Y"/>
    <x v="0"/>
    <n v="13"/>
    <n v="3"/>
    <n v="4"/>
    <n v="80"/>
    <n v="0"/>
    <n v="8"/>
    <n v="0"/>
    <n v="3"/>
    <n v="8"/>
    <n v="7"/>
    <n v="7"/>
    <n v="1"/>
    <n v="0"/>
    <x v="0"/>
  </r>
  <r>
    <n v="28"/>
    <s v="No"/>
    <s v="Travel_Rarely"/>
    <n v="821"/>
    <x v="0"/>
    <n v="5"/>
    <n v="4"/>
    <x v="2"/>
    <n v="1"/>
    <x v="659"/>
    <n v="1"/>
    <s v="Male"/>
    <n v="98"/>
    <n v="3"/>
    <x v="0"/>
    <x v="0"/>
    <n v="4"/>
    <s v="Single"/>
    <n v="4908"/>
    <n v="24252"/>
    <n v="1"/>
    <s v="Y"/>
    <x v="1"/>
    <n v="14"/>
    <n v="3"/>
    <n v="2"/>
    <n v="80"/>
    <n v="0"/>
    <n v="4"/>
    <n v="3"/>
    <n v="3"/>
    <n v="4"/>
    <n v="2"/>
    <n v="0"/>
    <n v="2"/>
    <n v="0"/>
    <x v="2"/>
  </r>
  <r>
    <n v="58"/>
    <s v="Yes"/>
    <s v="Travel_Frequently"/>
    <n v="781"/>
    <x v="1"/>
    <n v="2"/>
    <n v="1"/>
    <x v="0"/>
    <n v="1"/>
    <x v="660"/>
    <n v="4"/>
    <s v="Male"/>
    <n v="57"/>
    <n v="2"/>
    <x v="1"/>
    <x v="2"/>
    <n v="4"/>
    <s v="Divorced"/>
    <n v="2380"/>
    <n v="13384"/>
    <n v="9"/>
    <s v="Y"/>
    <x v="0"/>
    <n v="14"/>
    <n v="3"/>
    <n v="4"/>
    <n v="80"/>
    <n v="1"/>
    <n v="3"/>
    <n v="3"/>
    <n v="2"/>
    <n v="1"/>
    <n v="0"/>
    <n v="0"/>
    <n v="0"/>
    <n v="1"/>
    <x v="3"/>
  </r>
  <r>
    <n v="43"/>
    <s v="No"/>
    <s v="Travel_Rarely"/>
    <n v="177"/>
    <x v="1"/>
    <n v="8"/>
    <n v="3"/>
    <x v="0"/>
    <n v="1"/>
    <x v="661"/>
    <n v="1"/>
    <s v="Female"/>
    <n v="55"/>
    <n v="3"/>
    <x v="0"/>
    <x v="3"/>
    <n v="2"/>
    <s v="Divorced"/>
    <n v="4765"/>
    <n v="23814"/>
    <n v="4"/>
    <s v="Y"/>
    <x v="1"/>
    <n v="21"/>
    <n v="4"/>
    <n v="3"/>
    <n v="80"/>
    <n v="1"/>
    <n v="4"/>
    <n v="2"/>
    <n v="4"/>
    <n v="1"/>
    <n v="0"/>
    <n v="0"/>
    <n v="0"/>
    <n v="0"/>
    <x v="0"/>
  </r>
  <r>
    <n v="20"/>
    <s v="Yes"/>
    <s v="Travel_Rarely"/>
    <n v="500"/>
    <x v="0"/>
    <n v="2"/>
    <n v="3"/>
    <x v="2"/>
    <n v="1"/>
    <x v="662"/>
    <n v="3"/>
    <s v="Female"/>
    <n v="49"/>
    <n v="2"/>
    <x v="1"/>
    <x v="6"/>
    <n v="3"/>
    <s v="Single"/>
    <n v="2044"/>
    <n v="22052"/>
    <n v="1"/>
    <s v="Y"/>
    <x v="1"/>
    <n v="13"/>
    <n v="3"/>
    <n v="4"/>
    <n v="80"/>
    <n v="0"/>
    <n v="2"/>
    <n v="3"/>
    <n v="2"/>
    <n v="2"/>
    <n v="2"/>
    <n v="0"/>
    <n v="2"/>
    <n v="1"/>
    <x v="4"/>
  </r>
  <r>
    <n v="21"/>
    <s v="Yes"/>
    <s v="Travel_Rarely"/>
    <n v="1427"/>
    <x v="1"/>
    <n v="18"/>
    <n v="1"/>
    <x v="1"/>
    <n v="1"/>
    <x v="663"/>
    <n v="4"/>
    <s v="Female"/>
    <n v="65"/>
    <n v="3"/>
    <x v="1"/>
    <x v="1"/>
    <n v="4"/>
    <s v="Single"/>
    <n v="2693"/>
    <n v="8870"/>
    <n v="1"/>
    <s v="Y"/>
    <x v="1"/>
    <n v="19"/>
    <n v="3"/>
    <n v="1"/>
    <n v="80"/>
    <n v="0"/>
    <n v="1"/>
    <n v="3"/>
    <n v="2"/>
    <n v="1"/>
    <n v="0"/>
    <n v="0"/>
    <n v="0"/>
    <n v="1"/>
    <x v="4"/>
  </r>
  <r>
    <n v="36"/>
    <s v="No"/>
    <s v="Travel_Rarely"/>
    <n v="1425"/>
    <x v="1"/>
    <n v="14"/>
    <n v="1"/>
    <x v="0"/>
    <n v="1"/>
    <x v="664"/>
    <n v="3"/>
    <s v="Male"/>
    <n v="68"/>
    <n v="3"/>
    <x v="0"/>
    <x v="4"/>
    <n v="4"/>
    <s v="Married"/>
    <n v="6586"/>
    <n v="4821"/>
    <n v="0"/>
    <s v="Y"/>
    <x v="0"/>
    <n v="17"/>
    <n v="3"/>
    <n v="1"/>
    <n v="80"/>
    <n v="1"/>
    <n v="17"/>
    <n v="2"/>
    <n v="2"/>
    <n v="16"/>
    <n v="8"/>
    <n v="4"/>
    <n v="11"/>
    <n v="0"/>
    <x v="0"/>
  </r>
  <r>
    <n v="47"/>
    <s v="No"/>
    <s v="Travel_Rarely"/>
    <n v="1454"/>
    <x v="0"/>
    <n v="2"/>
    <n v="4"/>
    <x v="0"/>
    <n v="1"/>
    <x v="665"/>
    <n v="4"/>
    <s v="Female"/>
    <n v="65"/>
    <n v="2"/>
    <x v="1"/>
    <x v="6"/>
    <n v="4"/>
    <s v="Single"/>
    <n v="3294"/>
    <n v="13137"/>
    <n v="1"/>
    <s v="Y"/>
    <x v="0"/>
    <n v="18"/>
    <n v="3"/>
    <n v="1"/>
    <n v="80"/>
    <n v="0"/>
    <n v="3"/>
    <n v="3"/>
    <n v="2"/>
    <n v="3"/>
    <n v="2"/>
    <n v="1"/>
    <n v="2"/>
    <n v="0"/>
    <x v="1"/>
  </r>
  <r>
    <n v="22"/>
    <s v="Yes"/>
    <s v="Travel_Rarely"/>
    <n v="617"/>
    <x v="1"/>
    <n v="3"/>
    <n v="1"/>
    <x v="0"/>
    <n v="1"/>
    <x v="666"/>
    <n v="2"/>
    <s v="Female"/>
    <n v="34"/>
    <n v="3"/>
    <x v="0"/>
    <x v="3"/>
    <n v="3"/>
    <s v="Married"/>
    <n v="4171"/>
    <n v="10022"/>
    <n v="0"/>
    <s v="Y"/>
    <x v="0"/>
    <n v="19"/>
    <n v="3"/>
    <n v="1"/>
    <n v="80"/>
    <n v="1"/>
    <n v="4"/>
    <n v="3"/>
    <n v="4"/>
    <n v="3"/>
    <n v="2"/>
    <n v="0"/>
    <n v="2"/>
    <n v="1"/>
    <x v="4"/>
  </r>
  <r>
    <n v="41"/>
    <s v="Yes"/>
    <s v="Travel_Rarely"/>
    <n v="1085"/>
    <x v="1"/>
    <n v="2"/>
    <n v="4"/>
    <x v="0"/>
    <n v="1"/>
    <x v="667"/>
    <n v="2"/>
    <s v="Female"/>
    <n v="57"/>
    <n v="1"/>
    <x v="1"/>
    <x v="2"/>
    <n v="4"/>
    <s v="Divorced"/>
    <n v="2778"/>
    <n v="17725"/>
    <n v="4"/>
    <s v="Y"/>
    <x v="0"/>
    <n v="13"/>
    <n v="3"/>
    <n v="3"/>
    <n v="80"/>
    <n v="1"/>
    <n v="10"/>
    <n v="1"/>
    <n v="2"/>
    <n v="7"/>
    <n v="7"/>
    <n v="1"/>
    <n v="0"/>
    <n v="1"/>
    <x v="0"/>
  </r>
  <r>
    <n v="28"/>
    <s v="No"/>
    <s v="Travel_Rarely"/>
    <n v="995"/>
    <x v="1"/>
    <n v="9"/>
    <n v="3"/>
    <x v="2"/>
    <n v="1"/>
    <x v="668"/>
    <n v="3"/>
    <s v="Female"/>
    <n v="77"/>
    <n v="3"/>
    <x v="1"/>
    <x v="1"/>
    <n v="3"/>
    <s v="Divorced"/>
    <n v="2377"/>
    <n v="9834"/>
    <n v="5"/>
    <s v="Y"/>
    <x v="1"/>
    <n v="18"/>
    <n v="3"/>
    <n v="2"/>
    <n v="80"/>
    <n v="1"/>
    <n v="6"/>
    <n v="2"/>
    <n v="3"/>
    <n v="2"/>
    <n v="2"/>
    <n v="2"/>
    <n v="2"/>
    <n v="0"/>
    <x v="2"/>
  </r>
  <r>
    <n v="39"/>
    <s v="Yes"/>
    <s v="Travel_Rarely"/>
    <n v="1122"/>
    <x v="1"/>
    <n v="6"/>
    <n v="3"/>
    <x v="2"/>
    <n v="1"/>
    <x v="669"/>
    <n v="4"/>
    <s v="Male"/>
    <n v="70"/>
    <n v="3"/>
    <x v="1"/>
    <x v="2"/>
    <n v="1"/>
    <s v="Married"/>
    <n v="2404"/>
    <n v="4303"/>
    <n v="7"/>
    <s v="Y"/>
    <x v="0"/>
    <n v="21"/>
    <n v="4"/>
    <n v="4"/>
    <n v="80"/>
    <n v="0"/>
    <n v="8"/>
    <n v="2"/>
    <n v="1"/>
    <n v="2"/>
    <n v="2"/>
    <n v="2"/>
    <n v="2"/>
    <n v="1"/>
    <x v="0"/>
  </r>
  <r>
    <n v="27"/>
    <s v="No"/>
    <s v="Travel_Rarely"/>
    <n v="618"/>
    <x v="1"/>
    <n v="4"/>
    <n v="3"/>
    <x v="0"/>
    <n v="1"/>
    <x v="670"/>
    <n v="2"/>
    <s v="Female"/>
    <n v="76"/>
    <n v="3"/>
    <x v="1"/>
    <x v="1"/>
    <n v="3"/>
    <s v="Single"/>
    <n v="2318"/>
    <n v="17808"/>
    <n v="1"/>
    <s v="Y"/>
    <x v="1"/>
    <n v="19"/>
    <n v="3"/>
    <n v="3"/>
    <n v="80"/>
    <n v="0"/>
    <n v="1"/>
    <n v="2"/>
    <n v="3"/>
    <n v="1"/>
    <n v="1"/>
    <n v="0"/>
    <n v="0"/>
    <n v="0"/>
    <x v="2"/>
  </r>
  <r>
    <n v="34"/>
    <s v="No"/>
    <s v="Travel_Rarely"/>
    <n v="546"/>
    <x v="1"/>
    <n v="10"/>
    <n v="3"/>
    <x v="0"/>
    <n v="1"/>
    <x v="671"/>
    <n v="2"/>
    <s v="Male"/>
    <n v="83"/>
    <n v="3"/>
    <x v="1"/>
    <x v="2"/>
    <n v="2"/>
    <s v="Divorced"/>
    <n v="2008"/>
    <n v="6896"/>
    <n v="1"/>
    <s v="Y"/>
    <x v="1"/>
    <n v="14"/>
    <n v="3"/>
    <n v="2"/>
    <n v="80"/>
    <n v="2"/>
    <n v="1"/>
    <n v="3"/>
    <n v="3"/>
    <n v="1"/>
    <n v="0"/>
    <n v="1"/>
    <n v="0"/>
    <n v="0"/>
    <x v="2"/>
  </r>
  <r>
    <n v="42"/>
    <s v="No"/>
    <s v="Travel_Rarely"/>
    <n v="462"/>
    <x v="0"/>
    <n v="14"/>
    <n v="2"/>
    <x v="2"/>
    <n v="1"/>
    <x v="672"/>
    <n v="3"/>
    <s v="Female"/>
    <n v="68"/>
    <n v="2"/>
    <x v="0"/>
    <x v="0"/>
    <n v="3"/>
    <s v="Single"/>
    <n v="6244"/>
    <n v="7824"/>
    <n v="7"/>
    <s v="Y"/>
    <x v="1"/>
    <n v="17"/>
    <n v="3"/>
    <n v="1"/>
    <n v="80"/>
    <n v="0"/>
    <n v="10"/>
    <n v="6"/>
    <n v="3"/>
    <n v="5"/>
    <n v="4"/>
    <n v="0"/>
    <n v="3"/>
    <n v="0"/>
    <x v="0"/>
  </r>
  <r>
    <n v="33"/>
    <s v="No"/>
    <s v="Travel_Rarely"/>
    <n v="1198"/>
    <x v="1"/>
    <n v="1"/>
    <n v="4"/>
    <x v="1"/>
    <n v="1"/>
    <x v="673"/>
    <n v="3"/>
    <s v="Male"/>
    <n v="100"/>
    <n v="2"/>
    <x v="1"/>
    <x v="1"/>
    <n v="1"/>
    <s v="Single"/>
    <n v="2799"/>
    <n v="3339"/>
    <n v="3"/>
    <s v="Y"/>
    <x v="0"/>
    <n v="11"/>
    <n v="3"/>
    <n v="2"/>
    <n v="80"/>
    <n v="0"/>
    <n v="6"/>
    <n v="1"/>
    <n v="3"/>
    <n v="3"/>
    <n v="2"/>
    <n v="0"/>
    <n v="2"/>
    <n v="0"/>
    <x v="2"/>
  </r>
  <r>
    <n v="58"/>
    <s v="No"/>
    <s v="Travel_Rarely"/>
    <n v="1272"/>
    <x v="1"/>
    <n v="5"/>
    <n v="3"/>
    <x v="4"/>
    <n v="1"/>
    <x v="674"/>
    <n v="3"/>
    <s v="Female"/>
    <n v="37"/>
    <n v="2"/>
    <x v="2"/>
    <x v="4"/>
    <n v="2"/>
    <s v="Divorced"/>
    <n v="10552"/>
    <n v="9255"/>
    <n v="2"/>
    <s v="Y"/>
    <x v="0"/>
    <n v="13"/>
    <n v="3"/>
    <n v="4"/>
    <n v="80"/>
    <n v="1"/>
    <n v="24"/>
    <n v="3"/>
    <n v="3"/>
    <n v="6"/>
    <n v="0"/>
    <n v="0"/>
    <n v="4"/>
    <n v="0"/>
    <x v="3"/>
  </r>
  <r>
    <n v="31"/>
    <s v="No"/>
    <s v="Travel_Rarely"/>
    <n v="154"/>
    <x v="0"/>
    <n v="7"/>
    <n v="4"/>
    <x v="0"/>
    <n v="1"/>
    <x v="675"/>
    <n v="2"/>
    <s v="Male"/>
    <n v="41"/>
    <n v="2"/>
    <x v="1"/>
    <x v="6"/>
    <n v="3"/>
    <s v="Married"/>
    <n v="2329"/>
    <n v="11737"/>
    <n v="3"/>
    <s v="Y"/>
    <x v="1"/>
    <n v="15"/>
    <n v="3"/>
    <n v="2"/>
    <n v="80"/>
    <n v="0"/>
    <n v="13"/>
    <n v="2"/>
    <n v="4"/>
    <n v="7"/>
    <n v="7"/>
    <n v="5"/>
    <n v="2"/>
    <n v="0"/>
    <x v="2"/>
  </r>
  <r>
    <n v="35"/>
    <s v="No"/>
    <s v="Travel_Rarely"/>
    <n v="1137"/>
    <x v="1"/>
    <n v="21"/>
    <n v="1"/>
    <x v="0"/>
    <n v="1"/>
    <x v="676"/>
    <n v="4"/>
    <s v="Female"/>
    <n v="51"/>
    <n v="3"/>
    <x v="0"/>
    <x v="4"/>
    <n v="4"/>
    <s v="Married"/>
    <n v="4014"/>
    <n v="19170"/>
    <n v="1"/>
    <s v="Y"/>
    <x v="0"/>
    <n v="25"/>
    <n v="4"/>
    <n v="4"/>
    <n v="80"/>
    <n v="1"/>
    <n v="10"/>
    <n v="2"/>
    <n v="1"/>
    <n v="10"/>
    <n v="6"/>
    <n v="0"/>
    <n v="7"/>
    <n v="0"/>
    <x v="2"/>
  </r>
  <r>
    <n v="49"/>
    <s v="No"/>
    <s v="Travel_Rarely"/>
    <n v="527"/>
    <x v="1"/>
    <n v="8"/>
    <n v="2"/>
    <x v="1"/>
    <n v="1"/>
    <x v="677"/>
    <n v="1"/>
    <s v="Female"/>
    <n v="51"/>
    <n v="3"/>
    <x v="2"/>
    <x v="2"/>
    <n v="2"/>
    <s v="Married"/>
    <n v="7403"/>
    <n v="22477"/>
    <n v="4"/>
    <s v="Y"/>
    <x v="1"/>
    <n v="11"/>
    <n v="3"/>
    <n v="3"/>
    <n v="80"/>
    <n v="1"/>
    <n v="29"/>
    <n v="3"/>
    <n v="2"/>
    <n v="26"/>
    <n v="9"/>
    <n v="1"/>
    <n v="7"/>
    <n v="0"/>
    <x v="1"/>
  </r>
  <r>
    <n v="48"/>
    <s v="No"/>
    <s v="Travel_Rarely"/>
    <n v="1469"/>
    <x v="1"/>
    <n v="20"/>
    <n v="4"/>
    <x v="2"/>
    <n v="1"/>
    <x v="678"/>
    <n v="4"/>
    <s v="Male"/>
    <n v="51"/>
    <n v="3"/>
    <x v="1"/>
    <x v="1"/>
    <n v="3"/>
    <s v="Married"/>
    <n v="2259"/>
    <n v="5543"/>
    <n v="4"/>
    <s v="Y"/>
    <x v="1"/>
    <n v="17"/>
    <n v="3"/>
    <n v="1"/>
    <n v="80"/>
    <n v="2"/>
    <n v="13"/>
    <n v="2"/>
    <n v="2"/>
    <n v="0"/>
    <n v="0"/>
    <n v="0"/>
    <n v="0"/>
    <n v="0"/>
    <x v="1"/>
  </r>
  <r>
    <n v="31"/>
    <s v="No"/>
    <s v="Non-Travel"/>
    <n v="1188"/>
    <x v="0"/>
    <n v="20"/>
    <n v="2"/>
    <x v="3"/>
    <n v="1"/>
    <x v="679"/>
    <n v="4"/>
    <s v="Female"/>
    <n v="45"/>
    <n v="3"/>
    <x v="0"/>
    <x v="0"/>
    <n v="3"/>
    <s v="Married"/>
    <n v="6932"/>
    <n v="24406"/>
    <n v="1"/>
    <s v="Y"/>
    <x v="1"/>
    <n v="13"/>
    <n v="3"/>
    <n v="4"/>
    <n v="80"/>
    <n v="1"/>
    <n v="9"/>
    <n v="2"/>
    <n v="2"/>
    <n v="9"/>
    <n v="8"/>
    <n v="0"/>
    <n v="0"/>
    <n v="0"/>
    <x v="2"/>
  </r>
  <r>
    <n v="36"/>
    <s v="No"/>
    <s v="Travel_Rarely"/>
    <n v="188"/>
    <x v="1"/>
    <n v="7"/>
    <n v="4"/>
    <x v="1"/>
    <n v="1"/>
    <x v="680"/>
    <n v="2"/>
    <s v="Male"/>
    <n v="65"/>
    <n v="3"/>
    <x v="1"/>
    <x v="1"/>
    <n v="4"/>
    <s v="Single"/>
    <n v="4678"/>
    <n v="23293"/>
    <n v="2"/>
    <s v="Y"/>
    <x v="1"/>
    <n v="18"/>
    <n v="3"/>
    <n v="3"/>
    <n v="80"/>
    <n v="0"/>
    <n v="8"/>
    <n v="6"/>
    <n v="3"/>
    <n v="6"/>
    <n v="2"/>
    <n v="0"/>
    <n v="1"/>
    <n v="0"/>
    <x v="0"/>
  </r>
  <r>
    <n v="38"/>
    <s v="No"/>
    <s v="Travel_Rarely"/>
    <n v="1333"/>
    <x v="1"/>
    <n v="1"/>
    <n v="3"/>
    <x v="4"/>
    <n v="1"/>
    <x v="681"/>
    <n v="4"/>
    <s v="Female"/>
    <n v="80"/>
    <n v="3"/>
    <x v="2"/>
    <x v="7"/>
    <n v="1"/>
    <s v="Married"/>
    <n v="13582"/>
    <n v="16292"/>
    <n v="1"/>
    <s v="Y"/>
    <x v="1"/>
    <n v="13"/>
    <n v="3"/>
    <n v="2"/>
    <n v="80"/>
    <n v="1"/>
    <n v="15"/>
    <n v="3"/>
    <n v="3"/>
    <n v="15"/>
    <n v="12"/>
    <n v="5"/>
    <n v="11"/>
    <n v="0"/>
    <x v="0"/>
  </r>
  <r>
    <n v="32"/>
    <s v="No"/>
    <s v="Non-Travel"/>
    <n v="1184"/>
    <x v="1"/>
    <n v="1"/>
    <n v="3"/>
    <x v="0"/>
    <n v="1"/>
    <x v="682"/>
    <n v="3"/>
    <s v="Female"/>
    <n v="70"/>
    <n v="2"/>
    <x v="1"/>
    <x v="2"/>
    <n v="2"/>
    <s v="Married"/>
    <n v="2332"/>
    <n v="3974"/>
    <n v="6"/>
    <s v="Y"/>
    <x v="1"/>
    <n v="20"/>
    <n v="4"/>
    <n v="3"/>
    <n v="80"/>
    <n v="0"/>
    <n v="5"/>
    <n v="3"/>
    <n v="3"/>
    <n v="3"/>
    <n v="0"/>
    <n v="0"/>
    <n v="2"/>
    <n v="0"/>
    <x v="2"/>
  </r>
  <r>
    <n v="25"/>
    <s v="Yes"/>
    <s v="Travel_Rarely"/>
    <n v="867"/>
    <x v="0"/>
    <n v="19"/>
    <n v="2"/>
    <x v="3"/>
    <n v="1"/>
    <x v="683"/>
    <n v="3"/>
    <s v="Male"/>
    <n v="36"/>
    <n v="2"/>
    <x v="1"/>
    <x v="6"/>
    <n v="2"/>
    <s v="Married"/>
    <n v="2413"/>
    <n v="18798"/>
    <n v="1"/>
    <s v="Y"/>
    <x v="0"/>
    <n v="18"/>
    <n v="3"/>
    <n v="3"/>
    <n v="80"/>
    <n v="3"/>
    <n v="1"/>
    <n v="2"/>
    <n v="3"/>
    <n v="1"/>
    <n v="0"/>
    <n v="0"/>
    <n v="0"/>
    <n v="1"/>
    <x v="4"/>
  </r>
  <r>
    <n v="40"/>
    <s v="No"/>
    <s v="Travel_Rarely"/>
    <n v="658"/>
    <x v="0"/>
    <n v="10"/>
    <n v="4"/>
    <x v="3"/>
    <n v="1"/>
    <x v="684"/>
    <n v="1"/>
    <s v="Male"/>
    <n v="67"/>
    <n v="2"/>
    <x v="2"/>
    <x v="0"/>
    <n v="2"/>
    <s v="Divorced"/>
    <n v="9705"/>
    <n v="20652"/>
    <n v="2"/>
    <s v="Y"/>
    <x v="1"/>
    <n v="12"/>
    <n v="3"/>
    <n v="2"/>
    <n v="80"/>
    <n v="1"/>
    <n v="11"/>
    <n v="2"/>
    <n v="2"/>
    <n v="1"/>
    <n v="0"/>
    <n v="0"/>
    <n v="0"/>
    <n v="0"/>
    <x v="0"/>
  </r>
  <r>
    <n v="26"/>
    <s v="No"/>
    <s v="Travel_Frequently"/>
    <n v="1283"/>
    <x v="0"/>
    <n v="1"/>
    <n v="3"/>
    <x v="2"/>
    <n v="1"/>
    <x v="685"/>
    <n v="3"/>
    <s v="Male"/>
    <n v="52"/>
    <n v="2"/>
    <x v="0"/>
    <x v="0"/>
    <n v="1"/>
    <s v="Single"/>
    <n v="4294"/>
    <n v="11148"/>
    <n v="1"/>
    <s v="Y"/>
    <x v="1"/>
    <n v="12"/>
    <n v="3"/>
    <n v="2"/>
    <n v="80"/>
    <n v="0"/>
    <n v="7"/>
    <n v="2"/>
    <n v="3"/>
    <n v="7"/>
    <n v="7"/>
    <n v="0"/>
    <n v="7"/>
    <n v="0"/>
    <x v="2"/>
  </r>
  <r>
    <n v="41"/>
    <s v="No"/>
    <s v="Travel_Rarely"/>
    <n v="263"/>
    <x v="1"/>
    <n v="6"/>
    <n v="3"/>
    <x v="2"/>
    <n v="1"/>
    <x v="686"/>
    <n v="4"/>
    <s v="Male"/>
    <n v="59"/>
    <n v="3"/>
    <x v="1"/>
    <x v="2"/>
    <n v="1"/>
    <s v="Single"/>
    <n v="4721"/>
    <n v="3119"/>
    <n v="2"/>
    <s v="Y"/>
    <x v="0"/>
    <n v="13"/>
    <n v="3"/>
    <n v="3"/>
    <n v="80"/>
    <n v="0"/>
    <n v="20"/>
    <n v="3"/>
    <n v="3"/>
    <n v="18"/>
    <n v="13"/>
    <n v="2"/>
    <n v="17"/>
    <n v="0"/>
    <x v="0"/>
  </r>
  <r>
    <n v="36"/>
    <s v="No"/>
    <s v="Travel_Rarely"/>
    <n v="938"/>
    <x v="1"/>
    <n v="2"/>
    <n v="4"/>
    <x v="2"/>
    <n v="1"/>
    <x v="687"/>
    <n v="3"/>
    <s v="Male"/>
    <n v="79"/>
    <n v="3"/>
    <x v="1"/>
    <x v="2"/>
    <n v="3"/>
    <s v="Single"/>
    <n v="2519"/>
    <n v="12287"/>
    <n v="4"/>
    <s v="Y"/>
    <x v="1"/>
    <n v="21"/>
    <n v="4"/>
    <n v="3"/>
    <n v="80"/>
    <n v="0"/>
    <n v="16"/>
    <n v="6"/>
    <n v="3"/>
    <n v="11"/>
    <n v="8"/>
    <n v="3"/>
    <n v="9"/>
    <n v="0"/>
    <x v="0"/>
  </r>
  <r>
    <n v="19"/>
    <s v="Yes"/>
    <s v="Travel_Rarely"/>
    <n v="419"/>
    <x v="0"/>
    <n v="21"/>
    <n v="3"/>
    <x v="1"/>
    <n v="1"/>
    <x v="688"/>
    <n v="4"/>
    <s v="Male"/>
    <n v="37"/>
    <n v="2"/>
    <x v="1"/>
    <x v="6"/>
    <n v="2"/>
    <s v="Single"/>
    <n v="2121"/>
    <n v="9947"/>
    <n v="1"/>
    <s v="Y"/>
    <x v="0"/>
    <n v="13"/>
    <n v="3"/>
    <n v="2"/>
    <n v="80"/>
    <n v="0"/>
    <n v="1"/>
    <n v="3"/>
    <n v="4"/>
    <n v="1"/>
    <n v="0"/>
    <n v="0"/>
    <n v="0"/>
    <n v="1"/>
    <x v="4"/>
  </r>
  <r>
    <n v="20"/>
    <s v="Yes"/>
    <s v="Travel_Rarely"/>
    <n v="129"/>
    <x v="1"/>
    <n v="4"/>
    <n v="3"/>
    <x v="4"/>
    <n v="1"/>
    <x v="689"/>
    <n v="1"/>
    <s v="Male"/>
    <n v="84"/>
    <n v="3"/>
    <x v="1"/>
    <x v="2"/>
    <n v="1"/>
    <s v="Single"/>
    <n v="2973"/>
    <n v="13008"/>
    <n v="1"/>
    <s v="Y"/>
    <x v="1"/>
    <n v="19"/>
    <n v="3"/>
    <n v="2"/>
    <n v="80"/>
    <n v="0"/>
    <n v="1"/>
    <n v="2"/>
    <n v="3"/>
    <n v="1"/>
    <n v="0"/>
    <n v="0"/>
    <n v="0"/>
    <n v="1"/>
    <x v="4"/>
  </r>
  <r>
    <n v="31"/>
    <s v="No"/>
    <s v="Travel_Rarely"/>
    <n v="616"/>
    <x v="1"/>
    <n v="12"/>
    <n v="3"/>
    <x v="2"/>
    <n v="1"/>
    <x v="690"/>
    <n v="4"/>
    <s v="Female"/>
    <n v="41"/>
    <n v="3"/>
    <x v="0"/>
    <x v="4"/>
    <n v="4"/>
    <s v="Married"/>
    <n v="5855"/>
    <n v="17369"/>
    <n v="0"/>
    <s v="Y"/>
    <x v="0"/>
    <n v="11"/>
    <n v="3"/>
    <n v="3"/>
    <n v="80"/>
    <n v="2"/>
    <n v="10"/>
    <n v="2"/>
    <n v="1"/>
    <n v="9"/>
    <n v="7"/>
    <n v="8"/>
    <n v="5"/>
    <n v="0"/>
    <x v="2"/>
  </r>
  <r>
    <n v="40"/>
    <s v="No"/>
    <s v="Travel_Frequently"/>
    <n v="1469"/>
    <x v="1"/>
    <n v="9"/>
    <n v="4"/>
    <x v="2"/>
    <n v="1"/>
    <x v="691"/>
    <n v="4"/>
    <s v="Male"/>
    <n v="35"/>
    <n v="3"/>
    <x v="1"/>
    <x v="1"/>
    <n v="2"/>
    <s v="Divorced"/>
    <n v="3617"/>
    <n v="25063"/>
    <n v="8"/>
    <s v="Y"/>
    <x v="0"/>
    <n v="14"/>
    <n v="3"/>
    <n v="4"/>
    <n v="80"/>
    <n v="1"/>
    <n v="3"/>
    <n v="2"/>
    <n v="3"/>
    <n v="1"/>
    <n v="1"/>
    <n v="0"/>
    <n v="0"/>
    <n v="0"/>
    <x v="0"/>
  </r>
  <r>
    <n v="32"/>
    <s v="No"/>
    <s v="Travel_Rarely"/>
    <n v="498"/>
    <x v="1"/>
    <n v="3"/>
    <n v="4"/>
    <x v="2"/>
    <n v="1"/>
    <x v="692"/>
    <n v="3"/>
    <s v="Female"/>
    <n v="93"/>
    <n v="3"/>
    <x v="0"/>
    <x v="3"/>
    <n v="1"/>
    <s v="Married"/>
    <n v="6725"/>
    <n v="13554"/>
    <n v="1"/>
    <s v="Y"/>
    <x v="1"/>
    <n v="12"/>
    <n v="3"/>
    <n v="3"/>
    <n v="80"/>
    <n v="1"/>
    <n v="8"/>
    <n v="2"/>
    <n v="4"/>
    <n v="8"/>
    <n v="7"/>
    <n v="6"/>
    <n v="3"/>
    <n v="0"/>
    <x v="2"/>
  </r>
  <r>
    <n v="36"/>
    <s v="Yes"/>
    <s v="Travel_Rarely"/>
    <n v="530"/>
    <x v="0"/>
    <n v="3"/>
    <n v="1"/>
    <x v="0"/>
    <n v="1"/>
    <x v="693"/>
    <n v="3"/>
    <s v="Male"/>
    <n v="51"/>
    <n v="2"/>
    <x v="2"/>
    <x v="0"/>
    <n v="4"/>
    <s v="Married"/>
    <n v="10325"/>
    <n v="5518"/>
    <n v="1"/>
    <s v="Y"/>
    <x v="0"/>
    <n v="11"/>
    <n v="3"/>
    <n v="1"/>
    <n v="80"/>
    <n v="1"/>
    <n v="16"/>
    <n v="6"/>
    <n v="3"/>
    <n v="16"/>
    <n v="7"/>
    <n v="3"/>
    <n v="7"/>
    <n v="1"/>
    <x v="0"/>
  </r>
  <r>
    <n v="33"/>
    <s v="No"/>
    <s v="Travel_Rarely"/>
    <n v="1069"/>
    <x v="1"/>
    <n v="1"/>
    <n v="3"/>
    <x v="0"/>
    <n v="1"/>
    <x v="694"/>
    <n v="2"/>
    <s v="Female"/>
    <n v="42"/>
    <n v="2"/>
    <x v="0"/>
    <x v="4"/>
    <n v="4"/>
    <s v="Single"/>
    <n v="6949"/>
    <n v="12291"/>
    <n v="0"/>
    <s v="Y"/>
    <x v="1"/>
    <n v="14"/>
    <n v="3"/>
    <n v="1"/>
    <n v="80"/>
    <n v="0"/>
    <n v="6"/>
    <n v="3"/>
    <n v="3"/>
    <n v="5"/>
    <n v="0"/>
    <n v="1"/>
    <n v="4"/>
    <n v="0"/>
    <x v="2"/>
  </r>
  <r>
    <n v="37"/>
    <s v="Yes"/>
    <s v="Travel_Rarely"/>
    <n v="625"/>
    <x v="0"/>
    <n v="1"/>
    <n v="4"/>
    <x v="0"/>
    <n v="1"/>
    <x v="695"/>
    <n v="1"/>
    <s v="Male"/>
    <n v="46"/>
    <n v="2"/>
    <x v="2"/>
    <x v="0"/>
    <n v="3"/>
    <s v="Married"/>
    <n v="10609"/>
    <n v="14922"/>
    <n v="5"/>
    <s v="Y"/>
    <x v="1"/>
    <n v="11"/>
    <n v="3"/>
    <n v="3"/>
    <n v="80"/>
    <n v="0"/>
    <n v="17"/>
    <n v="2"/>
    <n v="1"/>
    <n v="14"/>
    <n v="1"/>
    <n v="11"/>
    <n v="7"/>
    <n v="1"/>
    <x v="0"/>
  </r>
  <r>
    <n v="45"/>
    <s v="No"/>
    <s v="Non-Travel"/>
    <n v="805"/>
    <x v="1"/>
    <n v="4"/>
    <n v="2"/>
    <x v="0"/>
    <n v="1"/>
    <x v="696"/>
    <n v="3"/>
    <s v="Male"/>
    <n v="57"/>
    <n v="3"/>
    <x v="0"/>
    <x v="2"/>
    <n v="2"/>
    <s v="Married"/>
    <n v="4447"/>
    <n v="23163"/>
    <n v="1"/>
    <s v="Y"/>
    <x v="1"/>
    <n v="12"/>
    <n v="3"/>
    <n v="2"/>
    <n v="80"/>
    <n v="0"/>
    <n v="9"/>
    <n v="5"/>
    <n v="2"/>
    <n v="9"/>
    <n v="7"/>
    <n v="0"/>
    <n v="8"/>
    <n v="0"/>
    <x v="0"/>
  </r>
  <r>
    <n v="29"/>
    <s v="No"/>
    <s v="Travel_Frequently"/>
    <n v="1404"/>
    <x v="0"/>
    <n v="20"/>
    <n v="3"/>
    <x v="4"/>
    <n v="1"/>
    <x v="697"/>
    <n v="3"/>
    <s v="Female"/>
    <n v="84"/>
    <n v="3"/>
    <x v="1"/>
    <x v="6"/>
    <n v="4"/>
    <s v="Married"/>
    <n v="2157"/>
    <n v="18203"/>
    <n v="1"/>
    <s v="Y"/>
    <x v="1"/>
    <n v="15"/>
    <n v="3"/>
    <n v="2"/>
    <n v="80"/>
    <n v="1"/>
    <n v="3"/>
    <n v="5"/>
    <n v="3"/>
    <n v="3"/>
    <n v="1"/>
    <n v="0"/>
    <n v="2"/>
    <n v="0"/>
    <x v="2"/>
  </r>
  <r>
    <n v="35"/>
    <s v="No"/>
    <s v="Travel_Rarely"/>
    <n v="1219"/>
    <x v="0"/>
    <n v="18"/>
    <n v="3"/>
    <x v="2"/>
    <n v="1"/>
    <x v="698"/>
    <n v="3"/>
    <s v="Female"/>
    <n v="86"/>
    <n v="3"/>
    <x v="0"/>
    <x v="0"/>
    <n v="3"/>
    <s v="Married"/>
    <n v="4601"/>
    <n v="6179"/>
    <n v="1"/>
    <s v="Y"/>
    <x v="1"/>
    <n v="16"/>
    <n v="3"/>
    <n v="2"/>
    <n v="80"/>
    <n v="0"/>
    <n v="5"/>
    <n v="3"/>
    <n v="3"/>
    <n v="5"/>
    <n v="2"/>
    <n v="1"/>
    <n v="0"/>
    <n v="0"/>
    <x v="2"/>
  </r>
  <r>
    <n v="52"/>
    <s v="No"/>
    <s v="Travel_Rarely"/>
    <n v="1053"/>
    <x v="1"/>
    <n v="1"/>
    <n v="2"/>
    <x v="0"/>
    <n v="1"/>
    <x v="699"/>
    <n v="4"/>
    <s v="Male"/>
    <n v="70"/>
    <n v="3"/>
    <x v="3"/>
    <x v="5"/>
    <n v="4"/>
    <s v="Married"/>
    <n v="17099"/>
    <n v="13829"/>
    <n v="2"/>
    <s v="Y"/>
    <x v="1"/>
    <n v="15"/>
    <n v="3"/>
    <n v="2"/>
    <n v="80"/>
    <n v="1"/>
    <n v="26"/>
    <n v="2"/>
    <n v="2"/>
    <n v="9"/>
    <n v="8"/>
    <n v="7"/>
    <n v="8"/>
    <n v="0"/>
    <x v="1"/>
  </r>
  <r>
    <n v="58"/>
    <s v="Yes"/>
    <s v="Travel_Rarely"/>
    <n v="289"/>
    <x v="1"/>
    <n v="2"/>
    <n v="3"/>
    <x v="4"/>
    <n v="1"/>
    <x v="700"/>
    <n v="4"/>
    <s v="Male"/>
    <n v="51"/>
    <n v="3"/>
    <x v="1"/>
    <x v="1"/>
    <n v="3"/>
    <s v="Single"/>
    <n v="2479"/>
    <n v="26227"/>
    <n v="4"/>
    <s v="Y"/>
    <x v="1"/>
    <n v="24"/>
    <n v="4"/>
    <n v="1"/>
    <n v="80"/>
    <n v="0"/>
    <n v="7"/>
    <n v="4"/>
    <n v="3"/>
    <n v="1"/>
    <n v="0"/>
    <n v="0"/>
    <n v="0"/>
    <n v="1"/>
    <x v="3"/>
  </r>
  <r>
    <n v="53"/>
    <s v="No"/>
    <s v="Travel_Rarely"/>
    <n v="1376"/>
    <x v="0"/>
    <n v="2"/>
    <n v="2"/>
    <x v="2"/>
    <n v="1"/>
    <x v="701"/>
    <n v="3"/>
    <s v="Male"/>
    <n v="45"/>
    <n v="3"/>
    <x v="3"/>
    <x v="5"/>
    <n v="3"/>
    <s v="Divorced"/>
    <n v="14852"/>
    <n v="13938"/>
    <n v="6"/>
    <s v="Y"/>
    <x v="1"/>
    <n v="13"/>
    <n v="3"/>
    <n v="3"/>
    <n v="80"/>
    <n v="1"/>
    <n v="22"/>
    <n v="3"/>
    <n v="4"/>
    <n v="17"/>
    <n v="13"/>
    <n v="15"/>
    <n v="2"/>
    <n v="0"/>
    <x v="1"/>
  </r>
  <r>
    <n v="30"/>
    <s v="No"/>
    <s v="Travel_Rarely"/>
    <n v="231"/>
    <x v="0"/>
    <n v="8"/>
    <n v="2"/>
    <x v="1"/>
    <n v="1"/>
    <x v="702"/>
    <n v="3"/>
    <s v="Male"/>
    <n v="62"/>
    <n v="3"/>
    <x v="2"/>
    <x v="0"/>
    <n v="3"/>
    <s v="Divorced"/>
    <n v="7264"/>
    <n v="9977"/>
    <n v="5"/>
    <s v="Y"/>
    <x v="1"/>
    <n v="11"/>
    <n v="3"/>
    <n v="1"/>
    <n v="80"/>
    <n v="1"/>
    <n v="10"/>
    <n v="2"/>
    <n v="4"/>
    <n v="8"/>
    <n v="4"/>
    <n v="7"/>
    <n v="7"/>
    <n v="0"/>
    <x v="2"/>
  </r>
  <r>
    <n v="38"/>
    <s v="No"/>
    <s v="Non-Travel"/>
    <n v="152"/>
    <x v="0"/>
    <n v="10"/>
    <n v="3"/>
    <x v="4"/>
    <n v="1"/>
    <x v="703"/>
    <n v="3"/>
    <s v="Female"/>
    <n v="85"/>
    <n v="3"/>
    <x v="0"/>
    <x v="0"/>
    <n v="4"/>
    <s v="Single"/>
    <n v="5666"/>
    <n v="19899"/>
    <n v="1"/>
    <s v="Y"/>
    <x v="0"/>
    <n v="13"/>
    <n v="3"/>
    <n v="2"/>
    <n v="80"/>
    <n v="0"/>
    <n v="6"/>
    <n v="1"/>
    <n v="3"/>
    <n v="5"/>
    <n v="3"/>
    <n v="1"/>
    <n v="3"/>
    <n v="0"/>
    <x v="0"/>
  </r>
  <r>
    <n v="35"/>
    <s v="No"/>
    <s v="Travel_Rarely"/>
    <n v="882"/>
    <x v="0"/>
    <n v="3"/>
    <n v="4"/>
    <x v="0"/>
    <n v="1"/>
    <x v="704"/>
    <n v="4"/>
    <s v="Male"/>
    <n v="92"/>
    <n v="3"/>
    <x v="2"/>
    <x v="0"/>
    <n v="4"/>
    <s v="Divorced"/>
    <n v="7823"/>
    <n v="6812"/>
    <n v="6"/>
    <s v="Y"/>
    <x v="1"/>
    <n v="13"/>
    <n v="3"/>
    <n v="2"/>
    <n v="80"/>
    <n v="1"/>
    <n v="12"/>
    <n v="2"/>
    <n v="3"/>
    <n v="10"/>
    <n v="9"/>
    <n v="0"/>
    <n v="8"/>
    <n v="0"/>
    <x v="2"/>
  </r>
  <r>
    <n v="39"/>
    <s v="No"/>
    <s v="Travel_Rarely"/>
    <n v="903"/>
    <x v="0"/>
    <n v="2"/>
    <n v="5"/>
    <x v="0"/>
    <n v="1"/>
    <x v="705"/>
    <n v="1"/>
    <s v="Male"/>
    <n v="41"/>
    <n v="4"/>
    <x v="2"/>
    <x v="0"/>
    <n v="3"/>
    <s v="Single"/>
    <n v="7880"/>
    <n v="2560"/>
    <n v="0"/>
    <s v="Y"/>
    <x v="1"/>
    <n v="18"/>
    <n v="3"/>
    <n v="4"/>
    <n v="80"/>
    <n v="0"/>
    <n v="9"/>
    <n v="3"/>
    <n v="3"/>
    <n v="8"/>
    <n v="7"/>
    <n v="0"/>
    <n v="7"/>
    <n v="0"/>
    <x v="0"/>
  </r>
  <r>
    <n v="40"/>
    <s v="Yes"/>
    <s v="Non-Travel"/>
    <n v="1479"/>
    <x v="0"/>
    <n v="24"/>
    <n v="3"/>
    <x v="0"/>
    <n v="1"/>
    <x v="706"/>
    <n v="2"/>
    <s v="Female"/>
    <n v="100"/>
    <n v="4"/>
    <x v="3"/>
    <x v="0"/>
    <n v="2"/>
    <s v="Single"/>
    <n v="13194"/>
    <n v="17071"/>
    <n v="4"/>
    <s v="Y"/>
    <x v="0"/>
    <n v="16"/>
    <n v="3"/>
    <n v="4"/>
    <n v="80"/>
    <n v="0"/>
    <n v="22"/>
    <n v="2"/>
    <n v="2"/>
    <n v="1"/>
    <n v="0"/>
    <n v="0"/>
    <n v="0"/>
    <n v="1"/>
    <x v="0"/>
  </r>
  <r>
    <n v="47"/>
    <s v="No"/>
    <s v="Travel_Frequently"/>
    <n v="1379"/>
    <x v="1"/>
    <n v="16"/>
    <n v="4"/>
    <x v="2"/>
    <n v="1"/>
    <x v="707"/>
    <n v="3"/>
    <s v="Male"/>
    <n v="64"/>
    <n v="4"/>
    <x v="0"/>
    <x v="3"/>
    <n v="3"/>
    <s v="Divorced"/>
    <n v="5067"/>
    <n v="6759"/>
    <n v="1"/>
    <s v="Y"/>
    <x v="0"/>
    <n v="19"/>
    <n v="3"/>
    <n v="3"/>
    <n v="80"/>
    <n v="0"/>
    <n v="20"/>
    <n v="3"/>
    <n v="4"/>
    <n v="19"/>
    <n v="10"/>
    <n v="2"/>
    <n v="7"/>
    <n v="0"/>
    <x v="1"/>
  </r>
  <r>
    <n v="36"/>
    <s v="No"/>
    <s v="Non-Travel"/>
    <n v="1229"/>
    <x v="0"/>
    <n v="8"/>
    <n v="4"/>
    <x v="4"/>
    <n v="1"/>
    <x v="708"/>
    <n v="1"/>
    <s v="Male"/>
    <n v="84"/>
    <n v="3"/>
    <x v="0"/>
    <x v="0"/>
    <n v="4"/>
    <s v="Divorced"/>
    <n v="5079"/>
    <n v="25952"/>
    <n v="4"/>
    <s v="Y"/>
    <x v="1"/>
    <n v="13"/>
    <n v="3"/>
    <n v="4"/>
    <n v="80"/>
    <n v="2"/>
    <n v="12"/>
    <n v="3"/>
    <n v="3"/>
    <n v="7"/>
    <n v="7"/>
    <n v="0"/>
    <n v="7"/>
    <n v="0"/>
    <x v="0"/>
  </r>
  <r>
    <n v="31"/>
    <s v="Yes"/>
    <s v="Non-Travel"/>
    <n v="335"/>
    <x v="1"/>
    <n v="9"/>
    <n v="2"/>
    <x v="2"/>
    <n v="1"/>
    <x v="709"/>
    <n v="3"/>
    <s v="Male"/>
    <n v="46"/>
    <n v="2"/>
    <x v="1"/>
    <x v="1"/>
    <n v="1"/>
    <s v="Single"/>
    <n v="2321"/>
    <n v="10322"/>
    <n v="0"/>
    <s v="Y"/>
    <x v="0"/>
    <n v="22"/>
    <n v="4"/>
    <n v="1"/>
    <n v="80"/>
    <n v="0"/>
    <n v="4"/>
    <n v="0"/>
    <n v="3"/>
    <n v="3"/>
    <n v="2"/>
    <n v="1"/>
    <n v="2"/>
    <n v="1"/>
    <x v="2"/>
  </r>
  <r>
    <n v="33"/>
    <s v="No"/>
    <s v="Non-Travel"/>
    <n v="722"/>
    <x v="0"/>
    <n v="17"/>
    <n v="3"/>
    <x v="0"/>
    <n v="1"/>
    <x v="710"/>
    <n v="4"/>
    <s v="Male"/>
    <n v="38"/>
    <n v="3"/>
    <x v="3"/>
    <x v="5"/>
    <n v="3"/>
    <s v="Single"/>
    <n v="17444"/>
    <n v="20489"/>
    <n v="1"/>
    <s v="Y"/>
    <x v="1"/>
    <n v="11"/>
    <n v="3"/>
    <n v="4"/>
    <n v="80"/>
    <n v="0"/>
    <n v="10"/>
    <n v="2"/>
    <n v="3"/>
    <n v="10"/>
    <n v="8"/>
    <n v="6"/>
    <n v="0"/>
    <n v="0"/>
    <x v="2"/>
  </r>
  <r>
    <n v="29"/>
    <s v="Yes"/>
    <s v="Travel_Rarely"/>
    <n v="906"/>
    <x v="1"/>
    <n v="10"/>
    <n v="3"/>
    <x v="0"/>
    <n v="1"/>
    <x v="711"/>
    <n v="4"/>
    <s v="Female"/>
    <n v="92"/>
    <n v="2"/>
    <x v="1"/>
    <x v="1"/>
    <n v="1"/>
    <s v="Single"/>
    <n v="2404"/>
    <n v="11479"/>
    <n v="6"/>
    <s v="Y"/>
    <x v="0"/>
    <n v="20"/>
    <n v="4"/>
    <n v="3"/>
    <n v="80"/>
    <n v="0"/>
    <n v="3"/>
    <n v="5"/>
    <n v="3"/>
    <n v="0"/>
    <n v="0"/>
    <n v="0"/>
    <n v="0"/>
    <n v="1"/>
    <x v="2"/>
  </r>
  <r>
    <n v="33"/>
    <s v="No"/>
    <s v="Travel_Rarely"/>
    <n v="461"/>
    <x v="1"/>
    <n v="13"/>
    <n v="1"/>
    <x v="0"/>
    <n v="1"/>
    <x v="712"/>
    <n v="2"/>
    <s v="Female"/>
    <n v="53"/>
    <n v="3"/>
    <x v="1"/>
    <x v="1"/>
    <n v="4"/>
    <s v="Single"/>
    <n v="3452"/>
    <n v="17241"/>
    <n v="3"/>
    <s v="Y"/>
    <x v="1"/>
    <n v="18"/>
    <n v="3"/>
    <n v="1"/>
    <n v="80"/>
    <n v="0"/>
    <n v="5"/>
    <n v="4"/>
    <n v="3"/>
    <n v="3"/>
    <n v="2"/>
    <n v="0"/>
    <n v="2"/>
    <n v="0"/>
    <x v="2"/>
  </r>
  <r>
    <n v="45"/>
    <s v="No"/>
    <s v="Travel_Rarely"/>
    <n v="974"/>
    <x v="1"/>
    <n v="1"/>
    <n v="4"/>
    <x v="2"/>
    <n v="1"/>
    <x v="713"/>
    <n v="4"/>
    <s v="Female"/>
    <n v="91"/>
    <n v="3"/>
    <x v="1"/>
    <x v="2"/>
    <n v="4"/>
    <s v="Divorced"/>
    <n v="2270"/>
    <n v="11005"/>
    <n v="3"/>
    <s v="Y"/>
    <x v="1"/>
    <n v="14"/>
    <n v="3"/>
    <n v="4"/>
    <n v="80"/>
    <n v="2"/>
    <n v="8"/>
    <n v="2"/>
    <n v="3"/>
    <n v="5"/>
    <n v="3"/>
    <n v="0"/>
    <n v="2"/>
    <n v="0"/>
    <x v="0"/>
  </r>
  <r>
    <n v="50"/>
    <s v="No"/>
    <s v="Travel_Rarely"/>
    <n v="1126"/>
    <x v="1"/>
    <n v="1"/>
    <n v="2"/>
    <x v="2"/>
    <n v="1"/>
    <x v="714"/>
    <n v="4"/>
    <s v="Male"/>
    <n v="66"/>
    <n v="3"/>
    <x v="3"/>
    <x v="7"/>
    <n v="4"/>
    <s v="Divorced"/>
    <n v="17399"/>
    <n v="6615"/>
    <n v="9"/>
    <s v="Y"/>
    <x v="1"/>
    <n v="22"/>
    <n v="4"/>
    <n v="3"/>
    <n v="80"/>
    <n v="1"/>
    <n v="32"/>
    <n v="1"/>
    <n v="2"/>
    <n v="5"/>
    <n v="4"/>
    <n v="1"/>
    <n v="3"/>
    <n v="0"/>
    <x v="1"/>
  </r>
  <r>
    <n v="33"/>
    <s v="No"/>
    <s v="Travel_Frequently"/>
    <n v="827"/>
    <x v="1"/>
    <n v="1"/>
    <n v="4"/>
    <x v="1"/>
    <n v="1"/>
    <x v="715"/>
    <n v="3"/>
    <s v="Female"/>
    <n v="84"/>
    <n v="4"/>
    <x v="0"/>
    <x v="4"/>
    <n v="2"/>
    <s v="Married"/>
    <n v="5488"/>
    <n v="20161"/>
    <n v="1"/>
    <s v="Y"/>
    <x v="0"/>
    <n v="13"/>
    <n v="3"/>
    <n v="1"/>
    <n v="80"/>
    <n v="1"/>
    <n v="6"/>
    <n v="2"/>
    <n v="3"/>
    <n v="6"/>
    <n v="5"/>
    <n v="1"/>
    <n v="2"/>
    <n v="0"/>
    <x v="2"/>
  </r>
  <r>
    <n v="41"/>
    <s v="No"/>
    <s v="Travel_Frequently"/>
    <n v="840"/>
    <x v="1"/>
    <n v="9"/>
    <n v="3"/>
    <x v="2"/>
    <n v="1"/>
    <x v="716"/>
    <n v="1"/>
    <s v="Male"/>
    <n v="64"/>
    <n v="3"/>
    <x v="4"/>
    <x v="7"/>
    <n v="3"/>
    <s v="Divorced"/>
    <n v="19419"/>
    <n v="3735"/>
    <n v="2"/>
    <s v="Y"/>
    <x v="1"/>
    <n v="17"/>
    <n v="3"/>
    <n v="2"/>
    <n v="80"/>
    <n v="1"/>
    <n v="21"/>
    <n v="2"/>
    <n v="4"/>
    <n v="18"/>
    <n v="16"/>
    <n v="0"/>
    <n v="11"/>
    <n v="0"/>
    <x v="0"/>
  </r>
  <r>
    <n v="27"/>
    <s v="No"/>
    <s v="Travel_Rarely"/>
    <n v="1134"/>
    <x v="1"/>
    <n v="16"/>
    <n v="4"/>
    <x v="4"/>
    <n v="1"/>
    <x v="717"/>
    <n v="3"/>
    <s v="Female"/>
    <n v="37"/>
    <n v="3"/>
    <x v="1"/>
    <x v="2"/>
    <n v="2"/>
    <s v="Married"/>
    <n v="2811"/>
    <n v="12086"/>
    <n v="9"/>
    <s v="Y"/>
    <x v="1"/>
    <n v="14"/>
    <n v="3"/>
    <n v="2"/>
    <n v="80"/>
    <n v="1"/>
    <n v="4"/>
    <n v="2"/>
    <n v="3"/>
    <n v="2"/>
    <n v="2"/>
    <n v="2"/>
    <n v="2"/>
    <n v="0"/>
    <x v="2"/>
  </r>
  <r>
    <n v="45"/>
    <s v="No"/>
    <s v="Non-Travel"/>
    <n v="248"/>
    <x v="1"/>
    <n v="23"/>
    <n v="2"/>
    <x v="0"/>
    <n v="1"/>
    <x v="718"/>
    <n v="4"/>
    <s v="Male"/>
    <n v="42"/>
    <n v="3"/>
    <x v="0"/>
    <x v="2"/>
    <n v="1"/>
    <s v="Married"/>
    <n v="3633"/>
    <n v="14039"/>
    <n v="1"/>
    <s v="Y"/>
    <x v="0"/>
    <n v="15"/>
    <n v="3"/>
    <n v="3"/>
    <n v="80"/>
    <n v="1"/>
    <n v="9"/>
    <n v="2"/>
    <n v="3"/>
    <n v="9"/>
    <n v="8"/>
    <n v="0"/>
    <n v="8"/>
    <n v="0"/>
    <x v="0"/>
  </r>
  <r>
    <n v="47"/>
    <s v="No"/>
    <s v="Travel_Rarely"/>
    <n v="955"/>
    <x v="0"/>
    <n v="4"/>
    <n v="2"/>
    <x v="0"/>
    <n v="1"/>
    <x v="719"/>
    <n v="4"/>
    <s v="Female"/>
    <n v="83"/>
    <n v="3"/>
    <x v="0"/>
    <x v="0"/>
    <n v="4"/>
    <s v="Single"/>
    <n v="4163"/>
    <n v="8571"/>
    <n v="1"/>
    <s v="Y"/>
    <x v="0"/>
    <n v="17"/>
    <n v="3"/>
    <n v="3"/>
    <n v="80"/>
    <n v="0"/>
    <n v="9"/>
    <n v="0"/>
    <n v="3"/>
    <n v="9"/>
    <n v="0"/>
    <n v="0"/>
    <n v="7"/>
    <n v="0"/>
    <x v="1"/>
  </r>
  <r>
    <n v="30"/>
    <s v="Yes"/>
    <s v="Travel_Rarely"/>
    <n v="138"/>
    <x v="1"/>
    <n v="22"/>
    <n v="3"/>
    <x v="0"/>
    <n v="1"/>
    <x v="720"/>
    <n v="1"/>
    <s v="Female"/>
    <n v="48"/>
    <n v="3"/>
    <x v="1"/>
    <x v="1"/>
    <n v="3"/>
    <s v="Married"/>
    <n v="2132"/>
    <n v="11539"/>
    <n v="4"/>
    <s v="Y"/>
    <x v="0"/>
    <n v="11"/>
    <n v="3"/>
    <n v="2"/>
    <n v="80"/>
    <n v="0"/>
    <n v="7"/>
    <n v="2"/>
    <n v="3"/>
    <n v="5"/>
    <n v="2"/>
    <n v="0"/>
    <n v="1"/>
    <n v="1"/>
    <x v="2"/>
  </r>
  <r>
    <n v="50"/>
    <s v="No"/>
    <s v="Travel_Rarely"/>
    <n v="939"/>
    <x v="1"/>
    <n v="24"/>
    <n v="3"/>
    <x v="0"/>
    <n v="1"/>
    <x v="721"/>
    <n v="4"/>
    <s v="Male"/>
    <n v="95"/>
    <n v="3"/>
    <x v="3"/>
    <x v="3"/>
    <n v="3"/>
    <s v="Married"/>
    <n v="13973"/>
    <n v="4161"/>
    <n v="3"/>
    <s v="Y"/>
    <x v="0"/>
    <n v="18"/>
    <n v="3"/>
    <n v="4"/>
    <n v="80"/>
    <n v="1"/>
    <n v="22"/>
    <n v="2"/>
    <n v="3"/>
    <n v="12"/>
    <n v="11"/>
    <n v="1"/>
    <n v="5"/>
    <n v="0"/>
    <x v="1"/>
  </r>
  <r>
    <n v="38"/>
    <s v="No"/>
    <s v="Travel_Frequently"/>
    <n v="1391"/>
    <x v="1"/>
    <n v="10"/>
    <n v="1"/>
    <x v="2"/>
    <n v="1"/>
    <x v="722"/>
    <n v="3"/>
    <s v="Male"/>
    <n v="66"/>
    <n v="3"/>
    <x v="1"/>
    <x v="1"/>
    <n v="3"/>
    <s v="Married"/>
    <n v="2684"/>
    <n v="12127"/>
    <n v="0"/>
    <s v="Y"/>
    <x v="1"/>
    <n v="17"/>
    <n v="3"/>
    <n v="2"/>
    <n v="80"/>
    <n v="1"/>
    <n v="3"/>
    <n v="0"/>
    <n v="2"/>
    <n v="2"/>
    <n v="1"/>
    <n v="0"/>
    <n v="2"/>
    <n v="0"/>
    <x v="0"/>
  </r>
  <r>
    <n v="46"/>
    <s v="No"/>
    <s v="Travel_Rarely"/>
    <n v="566"/>
    <x v="1"/>
    <n v="7"/>
    <n v="2"/>
    <x v="2"/>
    <n v="1"/>
    <x v="723"/>
    <n v="4"/>
    <s v="Male"/>
    <n v="75"/>
    <n v="3"/>
    <x v="2"/>
    <x v="3"/>
    <n v="3"/>
    <s v="Divorced"/>
    <n v="10845"/>
    <n v="24208"/>
    <n v="6"/>
    <s v="Y"/>
    <x v="1"/>
    <n v="13"/>
    <n v="3"/>
    <n v="2"/>
    <n v="80"/>
    <n v="1"/>
    <n v="13"/>
    <n v="3"/>
    <n v="3"/>
    <n v="8"/>
    <n v="7"/>
    <n v="0"/>
    <n v="7"/>
    <n v="0"/>
    <x v="1"/>
  </r>
  <r>
    <n v="24"/>
    <s v="No"/>
    <s v="Travel_Rarely"/>
    <n v="1206"/>
    <x v="1"/>
    <n v="17"/>
    <n v="1"/>
    <x v="2"/>
    <n v="1"/>
    <x v="724"/>
    <n v="4"/>
    <s v="Female"/>
    <n v="41"/>
    <n v="2"/>
    <x v="0"/>
    <x v="3"/>
    <n v="3"/>
    <s v="Divorced"/>
    <n v="4377"/>
    <n v="24117"/>
    <n v="1"/>
    <s v="Y"/>
    <x v="1"/>
    <n v="15"/>
    <n v="3"/>
    <n v="2"/>
    <n v="80"/>
    <n v="2"/>
    <n v="5"/>
    <n v="6"/>
    <n v="3"/>
    <n v="4"/>
    <n v="2"/>
    <n v="3"/>
    <n v="2"/>
    <n v="0"/>
    <x v="4"/>
  </r>
  <r>
    <n v="35"/>
    <s v="Yes"/>
    <s v="Travel_Rarely"/>
    <n v="622"/>
    <x v="1"/>
    <n v="14"/>
    <n v="4"/>
    <x v="1"/>
    <n v="1"/>
    <x v="725"/>
    <n v="3"/>
    <s v="Male"/>
    <n v="39"/>
    <n v="2"/>
    <x v="1"/>
    <x v="2"/>
    <n v="2"/>
    <s v="Divorced"/>
    <n v="3743"/>
    <n v="10074"/>
    <n v="1"/>
    <s v="Y"/>
    <x v="0"/>
    <n v="24"/>
    <n v="4"/>
    <n v="4"/>
    <n v="80"/>
    <n v="1"/>
    <n v="5"/>
    <n v="2"/>
    <n v="1"/>
    <n v="4"/>
    <n v="2"/>
    <n v="0"/>
    <n v="2"/>
    <n v="1"/>
    <x v="2"/>
  </r>
  <r>
    <n v="31"/>
    <s v="No"/>
    <s v="Travel_Frequently"/>
    <n v="853"/>
    <x v="1"/>
    <n v="1"/>
    <n v="1"/>
    <x v="0"/>
    <n v="1"/>
    <x v="726"/>
    <n v="3"/>
    <s v="Female"/>
    <n v="96"/>
    <n v="3"/>
    <x v="0"/>
    <x v="3"/>
    <n v="1"/>
    <s v="Married"/>
    <n v="4148"/>
    <n v="11275"/>
    <n v="1"/>
    <s v="Y"/>
    <x v="1"/>
    <n v="12"/>
    <n v="3"/>
    <n v="3"/>
    <n v="80"/>
    <n v="1"/>
    <n v="4"/>
    <n v="1"/>
    <n v="3"/>
    <n v="4"/>
    <n v="3"/>
    <n v="0"/>
    <n v="3"/>
    <n v="0"/>
    <x v="2"/>
  </r>
  <r>
    <n v="18"/>
    <s v="No"/>
    <s v="Non-Travel"/>
    <n v="287"/>
    <x v="1"/>
    <n v="5"/>
    <n v="2"/>
    <x v="0"/>
    <n v="1"/>
    <x v="727"/>
    <n v="2"/>
    <s v="Male"/>
    <n v="73"/>
    <n v="3"/>
    <x v="1"/>
    <x v="1"/>
    <n v="4"/>
    <s v="Single"/>
    <n v="1051"/>
    <n v="13493"/>
    <n v="1"/>
    <s v="Y"/>
    <x v="1"/>
    <n v="15"/>
    <n v="3"/>
    <n v="4"/>
    <n v="80"/>
    <n v="0"/>
    <n v="0"/>
    <n v="2"/>
    <n v="3"/>
    <n v="0"/>
    <n v="0"/>
    <n v="0"/>
    <n v="0"/>
    <n v="0"/>
    <x v="4"/>
  </r>
  <r>
    <n v="54"/>
    <s v="No"/>
    <s v="Travel_Rarely"/>
    <n v="1441"/>
    <x v="1"/>
    <n v="17"/>
    <n v="3"/>
    <x v="4"/>
    <n v="1"/>
    <x v="728"/>
    <n v="3"/>
    <s v="Female"/>
    <n v="56"/>
    <n v="3"/>
    <x v="2"/>
    <x v="3"/>
    <n v="3"/>
    <s v="Married"/>
    <n v="10739"/>
    <n v="13943"/>
    <n v="8"/>
    <s v="Y"/>
    <x v="1"/>
    <n v="11"/>
    <n v="3"/>
    <n v="3"/>
    <n v="80"/>
    <n v="1"/>
    <n v="22"/>
    <n v="2"/>
    <n v="3"/>
    <n v="10"/>
    <n v="7"/>
    <n v="0"/>
    <n v="8"/>
    <n v="0"/>
    <x v="1"/>
  </r>
  <r>
    <n v="35"/>
    <s v="No"/>
    <s v="Travel_Rarely"/>
    <n v="583"/>
    <x v="1"/>
    <n v="25"/>
    <n v="4"/>
    <x v="2"/>
    <n v="1"/>
    <x v="729"/>
    <n v="3"/>
    <s v="Female"/>
    <n v="57"/>
    <n v="3"/>
    <x v="2"/>
    <x v="4"/>
    <n v="3"/>
    <s v="Divorced"/>
    <n v="10388"/>
    <n v="6975"/>
    <n v="1"/>
    <s v="Y"/>
    <x v="0"/>
    <n v="11"/>
    <n v="3"/>
    <n v="3"/>
    <n v="80"/>
    <n v="1"/>
    <n v="16"/>
    <n v="3"/>
    <n v="2"/>
    <n v="16"/>
    <n v="10"/>
    <n v="10"/>
    <n v="1"/>
    <n v="0"/>
    <x v="2"/>
  </r>
  <r>
    <n v="30"/>
    <s v="No"/>
    <s v="Travel_Rarely"/>
    <n v="153"/>
    <x v="1"/>
    <n v="8"/>
    <n v="2"/>
    <x v="0"/>
    <n v="1"/>
    <x v="730"/>
    <n v="2"/>
    <s v="Female"/>
    <n v="73"/>
    <n v="4"/>
    <x v="2"/>
    <x v="7"/>
    <n v="1"/>
    <s v="Married"/>
    <n v="11416"/>
    <n v="17802"/>
    <n v="0"/>
    <s v="Y"/>
    <x v="0"/>
    <n v="12"/>
    <n v="3"/>
    <n v="3"/>
    <n v="80"/>
    <n v="3"/>
    <n v="9"/>
    <n v="4"/>
    <n v="2"/>
    <n v="8"/>
    <n v="7"/>
    <n v="1"/>
    <n v="7"/>
    <n v="0"/>
    <x v="2"/>
  </r>
  <r>
    <n v="20"/>
    <s v="Yes"/>
    <s v="Travel_Rarely"/>
    <n v="1097"/>
    <x v="1"/>
    <n v="11"/>
    <n v="3"/>
    <x v="2"/>
    <n v="1"/>
    <x v="731"/>
    <n v="4"/>
    <s v="Female"/>
    <n v="98"/>
    <n v="2"/>
    <x v="1"/>
    <x v="1"/>
    <n v="1"/>
    <s v="Single"/>
    <n v="2600"/>
    <n v="18275"/>
    <n v="1"/>
    <s v="Y"/>
    <x v="0"/>
    <n v="15"/>
    <n v="3"/>
    <n v="1"/>
    <n v="80"/>
    <n v="0"/>
    <n v="1"/>
    <n v="2"/>
    <n v="3"/>
    <n v="1"/>
    <n v="0"/>
    <n v="0"/>
    <n v="0"/>
    <n v="1"/>
    <x v="4"/>
  </r>
  <r>
    <n v="30"/>
    <s v="Yes"/>
    <s v="Travel_Frequently"/>
    <n v="109"/>
    <x v="1"/>
    <n v="5"/>
    <n v="3"/>
    <x v="2"/>
    <n v="1"/>
    <x v="732"/>
    <n v="2"/>
    <s v="Female"/>
    <n v="60"/>
    <n v="3"/>
    <x v="1"/>
    <x v="2"/>
    <n v="2"/>
    <s v="Single"/>
    <n v="2422"/>
    <n v="25725"/>
    <n v="0"/>
    <s v="Y"/>
    <x v="1"/>
    <n v="17"/>
    <n v="3"/>
    <n v="1"/>
    <n v="80"/>
    <n v="0"/>
    <n v="4"/>
    <n v="3"/>
    <n v="3"/>
    <n v="3"/>
    <n v="2"/>
    <n v="1"/>
    <n v="2"/>
    <n v="1"/>
    <x v="2"/>
  </r>
  <r>
    <n v="26"/>
    <s v="No"/>
    <s v="Travel_Rarely"/>
    <n v="1066"/>
    <x v="1"/>
    <n v="2"/>
    <n v="2"/>
    <x v="2"/>
    <n v="1"/>
    <x v="733"/>
    <n v="4"/>
    <s v="Male"/>
    <n v="32"/>
    <n v="4"/>
    <x v="0"/>
    <x v="3"/>
    <n v="4"/>
    <s v="Married"/>
    <n v="5472"/>
    <n v="3334"/>
    <n v="1"/>
    <s v="Y"/>
    <x v="1"/>
    <n v="12"/>
    <n v="3"/>
    <n v="2"/>
    <n v="80"/>
    <n v="0"/>
    <n v="8"/>
    <n v="2"/>
    <n v="3"/>
    <n v="8"/>
    <n v="7"/>
    <n v="1"/>
    <n v="3"/>
    <n v="0"/>
    <x v="2"/>
  </r>
  <r>
    <n v="22"/>
    <s v="No"/>
    <s v="Travel_Rarely"/>
    <n v="217"/>
    <x v="1"/>
    <n v="8"/>
    <n v="1"/>
    <x v="0"/>
    <n v="1"/>
    <x v="734"/>
    <n v="2"/>
    <s v="Male"/>
    <n v="94"/>
    <n v="1"/>
    <x v="1"/>
    <x v="2"/>
    <n v="1"/>
    <s v="Married"/>
    <n v="2451"/>
    <n v="6881"/>
    <n v="1"/>
    <s v="Y"/>
    <x v="1"/>
    <n v="15"/>
    <n v="3"/>
    <n v="1"/>
    <n v="80"/>
    <n v="1"/>
    <n v="4"/>
    <n v="3"/>
    <n v="2"/>
    <n v="4"/>
    <n v="3"/>
    <n v="1"/>
    <n v="1"/>
    <n v="0"/>
    <x v="4"/>
  </r>
  <r>
    <n v="48"/>
    <s v="No"/>
    <s v="Travel_Rarely"/>
    <n v="277"/>
    <x v="1"/>
    <n v="6"/>
    <n v="3"/>
    <x v="0"/>
    <n v="1"/>
    <x v="735"/>
    <n v="1"/>
    <s v="Male"/>
    <n v="97"/>
    <n v="2"/>
    <x v="0"/>
    <x v="4"/>
    <n v="3"/>
    <s v="Single"/>
    <n v="4240"/>
    <n v="13119"/>
    <n v="2"/>
    <s v="Y"/>
    <x v="1"/>
    <n v="13"/>
    <n v="3"/>
    <n v="4"/>
    <n v="80"/>
    <n v="0"/>
    <n v="19"/>
    <n v="0"/>
    <n v="3"/>
    <n v="2"/>
    <n v="2"/>
    <n v="2"/>
    <n v="2"/>
    <n v="0"/>
    <x v="1"/>
  </r>
  <r>
    <n v="48"/>
    <s v="No"/>
    <s v="Travel_Rarely"/>
    <n v="1355"/>
    <x v="1"/>
    <n v="4"/>
    <n v="4"/>
    <x v="0"/>
    <n v="1"/>
    <x v="736"/>
    <n v="3"/>
    <s v="Male"/>
    <n v="78"/>
    <n v="2"/>
    <x v="2"/>
    <x v="4"/>
    <n v="3"/>
    <s v="Single"/>
    <n v="10999"/>
    <n v="22245"/>
    <n v="7"/>
    <s v="Y"/>
    <x v="1"/>
    <n v="14"/>
    <n v="3"/>
    <n v="2"/>
    <n v="80"/>
    <n v="0"/>
    <n v="27"/>
    <n v="3"/>
    <n v="3"/>
    <n v="15"/>
    <n v="11"/>
    <n v="4"/>
    <n v="8"/>
    <n v="0"/>
    <x v="1"/>
  </r>
  <r>
    <n v="41"/>
    <s v="No"/>
    <s v="Travel_Rarely"/>
    <n v="549"/>
    <x v="1"/>
    <n v="7"/>
    <n v="2"/>
    <x v="2"/>
    <n v="1"/>
    <x v="737"/>
    <n v="4"/>
    <s v="Female"/>
    <n v="42"/>
    <n v="3"/>
    <x v="0"/>
    <x v="3"/>
    <n v="3"/>
    <s v="Single"/>
    <n v="5003"/>
    <n v="23371"/>
    <n v="6"/>
    <s v="Y"/>
    <x v="1"/>
    <n v="14"/>
    <n v="3"/>
    <n v="2"/>
    <n v="80"/>
    <n v="0"/>
    <n v="8"/>
    <n v="6"/>
    <n v="3"/>
    <n v="2"/>
    <n v="2"/>
    <n v="2"/>
    <n v="1"/>
    <n v="0"/>
    <x v="0"/>
  </r>
  <r>
    <n v="39"/>
    <s v="No"/>
    <s v="Travel_Rarely"/>
    <n v="466"/>
    <x v="1"/>
    <n v="1"/>
    <n v="1"/>
    <x v="0"/>
    <n v="1"/>
    <x v="738"/>
    <n v="4"/>
    <s v="Female"/>
    <n v="65"/>
    <n v="2"/>
    <x v="3"/>
    <x v="3"/>
    <n v="4"/>
    <s v="Married"/>
    <n v="12742"/>
    <n v="7060"/>
    <n v="1"/>
    <s v="Y"/>
    <x v="1"/>
    <n v="16"/>
    <n v="3"/>
    <n v="3"/>
    <n v="80"/>
    <n v="1"/>
    <n v="21"/>
    <n v="3"/>
    <n v="3"/>
    <n v="21"/>
    <n v="6"/>
    <n v="11"/>
    <n v="8"/>
    <n v="0"/>
    <x v="0"/>
  </r>
  <r>
    <n v="27"/>
    <s v="No"/>
    <s v="Travel_Rarely"/>
    <n v="1055"/>
    <x v="1"/>
    <n v="2"/>
    <n v="4"/>
    <x v="0"/>
    <n v="1"/>
    <x v="739"/>
    <n v="1"/>
    <s v="Female"/>
    <n v="47"/>
    <n v="3"/>
    <x v="0"/>
    <x v="3"/>
    <n v="4"/>
    <s v="Married"/>
    <n v="4227"/>
    <n v="4658"/>
    <n v="0"/>
    <s v="Y"/>
    <x v="1"/>
    <n v="18"/>
    <n v="3"/>
    <n v="2"/>
    <n v="80"/>
    <n v="1"/>
    <n v="4"/>
    <n v="2"/>
    <n v="3"/>
    <n v="3"/>
    <n v="2"/>
    <n v="2"/>
    <n v="2"/>
    <n v="0"/>
    <x v="2"/>
  </r>
  <r>
    <n v="35"/>
    <s v="No"/>
    <s v="Travel_Rarely"/>
    <n v="802"/>
    <x v="1"/>
    <n v="10"/>
    <n v="3"/>
    <x v="1"/>
    <n v="1"/>
    <x v="740"/>
    <n v="2"/>
    <s v="Male"/>
    <n v="45"/>
    <n v="3"/>
    <x v="1"/>
    <x v="2"/>
    <n v="4"/>
    <s v="Divorced"/>
    <n v="3917"/>
    <n v="9541"/>
    <n v="1"/>
    <s v="Y"/>
    <x v="1"/>
    <n v="20"/>
    <n v="4"/>
    <n v="1"/>
    <n v="80"/>
    <n v="1"/>
    <n v="3"/>
    <n v="4"/>
    <n v="2"/>
    <n v="3"/>
    <n v="2"/>
    <n v="1"/>
    <n v="2"/>
    <n v="0"/>
    <x v="2"/>
  </r>
  <r>
    <n v="42"/>
    <s v="No"/>
    <s v="Travel_Rarely"/>
    <n v="265"/>
    <x v="0"/>
    <n v="5"/>
    <n v="2"/>
    <x v="3"/>
    <n v="1"/>
    <x v="741"/>
    <n v="4"/>
    <s v="Male"/>
    <n v="90"/>
    <n v="3"/>
    <x v="4"/>
    <x v="5"/>
    <n v="3"/>
    <s v="Married"/>
    <n v="18303"/>
    <n v="7770"/>
    <n v="6"/>
    <s v="Y"/>
    <x v="1"/>
    <n v="13"/>
    <n v="3"/>
    <n v="2"/>
    <n v="80"/>
    <n v="0"/>
    <n v="21"/>
    <n v="3"/>
    <n v="4"/>
    <n v="1"/>
    <n v="0"/>
    <n v="0"/>
    <n v="0"/>
    <n v="0"/>
    <x v="0"/>
  </r>
  <r>
    <n v="50"/>
    <s v="No"/>
    <s v="Travel_Rarely"/>
    <n v="804"/>
    <x v="1"/>
    <n v="9"/>
    <n v="3"/>
    <x v="0"/>
    <n v="1"/>
    <x v="742"/>
    <n v="1"/>
    <s v="Male"/>
    <n v="64"/>
    <n v="3"/>
    <x v="1"/>
    <x v="2"/>
    <n v="4"/>
    <s v="Married"/>
    <n v="2380"/>
    <n v="20165"/>
    <n v="4"/>
    <s v="Y"/>
    <x v="1"/>
    <n v="18"/>
    <n v="3"/>
    <n v="2"/>
    <n v="80"/>
    <n v="0"/>
    <n v="8"/>
    <n v="5"/>
    <n v="3"/>
    <n v="1"/>
    <n v="0"/>
    <n v="0"/>
    <n v="0"/>
    <n v="0"/>
    <x v="1"/>
  </r>
  <r>
    <n v="59"/>
    <s v="No"/>
    <s v="Travel_Rarely"/>
    <n v="715"/>
    <x v="1"/>
    <n v="2"/>
    <n v="3"/>
    <x v="0"/>
    <n v="1"/>
    <x v="743"/>
    <n v="3"/>
    <s v="Female"/>
    <n v="69"/>
    <n v="2"/>
    <x v="3"/>
    <x v="3"/>
    <n v="4"/>
    <s v="Single"/>
    <n v="13726"/>
    <n v="21829"/>
    <n v="3"/>
    <s v="Y"/>
    <x v="0"/>
    <n v="13"/>
    <n v="3"/>
    <n v="1"/>
    <n v="80"/>
    <n v="0"/>
    <n v="30"/>
    <n v="4"/>
    <n v="3"/>
    <n v="5"/>
    <n v="3"/>
    <n v="4"/>
    <n v="3"/>
    <n v="0"/>
    <x v="3"/>
  </r>
  <r>
    <n v="37"/>
    <s v="Yes"/>
    <s v="Travel_Rarely"/>
    <n v="1141"/>
    <x v="1"/>
    <n v="11"/>
    <n v="2"/>
    <x v="2"/>
    <n v="1"/>
    <x v="744"/>
    <n v="1"/>
    <s v="Female"/>
    <n v="61"/>
    <n v="1"/>
    <x v="0"/>
    <x v="4"/>
    <n v="2"/>
    <s v="Married"/>
    <n v="4777"/>
    <n v="14382"/>
    <n v="5"/>
    <s v="Y"/>
    <x v="1"/>
    <n v="15"/>
    <n v="3"/>
    <n v="1"/>
    <n v="80"/>
    <n v="0"/>
    <n v="15"/>
    <n v="2"/>
    <n v="1"/>
    <n v="1"/>
    <n v="0"/>
    <n v="0"/>
    <n v="0"/>
    <n v="1"/>
    <x v="0"/>
  </r>
  <r>
    <n v="55"/>
    <s v="No"/>
    <s v="Travel_Frequently"/>
    <n v="135"/>
    <x v="1"/>
    <n v="18"/>
    <n v="4"/>
    <x v="2"/>
    <n v="1"/>
    <x v="745"/>
    <n v="3"/>
    <s v="Male"/>
    <n v="62"/>
    <n v="3"/>
    <x v="0"/>
    <x v="4"/>
    <n v="2"/>
    <s v="Married"/>
    <n v="6385"/>
    <n v="12992"/>
    <n v="3"/>
    <s v="Y"/>
    <x v="0"/>
    <n v="14"/>
    <n v="3"/>
    <n v="4"/>
    <n v="80"/>
    <n v="2"/>
    <n v="17"/>
    <n v="3"/>
    <n v="3"/>
    <n v="8"/>
    <n v="7"/>
    <n v="6"/>
    <n v="7"/>
    <n v="0"/>
    <x v="1"/>
  </r>
  <r>
    <n v="41"/>
    <s v="No"/>
    <s v="Non-Travel"/>
    <n v="247"/>
    <x v="1"/>
    <n v="7"/>
    <n v="1"/>
    <x v="0"/>
    <n v="1"/>
    <x v="746"/>
    <n v="2"/>
    <s v="Female"/>
    <n v="55"/>
    <n v="1"/>
    <x v="4"/>
    <x v="7"/>
    <n v="3"/>
    <s v="Divorced"/>
    <n v="19973"/>
    <n v="20284"/>
    <n v="1"/>
    <s v="Y"/>
    <x v="1"/>
    <n v="22"/>
    <n v="4"/>
    <n v="2"/>
    <n v="80"/>
    <n v="2"/>
    <n v="21"/>
    <n v="3"/>
    <n v="3"/>
    <n v="21"/>
    <n v="16"/>
    <n v="5"/>
    <n v="10"/>
    <n v="0"/>
    <x v="0"/>
  </r>
  <r>
    <n v="38"/>
    <s v="No"/>
    <s v="Travel_Rarely"/>
    <n v="1035"/>
    <x v="0"/>
    <n v="3"/>
    <n v="4"/>
    <x v="0"/>
    <n v="1"/>
    <x v="747"/>
    <n v="2"/>
    <s v="Male"/>
    <n v="42"/>
    <n v="3"/>
    <x v="0"/>
    <x v="0"/>
    <n v="4"/>
    <s v="Single"/>
    <n v="6861"/>
    <n v="4981"/>
    <n v="8"/>
    <s v="Y"/>
    <x v="0"/>
    <n v="12"/>
    <n v="3"/>
    <n v="3"/>
    <n v="80"/>
    <n v="0"/>
    <n v="19"/>
    <n v="1"/>
    <n v="3"/>
    <n v="1"/>
    <n v="0"/>
    <n v="0"/>
    <n v="0"/>
    <n v="0"/>
    <x v="0"/>
  </r>
  <r>
    <n v="26"/>
    <s v="Yes"/>
    <s v="Non-Travel"/>
    <n v="265"/>
    <x v="0"/>
    <n v="29"/>
    <n v="2"/>
    <x v="2"/>
    <n v="1"/>
    <x v="748"/>
    <n v="2"/>
    <s v="Male"/>
    <n v="79"/>
    <n v="1"/>
    <x v="0"/>
    <x v="0"/>
    <n v="1"/>
    <s v="Single"/>
    <n v="4969"/>
    <n v="21813"/>
    <n v="8"/>
    <s v="Y"/>
    <x v="1"/>
    <n v="18"/>
    <n v="3"/>
    <n v="4"/>
    <n v="80"/>
    <n v="0"/>
    <n v="7"/>
    <n v="6"/>
    <n v="3"/>
    <n v="2"/>
    <n v="2"/>
    <n v="2"/>
    <n v="2"/>
    <n v="1"/>
    <x v="2"/>
  </r>
  <r>
    <n v="52"/>
    <s v="Yes"/>
    <s v="Travel_Rarely"/>
    <n v="266"/>
    <x v="0"/>
    <n v="2"/>
    <n v="1"/>
    <x v="3"/>
    <n v="1"/>
    <x v="749"/>
    <n v="1"/>
    <s v="Female"/>
    <n v="57"/>
    <n v="1"/>
    <x v="4"/>
    <x v="5"/>
    <n v="4"/>
    <s v="Married"/>
    <n v="19845"/>
    <n v="25846"/>
    <n v="1"/>
    <s v="Y"/>
    <x v="1"/>
    <n v="15"/>
    <n v="3"/>
    <n v="4"/>
    <n v="80"/>
    <n v="1"/>
    <n v="33"/>
    <n v="3"/>
    <n v="3"/>
    <n v="32"/>
    <n v="14"/>
    <n v="6"/>
    <n v="9"/>
    <n v="1"/>
    <x v="1"/>
  </r>
  <r>
    <n v="44"/>
    <s v="No"/>
    <s v="Travel_Rarely"/>
    <n v="1448"/>
    <x v="0"/>
    <n v="28"/>
    <n v="3"/>
    <x v="2"/>
    <n v="1"/>
    <x v="750"/>
    <n v="4"/>
    <s v="Female"/>
    <n v="53"/>
    <n v="4"/>
    <x v="3"/>
    <x v="0"/>
    <n v="4"/>
    <s v="Married"/>
    <n v="13320"/>
    <n v="11737"/>
    <n v="3"/>
    <s v="Y"/>
    <x v="0"/>
    <n v="18"/>
    <n v="3"/>
    <n v="3"/>
    <n v="80"/>
    <n v="1"/>
    <n v="23"/>
    <n v="2"/>
    <n v="3"/>
    <n v="12"/>
    <n v="11"/>
    <n v="11"/>
    <n v="11"/>
    <n v="0"/>
    <x v="0"/>
  </r>
  <r>
    <n v="50"/>
    <s v="No"/>
    <s v="Non-Travel"/>
    <n v="145"/>
    <x v="0"/>
    <n v="1"/>
    <n v="3"/>
    <x v="0"/>
    <n v="1"/>
    <x v="751"/>
    <n v="4"/>
    <s v="Female"/>
    <n v="95"/>
    <n v="3"/>
    <x v="0"/>
    <x v="0"/>
    <n v="3"/>
    <s v="Married"/>
    <n v="6347"/>
    <n v="24920"/>
    <n v="0"/>
    <s v="Y"/>
    <x v="1"/>
    <n v="12"/>
    <n v="3"/>
    <n v="1"/>
    <n v="80"/>
    <n v="1"/>
    <n v="19"/>
    <n v="3"/>
    <n v="3"/>
    <n v="18"/>
    <n v="7"/>
    <n v="0"/>
    <n v="13"/>
    <n v="0"/>
    <x v="1"/>
  </r>
  <r>
    <n v="36"/>
    <s v="Yes"/>
    <s v="Travel_Rarely"/>
    <n v="885"/>
    <x v="1"/>
    <n v="16"/>
    <n v="4"/>
    <x v="0"/>
    <n v="1"/>
    <x v="752"/>
    <n v="3"/>
    <s v="Female"/>
    <n v="43"/>
    <n v="4"/>
    <x v="1"/>
    <x v="2"/>
    <n v="1"/>
    <s v="Single"/>
    <n v="2743"/>
    <n v="8269"/>
    <n v="1"/>
    <s v="Y"/>
    <x v="1"/>
    <n v="16"/>
    <n v="3"/>
    <n v="3"/>
    <n v="80"/>
    <n v="0"/>
    <n v="18"/>
    <n v="1"/>
    <n v="3"/>
    <n v="17"/>
    <n v="13"/>
    <n v="15"/>
    <n v="14"/>
    <n v="1"/>
    <x v="0"/>
  </r>
  <r>
    <n v="39"/>
    <s v="No"/>
    <s v="Travel_Frequently"/>
    <n v="945"/>
    <x v="1"/>
    <n v="22"/>
    <n v="3"/>
    <x v="2"/>
    <n v="1"/>
    <x v="753"/>
    <n v="4"/>
    <s v="Female"/>
    <n v="82"/>
    <n v="3"/>
    <x v="2"/>
    <x v="3"/>
    <n v="1"/>
    <s v="Single"/>
    <n v="10880"/>
    <n v="5083"/>
    <n v="1"/>
    <s v="Y"/>
    <x v="0"/>
    <n v="13"/>
    <n v="3"/>
    <n v="3"/>
    <n v="80"/>
    <n v="0"/>
    <n v="21"/>
    <n v="2"/>
    <n v="3"/>
    <n v="21"/>
    <n v="6"/>
    <n v="2"/>
    <n v="8"/>
    <n v="0"/>
    <x v="0"/>
  </r>
  <r>
    <n v="33"/>
    <s v="No"/>
    <s v="Non-Travel"/>
    <n v="1038"/>
    <x v="0"/>
    <n v="8"/>
    <n v="1"/>
    <x v="0"/>
    <n v="1"/>
    <x v="754"/>
    <n v="2"/>
    <s v="Female"/>
    <n v="88"/>
    <n v="2"/>
    <x v="1"/>
    <x v="6"/>
    <n v="4"/>
    <s v="Single"/>
    <n v="2342"/>
    <n v="21437"/>
    <n v="0"/>
    <s v="Y"/>
    <x v="1"/>
    <n v="19"/>
    <n v="3"/>
    <n v="4"/>
    <n v="80"/>
    <n v="0"/>
    <n v="3"/>
    <n v="2"/>
    <n v="2"/>
    <n v="2"/>
    <n v="2"/>
    <n v="2"/>
    <n v="2"/>
    <n v="0"/>
    <x v="2"/>
  </r>
  <r>
    <n v="45"/>
    <s v="No"/>
    <s v="Travel_Rarely"/>
    <n v="1234"/>
    <x v="0"/>
    <n v="11"/>
    <n v="2"/>
    <x v="0"/>
    <n v="1"/>
    <x v="755"/>
    <n v="4"/>
    <s v="Female"/>
    <n v="90"/>
    <n v="3"/>
    <x v="3"/>
    <x v="5"/>
    <n v="4"/>
    <s v="Married"/>
    <n v="17650"/>
    <n v="5404"/>
    <n v="3"/>
    <s v="Y"/>
    <x v="1"/>
    <n v="13"/>
    <n v="3"/>
    <n v="2"/>
    <n v="80"/>
    <n v="1"/>
    <n v="26"/>
    <n v="4"/>
    <n v="4"/>
    <n v="9"/>
    <n v="3"/>
    <n v="1"/>
    <n v="1"/>
    <n v="0"/>
    <x v="0"/>
  </r>
  <r>
    <n v="32"/>
    <s v="No"/>
    <s v="Non-Travel"/>
    <n v="1109"/>
    <x v="1"/>
    <n v="29"/>
    <n v="4"/>
    <x v="2"/>
    <n v="1"/>
    <x v="756"/>
    <n v="4"/>
    <s v="Female"/>
    <n v="69"/>
    <n v="3"/>
    <x v="1"/>
    <x v="2"/>
    <n v="3"/>
    <s v="Single"/>
    <n v="4025"/>
    <n v="11135"/>
    <n v="9"/>
    <s v="Y"/>
    <x v="1"/>
    <n v="12"/>
    <n v="3"/>
    <n v="2"/>
    <n v="80"/>
    <n v="0"/>
    <n v="10"/>
    <n v="2"/>
    <n v="3"/>
    <n v="8"/>
    <n v="7"/>
    <n v="7"/>
    <n v="7"/>
    <n v="0"/>
    <x v="2"/>
  </r>
  <r>
    <n v="34"/>
    <s v="No"/>
    <s v="Travel_Rarely"/>
    <n v="216"/>
    <x v="0"/>
    <n v="1"/>
    <n v="4"/>
    <x v="3"/>
    <n v="1"/>
    <x v="757"/>
    <n v="2"/>
    <s v="Male"/>
    <n v="75"/>
    <n v="4"/>
    <x v="0"/>
    <x v="0"/>
    <n v="4"/>
    <s v="Divorced"/>
    <n v="9725"/>
    <n v="12278"/>
    <n v="0"/>
    <s v="Y"/>
    <x v="1"/>
    <n v="11"/>
    <n v="3"/>
    <n v="4"/>
    <n v="80"/>
    <n v="1"/>
    <n v="16"/>
    <n v="2"/>
    <n v="2"/>
    <n v="15"/>
    <n v="1"/>
    <n v="0"/>
    <n v="9"/>
    <n v="0"/>
    <x v="2"/>
  </r>
  <r>
    <n v="59"/>
    <s v="No"/>
    <s v="Travel_Rarely"/>
    <n v="1089"/>
    <x v="0"/>
    <n v="1"/>
    <n v="2"/>
    <x v="4"/>
    <n v="1"/>
    <x v="758"/>
    <n v="2"/>
    <s v="Male"/>
    <n v="66"/>
    <n v="3"/>
    <x v="2"/>
    <x v="5"/>
    <n v="4"/>
    <s v="Married"/>
    <n v="11904"/>
    <n v="11038"/>
    <n v="3"/>
    <s v="Y"/>
    <x v="0"/>
    <n v="14"/>
    <n v="3"/>
    <n v="3"/>
    <n v="80"/>
    <n v="1"/>
    <n v="14"/>
    <n v="1"/>
    <n v="1"/>
    <n v="6"/>
    <n v="4"/>
    <n v="0"/>
    <n v="4"/>
    <n v="0"/>
    <x v="3"/>
  </r>
  <r>
    <n v="45"/>
    <s v="No"/>
    <s v="Travel_Rarely"/>
    <n v="788"/>
    <x v="2"/>
    <n v="24"/>
    <n v="4"/>
    <x v="2"/>
    <n v="1"/>
    <x v="759"/>
    <n v="2"/>
    <s v="Male"/>
    <n v="36"/>
    <n v="3"/>
    <x v="1"/>
    <x v="8"/>
    <n v="2"/>
    <s v="Single"/>
    <n v="2177"/>
    <n v="8318"/>
    <n v="1"/>
    <s v="Y"/>
    <x v="1"/>
    <n v="16"/>
    <n v="3"/>
    <n v="1"/>
    <n v="80"/>
    <n v="0"/>
    <n v="6"/>
    <n v="3"/>
    <n v="3"/>
    <n v="6"/>
    <n v="3"/>
    <n v="0"/>
    <n v="4"/>
    <n v="0"/>
    <x v="0"/>
  </r>
  <r>
    <n v="53"/>
    <s v="No"/>
    <s v="Travel_Frequently"/>
    <n v="124"/>
    <x v="0"/>
    <n v="2"/>
    <n v="3"/>
    <x v="3"/>
    <n v="1"/>
    <x v="760"/>
    <n v="3"/>
    <s v="Female"/>
    <n v="38"/>
    <n v="2"/>
    <x v="2"/>
    <x v="0"/>
    <n v="2"/>
    <s v="Married"/>
    <n v="7525"/>
    <n v="23537"/>
    <n v="2"/>
    <s v="Y"/>
    <x v="1"/>
    <n v="12"/>
    <n v="3"/>
    <n v="1"/>
    <n v="80"/>
    <n v="1"/>
    <n v="30"/>
    <n v="2"/>
    <n v="3"/>
    <n v="15"/>
    <n v="7"/>
    <n v="6"/>
    <n v="12"/>
    <n v="0"/>
    <x v="1"/>
  </r>
  <r>
    <n v="36"/>
    <s v="Yes"/>
    <s v="Travel_Rarely"/>
    <n v="660"/>
    <x v="1"/>
    <n v="15"/>
    <n v="3"/>
    <x v="1"/>
    <n v="1"/>
    <x v="761"/>
    <n v="1"/>
    <s v="Male"/>
    <n v="81"/>
    <n v="3"/>
    <x v="0"/>
    <x v="2"/>
    <n v="3"/>
    <s v="Divorced"/>
    <n v="4834"/>
    <n v="7858"/>
    <n v="7"/>
    <s v="Y"/>
    <x v="1"/>
    <n v="14"/>
    <n v="3"/>
    <n v="2"/>
    <n v="80"/>
    <n v="1"/>
    <n v="9"/>
    <n v="3"/>
    <n v="2"/>
    <n v="1"/>
    <n v="0"/>
    <n v="0"/>
    <n v="0"/>
    <n v="1"/>
    <x v="0"/>
  </r>
  <r>
    <n v="26"/>
    <s v="Yes"/>
    <s v="Travel_Frequently"/>
    <n v="342"/>
    <x v="1"/>
    <n v="2"/>
    <n v="3"/>
    <x v="0"/>
    <n v="1"/>
    <x v="762"/>
    <n v="1"/>
    <s v="Male"/>
    <n v="57"/>
    <n v="3"/>
    <x v="1"/>
    <x v="1"/>
    <n v="1"/>
    <s v="Married"/>
    <n v="2042"/>
    <n v="15346"/>
    <n v="6"/>
    <s v="Y"/>
    <x v="0"/>
    <n v="14"/>
    <n v="3"/>
    <n v="2"/>
    <n v="80"/>
    <n v="1"/>
    <n v="6"/>
    <n v="2"/>
    <n v="3"/>
    <n v="3"/>
    <n v="2"/>
    <n v="1"/>
    <n v="2"/>
    <n v="1"/>
    <x v="2"/>
  </r>
  <r>
    <n v="34"/>
    <s v="No"/>
    <s v="Travel_Rarely"/>
    <n v="1333"/>
    <x v="0"/>
    <n v="10"/>
    <n v="4"/>
    <x v="0"/>
    <n v="1"/>
    <x v="763"/>
    <n v="3"/>
    <s v="Female"/>
    <n v="87"/>
    <n v="3"/>
    <x v="1"/>
    <x v="6"/>
    <n v="3"/>
    <s v="Married"/>
    <n v="2220"/>
    <n v="18410"/>
    <n v="1"/>
    <s v="Y"/>
    <x v="0"/>
    <n v="19"/>
    <n v="3"/>
    <n v="4"/>
    <n v="80"/>
    <n v="1"/>
    <n v="1"/>
    <n v="2"/>
    <n v="3"/>
    <n v="1"/>
    <n v="1"/>
    <n v="0"/>
    <n v="0"/>
    <n v="0"/>
    <x v="2"/>
  </r>
  <r>
    <n v="28"/>
    <s v="No"/>
    <s v="Travel_Rarely"/>
    <n v="1144"/>
    <x v="0"/>
    <n v="10"/>
    <n v="1"/>
    <x v="2"/>
    <n v="1"/>
    <x v="764"/>
    <n v="4"/>
    <s v="Male"/>
    <n v="74"/>
    <n v="3"/>
    <x v="1"/>
    <x v="6"/>
    <n v="2"/>
    <s v="Married"/>
    <n v="1052"/>
    <n v="23384"/>
    <n v="1"/>
    <s v="Y"/>
    <x v="1"/>
    <n v="22"/>
    <n v="4"/>
    <n v="2"/>
    <n v="80"/>
    <n v="0"/>
    <n v="1"/>
    <n v="5"/>
    <n v="3"/>
    <n v="1"/>
    <n v="0"/>
    <n v="0"/>
    <n v="0"/>
    <n v="0"/>
    <x v="2"/>
  </r>
  <r>
    <n v="38"/>
    <s v="No"/>
    <s v="Travel_Frequently"/>
    <n v="1186"/>
    <x v="1"/>
    <n v="3"/>
    <n v="4"/>
    <x v="1"/>
    <n v="1"/>
    <x v="765"/>
    <n v="3"/>
    <s v="Male"/>
    <n v="44"/>
    <n v="3"/>
    <x v="1"/>
    <x v="1"/>
    <n v="3"/>
    <s v="Married"/>
    <n v="2821"/>
    <n v="2997"/>
    <n v="3"/>
    <s v="Y"/>
    <x v="1"/>
    <n v="16"/>
    <n v="3"/>
    <n v="1"/>
    <n v="80"/>
    <n v="1"/>
    <n v="8"/>
    <n v="2"/>
    <n v="3"/>
    <n v="2"/>
    <n v="2"/>
    <n v="2"/>
    <n v="2"/>
    <n v="0"/>
    <x v="0"/>
  </r>
  <r>
    <n v="50"/>
    <s v="No"/>
    <s v="Travel_Rarely"/>
    <n v="1464"/>
    <x v="1"/>
    <n v="2"/>
    <n v="4"/>
    <x v="2"/>
    <n v="1"/>
    <x v="766"/>
    <n v="2"/>
    <s v="Male"/>
    <n v="62"/>
    <n v="3"/>
    <x v="4"/>
    <x v="7"/>
    <n v="3"/>
    <s v="Married"/>
    <n v="19237"/>
    <n v="12853"/>
    <n v="2"/>
    <s v="Y"/>
    <x v="0"/>
    <n v="11"/>
    <n v="3"/>
    <n v="4"/>
    <n v="80"/>
    <n v="1"/>
    <n v="29"/>
    <n v="2"/>
    <n v="2"/>
    <n v="8"/>
    <n v="1"/>
    <n v="7"/>
    <n v="7"/>
    <n v="0"/>
    <x v="1"/>
  </r>
  <r>
    <n v="37"/>
    <s v="No"/>
    <s v="Travel_Rarely"/>
    <n v="124"/>
    <x v="1"/>
    <n v="3"/>
    <n v="3"/>
    <x v="1"/>
    <n v="1"/>
    <x v="767"/>
    <n v="4"/>
    <s v="Female"/>
    <n v="35"/>
    <n v="3"/>
    <x v="0"/>
    <x v="4"/>
    <n v="2"/>
    <s v="Single"/>
    <n v="4107"/>
    <n v="13848"/>
    <n v="3"/>
    <s v="Y"/>
    <x v="1"/>
    <n v="15"/>
    <n v="3"/>
    <n v="1"/>
    <n v="80"/>
    <n v="0"/>
    <n v="8"/>
    <n v="3"/>
    <n v="2"/>
    <n v="4"/>
    <n v="3"/>
    <n v="0"/>
    <n v="1"/>
    <n v="0"/>
    <x v="0"/>
  </r>
  <r>
    <n v="40"/>
    <s v="No"/>
    <s v="Travel_Rarely"/>
    <n v="300"/>
    <x v="0"/>
    <n v="26"/>
    <n v="3"/>
    <x v="3"/>
    <n v="1"/>
    <x v="768"/>
    <n v="3"/>
    <s v="Male"/>
    <n v="74"/>
    <n v="3"/>
    <x v="0"/>
    <x v="0"/>
    <n v="1"/>
    <s v="Married"/>
    <n v="8396"/>
    <n v="22217"/>
    <n v="1"/>
    <s v="Y"/>
    <x v="1"/>
    <n v="14"/>
    <n v="3"/>
    <n v="2"/>
    <n v="80"/>
    <n v="1"/>
    <n v="8"/>
    <n v="3"/>
    <n v="2"/>
    <n v="7"/>
    <n v="7"/>
    <n v="7"/>
    <n v="5"/>
    <n v="0"/>
    <x v="0"/>
  </r>
  <r>
    <n v="26"/>
    <s v="No"/>
    <s v="Travel_Frequently"/>
    <n v="921"/>
    <x v="1"/>
    <n v="1"/>
    <n v="1"/>
    <x v="2"/>
    <n v="1"/>
    <x v="769"/>
    <n v="1"/>
    <s v="Female"/>
    <n v="66"/>
    <n v="2"/>
    <x v="1"/>
    <x v="1"/>
    <n v="3"/>
    <s v="Divorced"/>
    <n v="2007"/>
    <n v="25265"/>
    <n v="1"/>
    <s v="Y"/>
    <x v="1"/>
    <n v="13"/>
    <n v="3"/>
    <n v="3"/>
    <n v="80"/>
    <n v="2"/>
    <n v="5"/>
    <n v="5"/>
    <n v="3"/>
    <n v="5"/>
    <n v="3"/>
    <n v="1"/>
    <n v="3"/>
    <n v="0"/>
    <x v="2"/>
  </r>
  <r>
    <n v="46"/>
    <s v="No"/>
    <s v="Travel_Rarely"/>
    <n v="430"/>
    <x v="1"/>
    <n v="1"/>
    <n v="4"/>
    <x v="2"/>
    <n v="1"/>
    <x v="770"/>
    <n v="4"/>
    <s v="Male"/>
    <n v="40"/>
    <n v="3"/>
    <x v="4"/>
    <x v="7"/>
    <n v="4"/>
    <s v="Divorced"/>
    <n v="19627"/>
    <n v="21445"/>
    <n v="9"/>
    <s v="Y"/>
    <x v="1"/>
    <n v="17"/>
    <n v="3"/>
    <n v="4"/>
    <n v="80"/>
    <n v="2"/>
    <n v="23"/>
    <n v="0"/>
    <n v="3"/>
    <n v="2"/>
    <n v="2"/>
    <n v="2"/>
    <n v="2"/>
    <n v="0"/>
    <x v="1"/>
  </r>
  <r>
    <n v="54"/>
    <s v="No"/>
    <s v="Travel_Rarely"/>
    <n v="1082"/>
    <x v="0"/>
    <n v="2"/>
    <n v="4"/>
    <x v="0"/>
    <n v="1"/>
    <x v="771"/>
    <n v="3"/>
    <s v="Female"/>
    <n v="41"/>
    <n v="2"/>
    <x v="2"/>
    <x v="0"/>
    <n v="3"/>
    <s v="Married"/>
    <n v="10686"/>
    <n v="8392"/>
    <n v="6"/>
    <s v="Y"/>
    <x v="1"/>
    <n v="11"/>
    <n v="3"/>
    <n v="2"/>
    <n v="80"/>
    <n v="1"/>
    <n v="13"/>
    <n v="4"/>
    <n v="3"/>
    <n v="9"/>
    <n v="4"/>
    <n v="7"/>
    <n v="0"/>
    <n v="0"/>
    <x v="1"/>
  </r>
  <r>
    <n v="56"/>
    <s v="No"/>
    <s v="Travel_Frequently"/>
    <n v="1240"/>
    <x v="1"/>
    <n v="9"/>
    <n v="3"/>
    <x v="2"/>
    <n v="1"/>
    <x v="772"/>
    <n v="1"/>
    <s v="Female"/>
    <n v="63"/>
    <n v="3"/>
    <x v="1"/>
    <x v="1"/>
    <n v="3"/>
    <s v="Married"/>
    <n v="2942"/>
    <n v="12154"/>
    <n v="2"/>
    <s v="Y"/>
    <x v="1"/>
    <n v="19"/>
    <n v="3"/>
    <n v="2"/>
    <n v="80"/>
    <n v="1"/>
    <n v="18"/>
    <n v="4"/>
    <n v="3"/>
    <n v="5"/>
    <n v="4"/>
    <n v="0"/>
    <n v="3"/>
    <n v="0"/>
    <x v="3"/>
  </r>
  <r>
    <n v="36"/>
    <s v="No"/>
    <s v="Travel_Rarely"/>
    <n v="796"/>
    <x v="1"/>
    <n v="12"/>
    <n v="5"/>
    <x v="2"/>
    <n v="1"/>
    <x v="773"/>
    <n v="4"/>
    <s v="Female"/>
    <n v="51"/>
    <n v="2"/>
    <x v="2"/>
    <x v="3"/>
    <n v="4"/>
    <s v="Single"/>
    <n v="8858"/>
    <n v="15669"/>
    <n v="0"/>
    <s v="Y"/>
    <x v="1"/>
    <n v="11"/>
    <n v="3"/>
    <n v="2"/>
    <n v="80"/>
    <n v="0"/>
    <n v="15"/>
    <n v="2"/>
    <n v="2"/>
    <n v="14"/>
    <n v="8"/>
    <n v="7"/>
    <n v="8"/>
    <n v="0"/>
    <x v="0"/>
  </r>
  <r>
    <n v="55"/>
    <s v="No"/>
    <s v="Non-Travel"/>
    <n v="444"/>
    <x v="1"/>
    <n v="2"/>
    <n v="1"/>
    <x v="2"/>
    <n v="1"/>
    <x v="774"/>
    <n v="3"/>
    <s v="Male"/>
    <n v="40"/>
    <n v="2"/>
    <x v="3"/>
    <x v="5"/>
    <n v="1"/>
    <s v="Single"/>
    <n v="16756"/>
    <n v="17323"/>
    <n v="7"/>
    <s v="Y"/>
    <x v="1"/>
    <n v="15"/>
    <n v="3"/>
    <n v="2"/>
    <n v="80"/>
    <n v="0"/>
    <n v="31"/>
    <n v="3"/>
    <n v="4"/>
    <n v="9"/>
    <n v="7"/>
    <n v="6"/>
    <n v="2"/>
    <n v="0"/>
    <x v="1"/>
  </r>
  <r>
    <n v="43"/>
    <s v="No"/>
    <s v="Travel_Rarely"/>
    <n v="415"/>
    <x v="0"/>
    <n v="25"/>
    <n v="3"/>
    <x v="2"/>
    <n v="1"/>
    <x v="775"/>
    <n v="3"/>
    <s v="Male"/>
    <n v="79"/>
    <n v="2"/>
    <x v="2"/>
    <x v="0"/>
    <n v="4"/>
    <s v="Divorced"/>
    <n v="10798"/>
    <n v="5268"/>
    <n v="5"/>
    <s v="Y"/>
    <x v="1"/>
    <n v="13"/>
    <n v="3"/>
    <n v="3"/>
    <n v="80"/>
    <n v="1"/>
    <n v="18"/>
    <n v="5"/>
    <n v="3"/>
    <n v="1"/>
    <n v="0"/>
    <n v="0"/>
    <n v="0"/>
    <n v="0"/>
    <x v="0"/>
  </r>
  <r>
    <n v="20"/>
    <s v="Yes"/>
    <s v="Travel_Frequently"/>
    <n v="769"/>
    <x v="0"/>
    <n v="9"/>
    <n v="3"/>
    <x v="3"/>
    <n v="1"/>
    <x v="776"/>
    <n v="4"/>
    <s v="Female"/>
    <n v="54"/>
    <n v="3"/>
    <x v="1"/>
    <x v="6"/>
    <n v="4"/>
    <s v="Single"/>
    <n v="2323"/>
    <n v="17205"/>
    <n v="1"/>
    <s v="Y"/>
    <x v="0"/>
    <n v="14"/>
    <n v="3"/>
    <n v="2"/>
    <n v="80"/>
    <n v="0"/>
    <n v="2"/>
    <n v="3"/>
    <n v="3"/>
    <n v="2"/>
    <n v="2"/>
    <n v="0"/>
    <n v="2"/>
    <n v="1"/>
    <x v="4"/>
  </r>
  <r>
    <n v="21"/>
    <s v="Yes"/>
    <s v="Travel_Rarely"/>
    <n v="1334"/>
    <x v="1"/>
    <n v="10"/>
    <n v="3"/>
    <x v="0"/>
    <n v="1"/>
    <x v="777"/>
    <n v="3"/>
    <s v="Female"/>
    <n v="36"/>
    <n v="2"/>
    <x v="1"/>
    <x v="2"/>
    <n v="1"/>
    <s v="Single"/>
    <n v="1416"/>
    <n v="17258"/>
    <n v="1"/>
    <s v="Y"/>
    <x v="1"/>
    <n v="13"/>
    <n v="3"/>
    <n v="1"/>
    <n v="80"/>
    <n v="0"/>
    <n v="1"/>
    <n v="6"/>
    <n v="2"/>
    <n v="1"/>
    <n v="0"/>
    <n v="1"/>
    <n v="0"/>
    <n v="1"/>
    <x v="4"/>
  </r>
  <r>
    <n v="46"/>
    <s v="No"/>
    <s v="Travel_Rarely"/>
    <n v="1003"/>
    <x v="1"/>
    <n v="8"/>
    <n v="4"/>
    <x v="0"/>
    <n v="1"/>
    <x v="778"/>
    <n v="4"/>
    <s v="Female"/>
    <n v="74"/>
    <n v="2"/>
    <x v="0"/>
    <x v="1"/>
    <n v="1"/>
    <s v="Divorced"/>
    <n v="4615"/>
    <n v="21029"/>
    <n v="8"/>
    <s v="Y"/>
    <x v="0"/>
    <n v="23"/>
    <n v="4"/>
    <n v="1"/>
    <n v="80"/>
    <n v="3"/>
    <n v="19"/>
    <n v="2"/>
    <n v="3"/>
    <n v="16"/>
    <n v="13"/>
    <n v="1"/>
    <n v="7"/>
    <n v="0"/>
    <x v="1"/>
  </r>
  <r>
    <n v="51"/>
    <s v="Yes"/>
    <s v="Travel_Rarely"/>
    <n v="1323"/>
    <x v="1"/>
    <n v="4"/>
    <n v="4"/>
    <x v="0"/>
    <n v="1"/>
    <x v="779"/>
    <n v="1"/>
    <s v="Male"/>
    <n v="34"/>
    <n v="3"/>
    <x v="1"/>
    <x v="1"/>
    <n v="3"/>
    <s v="Married"/>
    <n v="2461"/>
    <n v="10332"/>
    <n v="9"/>
    <s v="Y"/>
    <x v="0"/>
    <n v="12"/>
    <n v="3"/>
    <n v="3"/>
    <n v="80"/>
    <n v="3"/>
    <n v="18"/>
    <n v="2"/>
    <n v="4"/>
    <n v="10"/>
    <n v="0"/>
    <n v="2"/>
    <n v="7"/>
    <n v="1"/>
    <x v="1"/>
  </r>
  <r>
    <n v="28"/>
    <s v="Yes"/>
    <s v="Non-Travel"/>
    <n v="1366"/>
    <x v="1"/>
    <n v="24"/>
    <n v="2"/>
    <x v="4"/>
    <n v="1"/>
    <x v="780"/>
    <n v="2"/>
    <s v="Male"/>
    <n v="72"/>
    <n v="2"/>
    <x v="2"/>
    <x v="4"/>
    <n v="1"/>
    <s v="Single"/>
    <n v="8722"/>
    <n v="12355"/>
    <n v="1"/>
    <s v="Y"/>
    <x v="1"/>
    <n v="12"/>
    <n v="3"/>
    <n v="1"/>
    <n v="80"/>
    <n v="0"/>
    <n v="10"/>
    <n v="2"/>
    <n v="2"/>
    <n v="10"/>
    <n v="7"/>
    <n v="1"/>
    <n v="9"/>
    <n v="1"/>
    <x v="2"/>
  </r>
  <r>
    <n v="26"/>
    <s v="No"/>
    <s v="Travel_Rarely"/>
    <n v="192"/>
    <x v="1"/>
    <n v="1"/>
    <n v="2"/>
    <x v="2"/>
    <n v="1"/>
    <x v="781"/>
    <n v="1"/>
    <s v="Male"/>
    <n v="59"/>
    <n v="2"/>
    <x v="1"/>
    <x v="2"/>
    <n v="1"/>
    <s v="Married"/>
    <n v="3955"/>
    <n v="11141"/>
    <n v="1"/>
    <s v="Y"/>
    <x v="1"/>
    <n v="16"/>
    <n v="3"/>
    <n v="1"/>
    <n v="80"/>
    <n v="2"/>
    <n v="6"/>
    <n v="2"/>
    <n v="3"/>
    <n v="5"/>
    <n v="3"/>
    <n v="1"/>
    <n v="3"/>
    <n v="0"/>
    <x v="2"/>
  </r>
  <r>
    <n v="30"/>
    <s v="No"/>
    <s v="Travel_Rarely"/>
    <n v="1176"/>
    <x v="1"/>
    <n v="20"/>
    <n v="3"/>
    <x v="1"/>
    <n v="1"/>
    <x v="782"/>
    <n v="3"/>
    <s v="Male"/>
    <n v="85"/>
    <n v="3"/>
    <x v="0"/>
    <x v="3"/>
    <n v="1"/>
    <s v="Married"/>
    <n v="9957"/>
    <n v="9096"/>
    <n v="0"/>
    <s v="Y"/>
    <x v="1"/>
    <n v="15"/>
    <n v="3"/>
    <n v="3"/>
    <n v="80"/>
    <n v="1"/>
    <n v="7"/>
    <n v="1"/>
    <n v="2"/>
    <n v="6"/>
    <n v="2"/>
    <n v="0"/>
    <n v="2"/>
    <n v="0"/>
    <x v="2"/>
  </r>
  <r>
    <n v="41"/>
    <s v="No"/>
    <s v="Travel_Rarely"/>
    <n v="509"/>
    <x v="1"/>
    <n v="7"/>
    <n v="2"/>
    <x v="4"/>
    <n v="1"/>
    <x v="783"/>
    <n v="2"/>
    <s v="Female"/>
    <n v="43"/>
    <n v="4"/>
    <x v="1"/>
    <x v="1"/>
    <n v="3"/>
    <s v="Married"/>
    <n v="3376"/>
    <n v="18863"/>
    <n v="1"/>
    <s v="Y"/>
    <x v="1"/>
    <n v="13"/>
    <n v="3"/>
    <n v="3"/>
    <n v="80"/>
    <n v="0"/>
    <n v="10"/>
    <n v="3"/>
    <n v="3"/>
    <n v="10"/>
    <n v="6"/>
    <n v="0"/>
    <n v="8"/>
    <n v="0"/>
    <x v="0"/>
  </r>
  <r>
    <n v="38"/>
    <s v="No"/>
    <s v="Travel_Rarely"/>
    <n v="330"/>
    <x v="1"/>
    <n v="17"/>
    <n v="1"/>
    <x v="0"/>
    <n v="1"/>
    <x v="784"/>
    <n v="3"/>
    <s v="Female"/>
    <n v="65"/>
    <n v="2"/>
    <x v="2"/>
    <x v="4"/>
    <n v="3"/>
    <s v="Married"/>
    <n v="8823"/>
    <n v="24608"/>
    <n v="0"/>
    <s v="Y"/>
    <x v="1"/>
    <n v="18"/>
    <n v="3"/>
    <n v="1"/>
    <n v="80"/>
    <n v="1"/>
    <n v="20"/>
    <n v="4"/>
    <n v="2"/>
    <n v="19"/>
    <n v="9"/>
    <n v="1"/>
    <n v="9"/>
    <n v="0"/>
    <x v="0"/>
  </r>
  <r>
    <n v="40"/>
    <s v="No"/>
    <s v="Travel_Rarely"/>
    <n v="1492"/>
    <x v="1"/>
    <n v="20"/>
    <n v="4"/>
    <x v="4"/>
    <n v="1"/>
    <x v="785"/>
    <n v="1"/>
    <s v="Male"/>
    <n v="61"/>
    <n v="3"/>
    <x v="2"/>
    <x v="4"/>
    <n v="4"/>
    <s v="Married"/>
    <n v="10322"/>
    <n v="26542"/>
    <n v="4"/>
    <s v="Y"/>
    <x v="1"/>
    <n v="20"/>
    <n v="4"/>
    <n v="4"/>
    <n v="80"/>
    <n v="1"/>
    <n v="14"/>
    <n v="6"/>
    <n v="3"/>
    <n v="11"/>
    <n v="10"/>
    <n v="11"/>
    <n v="1"/>
    <n v="0"/>
    <x v="0"/>
  </r>
  <r>
    <n v="27"/>
    <s v="No"/>
    <s v="Non-Travel"/>
    <n v="1277"/>
    <x v="1"/>
    <n v="8"/>
    <n v="5"/>
    <x v="0"/>
    <n v="1"/>
    <x v="786"/>
    <n v="1"/>
    <s v="Male"/>
    <n v="87"/>
    <n v="1"/>
    <x v="1"/>
    <x v="2"/>
    <n v="3"/>
    <s v="Married"/>
    <n v="4621"/>
    <n v="5869"/>
    <n v="1"/>
    <s v="Y"/>
    <x v="1"/>
    <n v="19"/>
    <n v="3"/>
    <n v="4"/>
    <n v="80"/>
    <n v="3"/>
    <n v="3"/>
    <n v="4"/>
    <n v="3"/>
    <n v="3"/>
    <n v="2"/>
    <n v="1"/>
    <n v="2"/>
    <n v="0"/>
    <x v="2"/>
  </r>
  <r>
    <n v="55"/>
    <s v="No"/>
    <s v="Travel_Frequently"/>
    <n v="1091"/>
    <x v="1"/>
    <n v="2"/>
    <n v="1"/>
    <x v="0"/>
    <n v="1"/>
    <x v="787"/>
    <n v="4"/>
    <s v="Male"/>
    <n v="65"/>
    <n v="3"/>
    <x v="2"/>
    <x v="3"/>
    <n v="2"/>
    <s v="Married"/>
    <n v="10976"/>
    <n v="15813"/>
    <n v="3"/>
    <s v="Y"/>
    <x v="1"/>
    <n v="18"/>
    <n v="3"/>
    <n v="2"/>
    <n v="80"/>
    <n v="1"/>
    <n v="23"/>
    <n v="4"/>
    <n v="3"/>
    <n v="3"/>
    <n v="2"/>
    <n v="1"/>
    <n v="2"/>
    <n v="0"/>
    <x v="1"/>
  </r>
  <r>
    <n v="28"/>
    <s v="No"/>
    <s v="Travel_Rarely"/>
    <n v="857"/>
    <x v="1"/>
    <n v="10"/>
    <n v="3"/>
    <x v="1"/>
    <n v="1"/>
    <x v="788"/>
    <n v="3"/>
    <s v="Female"/>
    <n v="59"/>
    <n v="3"/>
    <x v="0"/>
    <x v="1"/>
    <n v="3"/>
    <s v="Single"/>
    <n v="3660"/>
    <n v="7909"/>
    <n v="3"/>
    <s v="Y"/>
    <x v="1"/>
    <n v="13"/>
    <n v="3"/>
    <n v="4"/>
    <n v="80"/>
    <n v="0"/>
    <n v="10"/>
    <n v="4"/>
    <n v="4"/>
    <n v="8"/>
    <n v="7"/>
    <n v="1"/>
    <n v="7"/>
    <n v="0"/>
    <x v="2"/>
  </r>
  <r>
    <n v="44"/>
    <s v="Yes"/>
    <s v="Travel_Rarely"/>
    <n v="1376"/>
    <x v="2"/>
    <n v="1"/>
    <n v="2"/>
    <x v="2"/>
    <n v="1"/>
    <x v="789"/>
    <n v="2"/>
    <s v="Male"/>
    <n v="91"/>
    <n v="2"/>
    <x v="2"/>
    <x v="8"/>
    <n v="1"/>
    <s v="Married"/>
    <n v="10482"/>
    <n v="2326"/>
    <n v="9"/>
    <s v="Y"/>
    <x v="1"/>
    <n v="14"/>
    <n v="3"/>
    <n v="4"/>
    <n v="80"/>
    <n v="1"/>
    <n v="24"/>
    <n v="1"/>
    <n v="3"/>
    <n v="20"/>
    <n v="6"/>
    <n v="3"/>
    <n v="6"/>
    <n v="1"/>
    <x v="0"/>
  </r>
  <r>
    <n v="33"/>
    <s v="No"/>
    <s v="Travel_Rarely"/>
    <n v="654"/>
    <x v="1"/>
    <n v="5"/>
    <n v="3"/>
    <x v="0"/>
    <n v="1"/>
    <x v="790"/>
    <n v="4"/>
    <s v="Male"/>
    <n v="34"/>
    <n v="2"/>
    <x v="2"/>
    <x v="4"/>
    <n v="4"/>
    <s v="Divorced"/>
    <n v="7119"/>
    <n v="21214"/>
    <n v="4"/>
    <s v="Y"/>
    <x v="1"/>
    <n v="15"/>
    <n v="3"/>
    <n v="3"/>
    <n v="80"/>
    <n v="1"/>
    <n v="9"/>
    <n v="2"/>
    <n v="3"/>
    <n v="3"/>
    <n v="2"/>
    <n v="1"/>
    <n v="2"/>
    <n v="0"/>
    <x v="2"/>
  </r>
  <r>
    <n v="35"/>
    <s v="Yes"/>
    <s v="Travel_Rarely"/>
    <n v="1204"/>
    <x v="0"/>
    <n v="4"/>
    <n v="3"/>
    <x v="4"/>
    <n v="1"/>
    <x v="791"/>
    <n v="4"/>
    <s v="Male"/>
    <n v="86"/>
    <n v="3"/>
    <x v="2"/>
    <x v="0"/>
    <n v="1"/>
    <s v="Single"/>
    <n v="9582"/>
    <n v="10333"/>
    <n v="0"/>
    <s v="Y"/>
    <x v="0"/>
    <n v="22"/>
    <n v="4"/>
    <n v="1"/>
    <n v="80"/>
    <n v="0"/>
    <n v="9"/>
    <n v="2"/>
    <n v="3"/>
    <n v="8"/>
    <n v="7"/>
    <n v="4"/>
    <n v="7"/>
    <n v="1"/>
    <x v="2"/>
  </r>
  <r>
    <n v="33"/>
    <s v="Yes"/>
    <s v="Travel_Frequently"/>
    <n v="827"/>
    <x v="1"/>
    <n v="29"/>
    <n v="4"/>
    <x v="2"/>
    <n v="1"/>
    <x v="792"/>
    <n v="1"/>
    <s v="Female"/>
    <n v="54"/>
    <n v="2"/>
    <x v="0"/>
    <x v="1"/>
    <n v="3"/>
    <s v="Single"/>
    <n v="4508"/>
    <n v="3129"/>
    <n v="1"/>
    <s v="Y"/>
    <x v="1"/>
    <n v="22"/>
    <n v="4"/>
    <n v="2"/>
    <n v="80"/>
    <n v="0"/>
    <n v="14"/>
    <n v="4"/>
    <n v="3"/>
    <n v="13"/>
    <n v="7"/>
    <n v="3"/>
    <n v="8"/>
    <n v="1"/>
    <x v="2"/>
  </r>
  <r>
    <n v="28"/>
    <s v="No"/>
    <s v="Travel_Rarely"/>
    <n v="895"/>
    <x v="1"/>
    <n v="15"/>
    <n v="2"/>
    <x v="0"/>
    <n v="1"/>
    <x v="793"/>
    <n v="1"/>
    <s v="Male"/>
    <n v="50"/>
    <n v="3"/>
    <x v="1"/>
    <x v="2"/>
    <n v="3"/>
    <s v="Divorced"/>
    <n v="2207"/>
    <n v="22482"/>
    <n v="1"/>
    <s v="Y"/>
    <x v="1"/>
    <n v="16"/>
    <n v="3"/>
    <n v="4"/>
    <n v="80"/>
    <n v="1"/>
    <n v="4"/>
    <n v="5"/>
    <n v="2"/>
    <n v="4"/>
    <n v="2"/>
    <n v="2"/>
    <n v="2"/>
    <n v="0"/>
    <x v="2"/>
  </r>
  <r>
    <n v="34"/>
    <s v="No"/>
    <s v="Travel_Frequently"/>
    <n v="618"/>
    <x v="1"/>
    <n v="3"/>
    <n v="1"/>
    <x v="0"/>
    <n v="1"/>
    <x v="794"/>
    <n v="1"/>
    <s v="Male"/>
    <n v="45"/>
    <n v="3"/>
    <x v="0"/>
    <x v="4"/>
    <n v="4"/>
    <s v="Single"/>
    <n v="7756"/>
    <n v="22266"/>
    <n v="0"/>
    <s v="Y"/>
    <x v="1"/>
    <n v="17"/>
    <n v="3"/>
    <n v="3"/>
    <n v="80"/>
    <n v="0"/>
    <n v="7"/>
    <n v="1"/>
    <n v="2"/>
    <n v="6"/>
    <n v="2"/>
    <n v="0"/>
    <n v="4"/>
    <n v="0"/>
    <x v="2"/>
  </r>
  <r>
    <n v="37"/>
    <s v="No"/>
    <s v="Travel_Rarely"/>
    <n v="309"/>
    <x v="0"/>
    <n v="10"/>
    <n v="4"/>
    <x v="0"/>
    <n v="1"/>
    <x v="795"/>
    <n v="4"/>
    <s v="Female"/>
    <n v="88"/>
    <n v="2"/>
    <x v="0"/>
    <x v="0"/>
    <n v="4"/>
    <s v="Divorced"/>
    <n v="6694"/>
    <n v="24223"/>
    <n v="2"/>
    <s v="Y"/>
    <x v="0"/>
    <n v="14"/>
    <n v="3"/>
    <n v="3"/>
    <n v="80"/>
    <n v="3"/>
    <n v="8"/>
    <n v="5"/>
    <n v="3"/>
    <n v="1"/>
    <n v="0"/>
    <n v="0"/>
    <n v="0"/>
    <n v="0"/>
    <x v="0"/>
  </r>
  <r>
    <n v="25"/>
    <s v="Yes"/>
    <s v="Travel_Rarely"/>
    <n v="1219"/>
    <x v="1"/>
    <n v="4"/>
    <n v="1"/>
    <x v="4"/>
    <n v="1"/>
    <x v="796"/>
    <n v="4"/>
    <s v="Male"/>
    <n v="32"/>
    <n v="3"/>
    <x v="1"/>
    <x v="2"/>
    <n v="4"/>
    <s v="Married"/>
    <n v="3691"/>
    <n v="4605"/>
    <n v="1"/>
    <s v="Y"/>
    <x v="0"/>
    <n v="15"/>
    <n v="3"/>
    <n v="2"/>
    <n v="80"/>
    <n v="1"/>
    <n v="7"/>
    <n v="3"/>
    <n v="4"/>
    <n v="7"/>
    <n v="7"/>
    <n v="5"/>
    <n v="6"/>
    <n v="1"/>
    <x v="4"/>
  </r>
  <r>
    <n v="26"/>
    <s v="Yes"/>
    <s v="Travel_Rarely"/>
    <n v="1330"/>
    <x v="1"/>
    <n v="21"/>
    <n v="3"/>
    <x v="2"/>
    <n v="1"/>
    <x v="797"/>
    <n v="1"/>
    <s v="Male"/>
    <n v="37"/>
    <n v="3"/>
    <x v="1"/>
    <x v="2"/>
    <n v="3"/>
    <s v="Divorced"/>
    <n v="2377"/>
    <n v="19373"/>
    <n v="1"/>
    <s v="Y"/>
    <x v="1"/>
    <n v="20"/>
    <n v="4"/>
    <n v="3"/>
    <n v="80"/>
    <n v="1"/>
    <n v="1"/>
    <n v="0"/>
    <n v="2"/>
    <n v="1"/>
    <n v="1"/>
    <n v="0"/>
    <n v="0"/>
    <n v="1"/>
    <x v="2"/>
  </r>
  <r>
    <n v="33"/>
    <s v="Yes"/>
    <s v="Travel_Rarely"/>
    <n v="1017"/>
    <x v="1"/>
    <n v="25"/>
    <n v="3"/>
    <x v="2"/>
    <n v="1"/>
    <x v="798"/>
    <n v="1"/>
    <s v="Male"/>
    <n v="55"/>
    <n v="2"/>
    <x v="1"/>
    <x v="1"/>
    <n v="2"/>
    <s v="Single"/>
    <n v="2313"/>
    <n v="2993"/>
    <n v="4"/>
    <s v="Y"/>
    <x v="0"/>
    <n v="20"/>
    <n v="4"/>
    <n v="2"/>
    <n v="80"/>
    <n v="0"/>
    <n v="5"/>
    <n v="0"/>
    <n v="3"/>
    <n v="2"/>
    <n v="2"/>
    <n v="2"/>
    <n v="2"/>
    <n v="1"/>
    <x v="2"/>
  </r>
  <r>
    <n v="42"/>
    <s v="No"/>
    <s v="Travel_Rarely"/>
    <n v="469"/>
    <x v="1"/>
    <n v="2"/>
    <n v="2"/>
    <x v="2"/>
    <n v="1"/>
    <x v="799"/>
    <n v="4"/>
    <s v="Male"/>
    <n v="35"/>
    <n v="3"/>
    <x v="3"/>
    <x v="5"/>
    <n v="1"/>
    <s v="Married"/>
    <n v="17665"/>
    <n v="14399"/>
    <n v="0"/>
    <s v="Y"/>
    <x v="1"/>
    <n v="17"/>
    <n v="3"/>
    <n v="4"/>
    <n v="80"/>
    <n v="1"/>
    <n v="23"/>
    <n v="3"/>
    <n v="3"/>
    <n v="22"/>
    <n v="6"/>
    <n v="13"/>
    <n v="7"/>
    <n v="0"/>
    <x v="0"/>
  </r>
  <r>
    <n v="28"/>
    <s v="Yes"/>
    <s v="Travel_Frequently"/>
    <n v="1009"/>
    <x v="1"/>
    <n v="1"/>
    <n v="3"/>
    <x v="2"/>
    <n v="1"/>
    <x v="800"/>
    <n v="1"/>
    <s v="Male"/>
    <n v="45"/>
    <n v="2"/>
    <x v="1"/>
    <x v="2"/>
    <n v="2"/>
    <s v="Divorced"/>
    <n v="2596"/>
    <n v="7160"/>
    <n v="1"/>
    <s v="Y"/>
    <x v="1"/>
    <n v="15"/>
    <n v="3"/>
    <n v="1"/>
    <n v="80"/>
    <n v="2"/>
    <n v="1"/>
    <n v="2"/>
    <n v="3"/>
    <n v="1"/>
    <n v="0"/>
    <n v="0"/>
    <n v="0"/>
    <n v="1"/>
    <x v="2"/>
  </r>
  <r>
    <n v="50"/>
    <s v="Yes"/>
    <s v="Travel_Frequently"/>
    <n v="959"/>
    <x v="0"/>
    <n v="1"/>
    <n v="4"/>
    <x v="1"/>
    <n v="1"/>
    <x v="801"/>
    <n v="4"/>
    <s v="Male"/>
    <n v="81"/>
    <n v="3"/>
    <x v="0"/>
    <x v="0"/>
    <n v="3"/>
    <s v="Single"/>
    <n v="4728"/>
    <n v="17251"/>
    <n v="3"/>
    <s v="Y"/>
    <x v="0"/>
    <n v="14"/>
    <n v="3"/>
    <n v="4"/>
    <n v="80"/>
    <n v="0"/>
    <n v="5"/>
    <n v="4"/>
    <n v="3"/>
    <n v="0"/>
    <n v="0"/>
    <n v="0"/>
    <n v="0"/>
    <n v="1"/>
    <x v="1"/>
  </r>
  <r>
    <n v="33"/>
    <s v="No"/>
    <s v="Travel_Frequently"/>
    <n v="970"/>
    <x v="0"/>
    <n v="7"/>
    <n v="3"/>
    <x v="0"/>
    <n v="1"/>
    <x v="802"/>
    <n v="4"/>
    <s v="Female"/>
    <n v="30"/>
    <n v="3"/>
    <x v="0"/>
    <x v="0"/>
    <n v="2"/>
    <s v="Married"/>
    <n v="4302"/>
    <n v="13401"/>
    <n v="0"/>
    <s v="Y"/>
    <x v="1"/>
    <n v="17"/>
    <n v="3"/>
    <n v="3"/>
    <n v="80"/>
    <n v="1"/>
    <n v="4"/>
    <n v="3"/>
    <n v="3"/>
    <n v="3"/>
    <n v="2"/>
    <n v="0"/>
    <n v="2"/>
    <n v="0"/>
    <x v="2"/>
  </r>
  <r>
    <n v="34"/>
    <s v="No"/>
    <s v="Non-Travel"/>
    <n v="697"/>
    <x v="1"/>
    <n v="3"/>
    <n v="4"/>
    <x v="0"/>
    <n v="1"/>
    <x v="803"/>
    <n v="3"/>
    <s v="Male"/>
    <n v="40"/>
    <n v="2"/>
    <x v="1"/>
    <x v="1"/>
    <n v="4"/>
    <s v="Married"/>
    <n v="2979"/>
    <n v="22478"/>
    <n v="3"/>
    <s v="Y"/>
    <x v="1"/>
    <n v="17"/>
    <n v="3"/>
    <n v="4"/>
    <n v="80"/>
    <n v="3"/>
    <n v="6"/>
    <n v="2"/>
    <n v="3"/>
    <n v="0"/>
    <n v="0"/>
    <n v="0"/>
    <n v="0"/>
    <n v="0"/>
    <x v="2"/>
  </r>
  <r>
    <n v="48"/>
    <s v="No"/>
    <s v="Non-Travel"/>
    <n v="1262"/>
    <x v="1"/>
    <n v="1"/>
    <n v="4"/>
    <x v="2"/>
    <n v="1"/>
    <x v="804"/>
    <n v="1"/>
    <s v="Male"/>
    <n v="35"/>
    <n v="4"/>
    <x v="3"/>
    <x v="5"/>
    <n v="4"/>
    <s v="Single"/>
    <n v="16885"/>
    <n v="16154"/>
    <n v="2"/>
    <s v="Y"/>
    <x v="1"/>
    <n v="22"/>
    <n v="4"/>
    <n v="3"/>
    <n v="80"/>
    <n v="0"/>
    <n v="27"/>
    <n v="3"/>
    <n v="2"/>
    <n v="5"/>
    <n v="4"/>
    <n v="2"/>
    <n v="1"/>
    <n v="0"/>
    <x v="1"/>
  </r>
  <r>
    <n v="45"/>
    <s v="No"/>
    <s v="Non-Travel"/>
    <n v="1050"/>
    <x v="0"/>
    <n v="9"/>
    <n v="4"/>
    <x v="0"/>
    <n v="1"/>
    <x v="805"/>
    <n v="2"/>
    <s v="Female"/>
    <n v="65"/>
    <n v="2"/>
    <x v="0"/>
    <x v="0"/>
    <n v="3"/>
    <s v="Married"/>
    <n v="5593"/>
    <n v="17970"/>
    <n v="1"/>
    <s v="Y"/>
    <x v="1"/>
    <n v="13"/>
    <n v="3"/>
    <n v="4"/>
    <n v="80"/>
    <n v="1"/>
    <n v="15"/>
    <n v="2"/>
    <n v="3"/>
    <n v="15"/>
    <n v="10"/>
    <n v="4"/>
    <n v="12"/>
    <n v="0"/>
    <x v="0"/>
  </r>
  <r>
    <n v="52"/>
    <s v="No"/>
    <s v="Travel_Rarely"/>
    <n v="994"/>
    <x v="1"/>
    <n v="7"/>
    <n v="4"/>
    <x v="0"/>
    <n v="1"/>
    <x v="806"/>
    <n v="2"/>
    <s v="Male"/>
    <n v="87"/>
    <n v="3"/>
    <x v="2"/>
    <x v="4"/>
    <n v="2"/>
    <s v="Single"/>
    <n v="10445"/>
    <n v="15322"/>
    <n v="7"/>
    <s v="Y"/>
    <x v="1"/>
    <n v="19"/>
    <n v="3"/>
    <n v="4"/>
    <n v="80"/>
    <n v="0"/>
    <n v="18"/>
    <n v="4"/>
    <n v="3"/>
    <n v="8"/>
    <n v="6"/>
    <n v="4"/>
    <n v="0"/>
    <n v="0"/>
    <x v="1"/>
  </r>
  <r>
    <n v="38"/>
    <s v="No"/>
    <s v="Travel_Rarely"/>
    <n v="770"/>
    <x v="0"/>
    <n v="10"/>
    <n v="4"/>
    <x v="3"/>
    <n v="1"/>
    <x v="807"/>
    <n v="3"/>
    <s v="Male"/>
    <n v="73"/>
    <n v="2"/>
    <x v="2"/>
    <x v="0"/>
    <n v="3"/>
    <s v="Divorced"/>
    <n v="8740"/>
    <n v="5569"/>
    <n v="0"/>
    <s v="Y"/>
    <x v="0"/>
    <n v="14"/>
    <n v="3"/>
    <n v="2"/>
    <n v="80"/>
    <n v="2"/>
    <n v="9"/>
    <n v="2"/>
    <n v="3"/>
    <n v="8"/>
    <n v="7"/>
    <n v="2"/>
    <n v="7"/>
    <n v="0"/>
    <x v="0"/>
  </r>
  <r>
    <n v="29"/>
    <s v="No"/>
    <s v="Travel_Rarely"/>
    <n v="1107"/>
    <x v="1"/>
    <n v="28"/>
    <n v="4"/>
    <x v="0"/>
    <n v="1"/>
    <x v="808"/>
    <n v="3"/>
    <s v="Female"/>
    <n v="93"/>
    <n v="3"/>
    <x v="1"/>
    <x v="1"/>
    <n v="4"/>
    <s v="Divorced"/>
    <n v="2514"/>
    <n v="26968"/>
    <n v="4"/>
    <s v="Y"/>
    <x v="1"/>
    <n v="22"/>
    <n v="4"/>
    <n v="1"/>
    <n v="80"/>
    <n v="1"/>
    <n v="11"/>
    <n v="1"/>
    <n v="3"/>
    <n v="7"/>
    <n v="5"/>
    <n v="1"/>
    <n v="7"/>
    <n v="0"/>
    <x v="2"/>
  </r>
  <r>
    <n v="28"/>
    <s v="No"/>
    <s v="Travel_Rarely"/>
    <n v="950"/>
    <x v="1"/>
    <n v="3"/>
    <n v="3"/>
    <x v="2"/>
    <n v="1"/>
    <x v="809"/>
    <n v="4"/>
    <s v="Female"/>
    <n v="93"/>
    <n v="3"/>
    <x v="2"/>
    <x v="3"/>
    <n v="2"/>
    <s v="Divorced"/>
    <n v="7655"/>
    <n v="8039"/>
    <n v="0"/>
    <s v="Y"/>
    <x v="1"/>
    <n v="17"/>
    <n v="3"/>
    <n v="2"/>
    <n v="80"/>
    <n v="3"/>
    <n v="10"/>
    <n v="3"/>
    <n v="2"/>
    <n v="9"/>
    <n v="7"/>
    <n v="1"/>
    <n v="7"/>
    <n v="0"/>
    <x v="2"/>
  </r>
  <r>
    <n v="46"/>
    <s v="No"/>
    <s v="Travel_Rarely"/>
    <n v="406"/>
    <x v="0"/>
    <n v="3"/>
    <n v="1"/>
    <x v="3"/>
    <n v="1"/>
    <x v="810"/>
    <n v="1"/>
    <s v="Male"/>
    <n v="52"/>
    <n v="3"/>
    <x v="3"/>
    <x v="5"/>
    <n v="3"/>
    <s v="Married"/>
    <n v="17465"/>
    <n v="15596"/>
    <n v="3"/>
    <s v="Y"/>
    <x v="1"/>
    <n v="12"/>
    <n v="3"/>
    <n v="4"/>
    <n v="80"/>
    <n v="1"/>
    <n v="23"/>
    <n v="3"/>
    <n v="3"/>
    <n v="12"/>
    <n v="9"/>
    <n v="4"/>
    <n v="9"/>
    <n v="0"/>
    <x v="1"/>
  </r>
  <r>
    <n v="38"/>
    <s v="No"/>
    <s v="Travel_Rarely"/>
    <n v="130"/>
    <x v="0"/>
    <n v="2"/>
    <n v="2"/>
    <x v="3"/>
    <n v="1"/>
    <x v="811"/>
    <n v="4"/>
    <s v="Male"/>
    <n v="32"/>
    <n v="3"/>
    <x v="2"/>
    <x v="0"/>
    <n v="2"/>
    <s v="Single"/>
    <n v="7351"/>
    <n v="20619"/>
    <n v="7"/>
    <s v="Y"/>
    <x v="1"/>
    <n v="16"/>
    <n v="3"/>
    <n v="3"/>
    <n v="80"/>
    <n v="0"/>
    <n v="10"/>
    <n v="2"/>
    <n v="3"/>
    <n v="1"/>
    <n v="0"/>
    <n v="0"/>
    <n v="0"/>
    <n v="0"/>
    <x v="0"/>
  </r>
  <r>
    <n v="43"/>
    <s v="No"/>
    <s v="Travel_Frequently"/>
    <n v="1082"/>
    <x v="1"/>
    <n v="27"/>
    <n v="3"/>
    <x v="0"/>
    <n v="1"/>
    <x v="812"/>
    <n v="3"/>
    <s v="Female"/>
    <n v="83"/>
    <n v="3"/>
    <x v="2"/>
    <x v="3"/>
    <n v="1"/>
    <s v="Married"/>
    <n v="10820"/>
    <n v="11535"/>
    <n v="8"/>
    <s v="Y"/>
    <x v="1"/>
    <n v="11"/>
    <n v="3"/>
    <n v="3"/>
    <n v="80"/>
    <n v="1"/>
    <n v="18"/>
    <n v="1"/>
    <n v="3"/>
    <n v="8"/>
    <n v="7"/>
    <n v="0"/>
    <n v="1"/>
    <n v="0"/>
    <x v="0"/>
  </r>
  <r>
    <n v="39"/>
    <s v="Yes"/>
    <s v="Travel_Frequently"/>
    <n v="203"/>
    <x v="1"/>
    <n v="2"/>
    <n v="3"/>
    <x v="0"/>
    <n v="1"/>
    <x v="813"/>
    <n v="1"/>
    <s v="Male"/>
    <n v="84"/>
    <n v="3"/>
    <x v="3"/>
    <x v="4"/>
    <n v="4"/>
    <s v="Divorced"/>
    <n v="12169"/>
    <n v="13547"/>
    <n v="7"/>
    <s v="Y"/>
    <x v="1"/>
    <n v="11"/>
    <n v="3"/>
    <n v="4"/>
    <n v="80"/>
    <n v="3"/>
    <n v="21"/>
    <n v="4"/>
    <n v="3"/>
    <n v="18"/>
    <n v="7"/>
    <n v="11"/>
    <n v="5"/>
    <n v="1"/>
    <x v="0"/>
  </r>
  <r>
    <n v="40"/>
    <s v="No"/>
    <s v="Travel_Rarely"/>
    <n v="1308"/>
    <x v="1"/>
    <n v="14"/>
    <n v="3"/>
    <x v="2"/>
    <n v="1"/>
    <x v="814"/>
    <n v="3"/>
    <s v="Male"/>
    <n v="44"/>
    <n v="2"/>
    <x v="4"/>
    <x v="7"/>
    <n v="3"/>
    <s v="Single"/>
    <n v="19626"/>
    <n v="17544"/>
    <n v="1"/>
    <s v="Y"/>
    <x v="1"/>
    <n v="14"/>
    <n v="3"/>
    <n v="1"/>
    <n v="80"/>
    <n v="0"/>
    <n v="21"/>
    <n v="2"/>
    <n v="4"/>
    <n v="20"/>
    <n v="7"/>
    <n v="4"/>
    <n v="9"/>
    <n v="0"/>
    <x v="0"/>
  </r>
  <r>
    <n v="21"/>
    <s v="No"/>
    <s v="Travel_Rarely"/>
    <n v="984"/>
    <x v="1"/>
    <n v="1"/>
    <n v="1"/>
    <x v="4"/>
    <n v="1"/>
    <x v="815"/>
    <n v="4"/>
    <s v="Female"/>
    <n v="70"/>
    <n v="2"/>
    <x v="1"/>
    <x v="1"/>
    <n v="2"/>
    <s v="Single"/>
    <n v="2070"/>
    <n v="25326"/>
    <n v="1"/>
    <s v="Y"/>
    <x v="0"/>
    <n v="11"/>
    <n v="3"/>
    <n v="3"/>
    <n v="80"/>
    <n v="0"/>
    <n v="2"/>
    <n v="6"/>
    <n v="4"/>
    <n v="2"/>
    <n v="2"/>
    <n v="2"/>
    <n v="2"/>
    <n v="0"/>
    <x v="4"/>
  </r>
  <r>
    <n v="39"/>
    <s v="No"/>
    <s v="Non-Travel"/>
    <n v="439"/>
    <x v="1"/>
    <n v="9"/>
    <n v="3"/>
    <x v="0"/>
    <n v="1"/>
    <x v="816"/>
    <n v="3"/>
    <s v="Male"/>
    <n v="70"/>
    <n v="3"/>
    <x v="0"/>
    <x v="2"/>
    <n v="2"/>
    <s v="Single"/>
    <n v="6782"/>
    <n v="8770"/>
    <n v="9"/>
    <s v="Y"/>
    <x v="1"/>
    <n v="15"/>
    <n v="3"/>
    <n v="3"/>
    <n v="80"/>
    <n v="0"/>
    <n v="9"/>
    <n v="2"/>
    <n v="2"/>
    <n v="5"/>
    <n v="4"/>
    <n v="0"/>
    <n v="3"/>
    <n v="0"/>
    <x v="0"/>
  </r>
  <r>
    <n v="36"/>
    <s v="No"/>
    <s v="Non-Travel"/>
    <n v="217"/>
    <x v="1"/>
    <n v="18"/>
    <n v="4"/>
    <x v="0"/>
    <n v="1"/>
    <x v="817"/>
    <n v="1"/>
    <s v="Male"/>
    <n v="78"/>
    <n v="3"/>
    <x v="0"/>
    <x v="3"/>
    <n v="4"/>
    <s v="Single"/>
    <n v="7779"/>
    <n v="23238"/>
    <n v="2"/>
    <s v="Y"/>
    <x v="1"/>
    <n v="20"/>
    <n v="4"/>
    <n v="1"/>
    <n v="80"/>
    <n v="0"/>
    <n v="18"/>
    <n v="0"/>
    <n v="3"/>
    <n v="11"/>
    <n v="9"/>
    <n v="0"/>
    <n v="9"/>
    <n v="0"/>
    <x v="0"/>
  </r>
  <r>
    <n v="31"/>
    <s v="No"/>
    <s v="Travel_Frequently"/>
    <n v="793"/>
    <x v="0"/>
    <n v="20"/>
    <n v="3"/>
    <x v="0"/>
    <n v="1"/>
    <x v="818"/>
    <n v="3"/>
    <s v="Male"/>
    <n v="67"/>
    <n v="4"/>
    <x v="1"/>
    <x v="6"/>
    <n v="4"/>
    <s v="Married"/>
    <n v="2791"/>
    <n v="21981"/>
    <n v="0"/>
    <s v="Y"/>
    <x v="1"/>
    <n v="12"/>
    <n v="3"/>
    <n v="1"/>
    <n v="80"/>
    <n v="1"/>
    <n v="3"/>
    <n v="4"/>
    <n v="3"/>
    <n v="2"/>
    <n v="2"/>
    <n v="2"/>
    <n v="2"/>
    <n v="0"/>
    <x v="2"/>
  </r>
  <r>
    <n v="28"/>
    <s v="No"/>
    <s v="Travel_Rarely"/>
    <n v="1451"/>
    <x v="1"/>
    <n v="2"/>
    <n v="1"/>
    <x v="0"/>
    <n v="1"/>
    <x v="819"/>
    <n v="1"/>
    <s v="Male"/>
    <n v="67"/>
    <n v="2"/>
    <x v="1"/>
    <x v="1"/>
    <n v="2"/>
    <s v="Married"/>
    <n v="3201"/>
    <n v="19911"/>
    <n v="0"/>
    <s v="Y"/>
    <x v="1"/>
    <n v="17"/>
    <n v="3"/>
    <n v="1"/>
    <n v="80"/>
    <n v="0"/>
    <n v="6"/>
    <n v="2"/>
    <n v="1"/>
    <n v="5"/>
    <n v="3"/>
    <n v="0"/>
    <n v="4"/>
    <n v="0"/>
    <x v="2"/>
  </r>
  <r>
    <n v="35"/>
    <s v="No"/>
    <s v="Travel_Frequently"/>
    <n v="1182"/>
    <x v="0"/>
    <n v="11"/>
    <n v="2"/>
    <x v="3"/>
    <n v="1"/>
    <x v="820"/>
    <n v="4"/>
    <s v="Male"/>
    <n v="54"/>
    <n v="3"/>
    <x v="0"/>
    <x v="0"/>
    <n v="4"/>
    <s v="Divorced"/>
    <n v="4968"/>
    <n v="18500"/>
    <n v="1"/>
    <s v="Y"/>
    <x v="1"/>
    <n v="11"/>
    <n v="3"/>
    <n v="4"/>
    <n v="80"/>
    <n v="1"/>
    <n v="5"/>
    <n v="3"/>
    <n v="3"/>
    <n v="5"/>
    <n v="2"/>
    <n v="0"/>
    <n v="2"/>
    <n v="0"/>
    <x v="2"/>
  </r>
  <r>
    <n v="49"/>
    <s v="No"/>
    <s v="Travel_Rarely"/>
    <n v="174"/>
    <x v="0"/>
    <n v="8"/>
    <n v="4"/>
    <x v="4"/>
    <n v="1"/>
    <x v="821"/>
    <n v="4"/>
    <s v="Male"/>
    <n v="56"/>
    <n v="2"/>
    <x v="3"/>
    <x v="0"/>
    <n v="2"/>
    <s v="Married"/>
    <n v="13120"/>
    <n v="11879"/>
    <n v="6"/>
    <s v="Y"/>
    <x v="1"/>
    <n v="17"/>
    <n v="3"/>
    <n v="2"/>
    <n v="80"/>
    <n v="1"/>
    <n v="22"/>
    <n v="3"/>
    <n v="3"/>
    <n v="9"/>
    <n v="8"/>
    <n v="2"/>
    <n v="3"/>
    <n v="0"/>
    <x v="1"/>
  </r>
  <r>
    <n v="34"/>
    <s v="No"/>
    <s v="Travel_Frequently"/>
    <n v="1003"/>
    <x v="1"/>
    <n v="2"/>
    <n v="2"/>
    <x v="0"/>
    <n v="1"/>
    <x v="822"/>
    <n v="4"/>
    <s v="Male"/>
    <n v="95"/>
    <n v="3"/>
    <x v="0"/>
    <x v="3"/>
    <n v="3"/>
    <s v="Single"/>
    <n v="4033"/>
    <n v="15834"/>
    <n v="2"/>
    <s v="Y"/>
    <x v="1"/>
    <n v="11"/>
    <n v="3"/>
    <n v="4"/>
    <n v="80"/>
    <n v="0"/>
    <n v="5"/>
    <n v="3"/>
    <n v="2"/>
    <n v="3"/>
    <n v="2"/>
    <n v="0"/>
    <n v="2"/>
    <n v="0"/>
    <x v="2"/>
  </r>
  <r>
    <n v="29"/>
    <s v="No"/>
    <s v="Travel_Frequently"/>
    <n v="490"/>
    <x v="1"/>
    <n v="10"/>
    <n v="3"/>
    <x v="0"/>
    <n v="1"/>
    <x v="823"/>
    <n v="4"/>
    <s v="Female"/>
    <n v="61"/>
    <n v="3"/>
    <x v="1"/>
    <x v="1"/>
    <n v="2"/>
    <s v="Divorced"/>
    <n v="3291"/>
    <n v="17940"/>
    <n v="0"/>
    <s v="Y"/>
    <x v="1"/>
    <n v="14"/>
    <n v="3"/>
    <n v="4"/>
    <n v="80"/>
    <n v="2"/>
    <n v="8"/>
    <n v="2"/>
    <n v="2"/>
    <n v="7"/>
    <n v="5"/>
    <n v="1"/>
    <n v="1"/>
    <n v="0"/>
    <x v="2"/>
  </r>
  <r>
    <n v="42"/>
    <s v="No"/>
    <s v="Travel_Rarely"/>
    <n v="188"/>
    <x v="1"/>
    <n v="29"/>
    <n v="3"/>
    <x v="2"/>
    <n v="1"/>
    <x v="824"/>
    <n v="2"/>
    <s v="Male"/>
    <n v="56"/>
    <n v="1"/>
    <x v="0"/>
    <x v="2"/>
    <n v="4"/>
    <s v="Single"/>
    <n v="4272"/>
    <n v="9558"/>
    <n v="4"/>
    <s v="Y"/>
    <x v="1"/>
    <n v="19"/>
    <n v="3"/>
    <n v="1"/>
    <n v="80"/>
    <n v="0"/>
    <n v="16"/>
    <n v="3"/>
    <n v="3"/>
    <n v="1"/>
    <n v="0"/>
    <n v="0"/>
    <n v="0"/>
    <n v="0"/>
    <x v="0"/>
  </r>
  <r>
    <n v="29"/>
    <s v="No"/>
    <s v="Travel_Rarely"/>
    <n v="718"/>
    <x v="1"/>
    <n v="8"/>
    <n v="1"/>
    <x v="2"/>
    <n v="1"/>
    <x v="825"/>
    <n v="2"/>
    <s v="Male"/>
    <n v="79"/>
    <n v="2"/>
    <x v="0"/>
    <x v="3"/>
    <n v="4"/>
    <s v="Married"/>
    <n v="5056"/>
    <n v="17689"/>
    <n v="1"/>
    <s v="Y"/>
    <x v="0"/>
    <n v="15"/>
    <n v="3"/>
    <n v="3"/>
    <n v="80"/>
    <n v="1"/>
    <n v="10"/>
    <n v="2"/>
    <n v="2"/>
    <n v="10"/>
    <n v="7"/>
    <n v="1"/>
    <n v="2"/>
    <n v="0"/>
    <x v="2"/>
  </r>
  <r>
    <n v="38"/>
    <s v="No"/>
    <s v="Travel_Rarely"/>
    <n v="433"/>
    <x v="2"/>
    <n v="1"/>
    <n v="3"/>
    <x v="5"/>
    <n v="1"/>
    <x v="826"/>
    <n v="3"/>
    <s v="Male"/>
    <n v="37"/>
    <n v="4"/>
    <x v="1"/>
    <x v="8"/>
    <n v="3"/>
    <s v="Married"/>
    <n v="2844"/>
    <n v="6004"/>
    <n v="1"/>
    <s v="Y"/>
    <x v="1"/>
    <n v="13"/>
    <n v="3"/>
    <n v="4"/>
    <n v="80"/>
    <n v="1"/>
    <n v="7"/>
    <n v="2"/>
    <n v="4"/>
    <n v="7"/>
    <n v="6"/>
    <n v="5"/>
    <n v="0"/>
    <n v="0"/>
    <x v="0"/>
  </r>
  <r>
    <n v="28"/>
    <s v="No"/>
    <s v="Travel_Frequently"/>
    <n v="773"/>
    <x v="1"/>
    <n v="6"/>
    <n v="3"/>
    <x v="0"/>
    <n v="1"/>
    <x v="827"/>
    <n v="3"/>
    <s v="Male"/>
    <n v="39"/>
    <n v="2"/>
    <x v="1"/>
    <x v="1"/>
    <n v="3"/>
    <s v="Divorced"/>
    <n v="2703"/>
    <n v="22088"/>
    <n v="1"/>
    <s v="Y"/>
    <x v="0"/>
    <n v="14"/>
    <n v="3"/>
    <n v="4"/>
    <n v="80"/>
    <n v="1"/>
    <n v="3"/>
    <n v="2"/>
    <n v="3"/>
    <n v="3"/>
    <n v="1"/>
    <n v="0"/>
    <n v="2"/>
    <n v="0"/>
    <x v="2"/>
  </r>
  <r>
    <n v="18"/>
    <s v="Yes"/>
    <s v="Non-Travel"/>
    <n v="247"/>
    <x v="1"/>
    <n v="8"/>
    <n v="1"/>
    <x v="2"/>
    <n v="1"/>
    <x v="828"/>
    <n v="3"/>
    <s v="Male"/>
    <n v="80"/>
    <n v="3"/>
    <x v="1"/>
    <x v="2"/>
    <n v="3"/>
    <s v="Single"/>
    <n v="1904"/>
    <n v="13556"/>
    <n v="1"/>
    <s v="Y"/>
    <x v="1"/>
    <n v="12"/>
    <n v="3"/>
    <n v="4"/>
    <n v="80"/>
    <n v="0"/>
    <n v="0"/>
    <n v="0"/>
    <n v="3"/>
    <n v="0"/>
    <n v="0"/>
    <n v="0"/>
    <n v="0"/>
    <n v="1"/>
    <x v="4"/>
  </r>
  <r>
    <n v="33"/>
    <s v="Yes"/>
    <s v="Travel_Rarely"/>
    <n v="603"/>
    <x v="0"/>
    <n v="9"/>
    <n v="4"/>
    <x v="3"/>
    <n v="1"/>
    <x v="829"/>
    <n v="1"/>
    <s v="Female"/>
    <n v="77"/>
    <n v="3"/>
    <x v="0"/>
    <x v="0"/>
    <n v="1"/>
    <s v="Single"/>
    <n v="8224"/>
    <n v="18385"/>
    <n v="0"/>
    <s v="Y"/>
    <x v="0"/>
    <n v="17"/>
    <n v="3"/>
    <n v="1"/>
    <n v="80"/>
    <n v="0"/>
    <n v="6"/>
    <n v="3"/>
    <n v="3"/>
    <n v="5"/>
    <n v="2"/>
    <n v="0"/>
    <n v="3"/>
    <n v="1"/>
    <x v="2"/>
  </r>
  <r>
    <n v="41"/>
    <s v="No"/>
    <s v="Travel_Rarely"/>
    <n v="167"/>
    <x v="1"/>
    <n v="12"/>
    <n v="4"/>
    <x v="0"/>
    <n v="1"/>
    <x v="830"/>
    <n v="2"/>
    <s v="Male"/>
    <n v="46"/>
    <n v="3"/>
    <x v="1"/>
    <x v="2"/>
    <n v="4"/>
    <s v="Married"/>
    <n v="4766"/>
    <n v="9051"/>
    <n v="3"/>
    <s v="Y"/>
    <x v="0"/>
    <n v="11"/>
    <n v="3"/>
    <n v="1"/>
    <n v="80"/>
    <n v="1"/>
    <n v="6"/>
    <n v="4"/>
    <n v="3"/>
    <n v="1"/>
    <n v="0"/>
    <n v="0"/>
    <n v="0"/>
    <n v="0"/>
    <x v="0"/>
  </r>
  <r>
    <n v="31"/>
    <s v="Yes"/>
    <s v="Travel_Frequently"/>
    <n v="874"/>
    <x v="1"/>
    <n v="15"/>
    <n v="3"/>
    <x v="2"/>
    <n v="1"/>
    <x v="831"/>
    <n v="3"/>
    <s v="Male"/>
    <n v="72"/>
    <n v="3"/>
    <x v="1"/>
    <x v="2"/>
    <n v="3"/>
    <s v="Married"/>
    <n v="2610"/>
    <n v="6233"/>
    <n v="1"/>
    <s v="Y"/>
    <x v="1"/>
    <n v="12"/>
    <n v="3"/>
    <n v="3"/>
    <n v="80"/>
    <n v="1"/>
    <n v="2"/>
    <n v="5"/>
    <n v="2"/>
    <n v="2"/>
    <n v="2"/>
    <n v="2"/>
    <n v="2"/>
    <n v="1"/>
    <x v="2"/>
  </r>
  <r>
    <n v="37"/>
    <s v="No"/>
    <s v="Travel_Rarely"/>
    <n v="367"/>
    <x v="1"/>
    <n v="25"/>
    <n v="2"/>
    <x v="2"/>
    <n v="1"/>
    <x v="832"/>
    <n v="3"/>
    <s v="Female"/>
    <n v="52"/>
    <n v="2"/>
    <x v="0"/>
    <x v="4"/>
    <n v="4"/>
    <s v="Divorced"/>
    <n v="5731"/>
    <n v="17171"/>
    <n v="7"/>
    <s v="Y"/>
    <x v="1"/>
    <n v="13"/>
    <n v="3"/>
    <n v="3"/>
    <n v="80"/>
    <n v="2"/>
    <n v="9"/>
    <n v="2"/>
    <n v="3"/>
    <n v="6"/>
    <n v="2"/>
    <n v="1"/>
    <n v="3"/>
    <n v="0"/>
    <x v="0"/>
  </r>
  <r>
    <n v="27"/>
    <s v="No"/>
    <s v="Travel_Rarely"/>
    <n v="199"/>
    <x v="1"/>
    <n v="6"/>
    <n v="3"/>
    <x v="0"/>
    <n v="1"/>
    <x v="833"/>
    <n v="4"/>
    <s v="Male"/>
    <n v="55"/>
    <n v="2"/>
    <x v="1"/>
    <x v="1"/>
    <n v="3"/>
    <s v="Married"/>
    <n v="2539"/>
    <n v="7950"/>
    <n v="1"/>
    <s v="Y"/>
    <x v="1"/>
    <n v="13"/>
    <n v="3"/>
    <n v="3"/>
    <n v="80"/>
    <n v="1"/>
    <n v="4"/>
    <n v="0"/>
    <n v="3"/>
    <n v="4"/>
    <n v="2"/>
    <n v="2"/>
    <n v="2"/>
    <n v="0"/>
    <x v="2"/>
  </r>
  <r>
    <n v="34"/>
    <s v="No"/>
    <s v="Travel_Rarely"/>
    <n v="1400"/>
    <x v="0"/>
    <n v="9"/>
    <n v="1"/>
    <x v="0"/>
    <n v="1"/>
    <x v="834"/>
    <n v="2"/>
    <s v="Female"/>
    <n v="70"/>
    <n v="3"/>
    <x v="0"/>
    <x v="0"/>
    <n v="3"/>
    <s v="Married"/>
    <n v="5714"/>
    <n v="5829"/>
    <n v="1"/>
    <s v="Y"/>
    <x v="1"/>
    <n v="20"/>
    <n v="4"/>
    <n v="1"/>
    <n v="80"/>
    <n v="0"/>
    <n v="6"/>
    <n v="3"/>
    <n v="2"/>
    <n v="6"/>
    <n v="5"/>
    <n v="1"/>
    <n v="3"/>
    <n v="0"/>
    <x v="2"/>
  </r>
  <r>
    <n v="35"/>
    <s v="No"/>
    <s v="Travel_Rarely"/>
    <n v="528"/>
    <x v="2"/>
    <n v="8"/>
    <n v="4"/>
    <x v="4"/>
    <n v="1"/>
    <x v="835"/>
    <n v="3"/>
    <s v="Male"/>
    <n v="100"/>
    <n v="3"/>
    <x v="1"/>
    <x v="8"/>
    <n v="3"/>
    <s v="Single"/>
    <n v="4323"/>
    <n v="7108"/>
    <n v="1"/>
    <s v="Y"/>
    <x v="1"/>
    <n v="17"/>
    <n v="3"/>
    <n v="2"/>
    <n v="80"/>
    <n v="0"/>
    <n v="6"/>
    <n v="2"/>
    <n v="1"/>
    <n v="5"/>
    <n v="4"/>
    <n v="1"/>
    <n v="4"/>
    <n v="0"/>
    <x v="2"/>
  </r>
  <r>
    <n v="29"/>
    <s v="Yes"/>
    <s v="Travel_Rarely"/>
    <n v="408"/>
    <x v="0"/>
    <n v="23"/>
    <n v="1"/>
    <x v="0"/>
    <n v="1"/>
    <x v="836"/>
    <n v="4"/>
    <s v="Female"/>
    <n v="45"/>
    <n v="2"/>
    <x v="2"/>
    <x v="0"/>
    <n v="1"/>
    <s v="Married"/>
    <n v="7336"/>
    <n v="11162"/>
    <n v="1"/>
    <s v="Y"/>
    <x v="1"/>
    <n v="13"/>
    <n v="3"/>
    <n v="1"/>
    <n v="80"/>
    <n v="1"/>
    <n v="11"/>
    <n v="3"/>
    <n v="1"/>
    <n v="11"/>
    <n v="8"/>
    <n v="3"/>
    <n v="10"/>
    <n v="1"/>
    <x v="2"/>
  </r>
  <r>
    <n v="40"/>
    <s v="No"/>
    <s v="Travel_Frequently"/>
    <n v="593"/>
    <x v="1"/>
    <n v="9"/>
    <n v="4"/>
    <x v="2"/>
    <n v="1"/>
    <x v="837"/>
    <n v="2"/>
    <s v="Female"/>
    <n v="88"/>
    <n v="3"/>
    <x v="2"/>
    <x v="7"/>
    <n v="3"/>
    <s v="Single"/>
    <n v="13499"/>
    <n v="13782"/>
    <n v="9"/>
    <s v="Y"/>
    <x v="1"/>
    <n v="17"/>
    <n v="3"/>
    <n v="3"/>
    <n v="80"/>
    <n v="0"/>
    <n v="20"/>
    <n v="3"/>
    <n v="2"/>
    <n v="18"/>
    <n v="7"/>
    <n v="2"/>
    <n v="13"/>
    <n v="0"/>
    <x v="0"/>
  </r>
  <r>
    <n v="42"/>
    <s v="Yes"/>
    <s v="Travel_Frequently"/>
    <n v="481"/>
    <x v="0"/>
    <n v="12"/>
    <n v="3"/>
    <x v="0"/>
    <n v="1"/>
    <x v="838"/>
    <n v="3"/>
    <s v="Male"/>
    <n v="44"/>
    <n v="3"/>
    <x v="3"/>
    <x v="0"/>
    <n v="1"/>
    <s v="Single"/>
    <n v="13758"/>
    <n v="2447"/>
    <n v="0"/>
    <s v="Y"/>
    <x v="0"/>
    <n v="12"/>
    <n v="3"/>
    <n v="2"/>
    <n v="80"/>
    <n v="0"/>
    <n v="22"/>
    <n v="2"/>
    <n v="2"/>
    <n v="21"/>
    <n v="9"/>
    <n v="13"/>
    <n v="14"/>
    <n v="1"/>
    <x v="0"/>
  </r>
  <r>
    <n v="42"/>
    <s v="No"/>
    <s v="Travel_Rarely"/>
    <n v="647"/>
    <x v="0"/>
    <n v="4"/>
    <n v="4"/>
    <x v="3"/>
    <n v="1"/>
    <x v="839"/>
    <n v="2"/>
    <s v="Male"/>
    <n v="45"/>
    <n v="3"/>
    <x v="0"/>
    <x v="0"/>
    <n v="1"/>
    <s v="Single"/>
    <n v="5155"/>
    <n v="2253"/>
    <n v="7"/>
    <s v="Y"/>
    <x v="1"/>
    <n v="13"/>
    <n v="3"/>
    <n v="4"/>
    <n v="80"/>
    <n v="0"/>
    <n v="9"/>
    <n v="3"/>
    <n v="4"/>
    <n v="6"/>
    <n v="4"/>
    <n v="1"/>
    <n v="5"/>
    <n v="0"/>
    <x v="0"/>
  </r>
  <r>
    <n v="35"/>
    <s v="No"/>
    <s v="Travel_Rarely"/>
    <n v="982"/>
    <x v="1"/>
    <n v="1"/>
    <n v="4"/>
    <x v="2"/>
    <n v="1"/>
    <x v="840"/>
    <n v="4"/>
    <s v="Male"/>
    <n v="58"/>
    <n v="2"/>
    <x v="1"/>
    <x v="2"/>
    <n v="3"/>
    <s v="Married"/>
    <n v="2258"/>
    <n v="16340"/>
    <n v="6"/>
    <s v="Y"/>
    <x v="1"/>
    <n v="12"/>
    <n v="3"/>
    <n v="2"/>
    <n v="80"/>
    <n v="1"/>
    <n v="10"/>
    <n v="2"/>
    <n v="3"/>
    <n v="8"/>
    <n v="0"/>
    <n v="1"/>
    <n v="7"/>
    <n v="0"/>
    <x v="2"/>
  </r>
  <r>
    <n v="24"/>
    <s v="No"/>
    <s v="Travel_Rarely"/>
    <n v="477"/>
    <x v="1"/>
    <n v="24"/>
    <n v="3"/>
    <x v="2"/>
    <n v="1"/>
    <x v="841"/>
    <n v="4"/>
    <s v="Male"/>
    <n v="49"/>
    <n v="3"/>
    <x v="1"/>
    <x v="2"/>
    <n v="2"/>
    <s v="Single"/>
    <n v="3597"/>
    <n v="6409"/>
    <n v="8"/>
    <s v="Y"/>
    <x v="1"/>
    <n v="22"/>
    <n v="4"/>
    <n v="4"/>
    <n v="80"/>
    <n v="0"/>
    <n v="6"/>
    <n v="2"/>
    <n v="3"/>
    <n v="4"/>
    <n v="3"/>
    <n v="1"/>
    <n v="2"/>
    <n v="0"/>
    <x v="4"/>
  </r>
  <r>
    <n v="28"/>
    <s v="Yes"/>
    <s v="Travel_Rarely"/>
    <n v="1485"/>
    <x v="1"/>
    <n v="12"/>
    <n v="1"/>
    <x v="0"/>
    <n v="1"/>
    <x v="842"/>
    <n v="3"/>
    <s v="Female"/>
    <n v="79"/>
    <n v="3"/>
    <x v="1"/>
    <x v="2"/>
    <n v="4"/>
    <s v="Married"/>
    <n v="2515"/>
    <n v="22955"/>
    <n v="1"/>
    <s v="Y"/>
    <x v="0"/>
    <n v="11"/>
    <n v="3"/>
    <n v="4"/>
    <n v="80"/>
    <n v="0"/>
    <n v="1"/>
    <n v="4"/>
    <n v="2"/>
    <n v="1"/>
    <n v="1"/>
    <n v="0"/>
    <n v="0"/>
    <n v="1"/>
    <x v="2"/>
  </r>
  <r>
    <n v="26"/>
    <s v="No"/>
    <s v="Travel_Rarely"/>
    <n v="1384"/>
    <x v="1"/>
    <n v="3"/>
    <n v="4"/>
    <x v="2"/>
    <n v="1"/>
    <x v="843"/>
    <n v="1"/>
    <s v="Male"/>
    <n v="82"/>
    <n v="4"/>
    <x v="1"/>
    <x v="2"/>
    <n v="4"/>
    <s v="Married"/>
    <n v="4420"/>
    <n v="13421"/>
    <n v="1"/>
    <s v="Y"/>
    <x v="1"/>
    <n v="22"/>
    <n v="4"/>
    <n v="2"/>
    <n v="80"/>
    <n v="1"/>
    <n v="8"/>
    <n v="2"/>
    <n v="3"/>
    <n v="8"/>
    <n v="7"/>
    <n v="0"/>
    <n v="7"/>
    <n v="0"/>
    <x v="2"/>
  </r>
  <r>
    <n v="30"/>
    <s v="No"/>
    <s v="Travel_Rarely"/>
    <n v="852"/>
    <x v="0"/>
    <n v="10"/>
    <n v="3"/>
    <x v="3"/>
    <n v="1"/>
    <x v="844"/>
    <n v="3"/>
    <s v="Male"/>
    <n v="72"/>
    <n v="2"/>
    <x v="0"/>
    <x v="0"/>
    <n v="3"/>
    <s v="Married"/>
    <n v="6578"/>
    <n v="2706"/>
    <n v="1"/>
    <s v="Y"/>
    <x v="1"/>
    <n v="18"/>
    <n v="3"/>
    <n v="1"/>
    <n v="80"/>
    <n v="1"/>
    <n v="10"/>
    <n v="3"/>
    <n v="3"/>
    <n v="10"/>
    <n v="3"/>
    <n v="1"/>
    <n v="4"/>
    <n v="0"/>
    <x v="2"/>
  </r>
  <r>
    <n v="40"/>
    <s v="No"/>
    <s v="Travel_Frequently"/>
    <n v="902"/>
    <x v="1"/>
    <n v="26"/>
    <n v="2"/>
    <x v="2"/>
    <n v="1"/>
    <x v="845"/>
    <n v="3"/>
    <s v="Female"/>
    <n v="92"/>
    <n v="2"/>
    <x v="0"/>
    <x v="1"/>
    <n v="4"/>
    <s v="Married"/>
    <n v="4422"/>
    <n v="21203"/>
    <n v="3"/>
    <s v="Y"/>
    <x v="0"/>
    <n v="13"/>
    <n v="3"/>
    <n v="4"/>
    <n v="80"/>
    <n v="1"/>
    <n v="16"/>
    <n v="3"/>
    <n v="1"/>
    <n v="1"/>
    <n v="1"/>
    <n v="0"/>
    <n v="0"/>
    <n v="0"/>
    <x v="0"/>
  </r>
  <r>
    <n v="35"/>
    <s v="No"/>
    <s v="Travel_Rarely"/>
    <n v="819"/>
    <x v="1"/>
    <n v="2"/>
    <n v="3"/>
    <x v="0"/>
    <n v="1"/>
    <x v="846"/>
    <n v="3"/>
    <s v="Male"/>
    <n v="44"/>
    <n v="2"/>
    <x v="2"/>
    <x v="3"/>
    <n v="2"/>
    <s v="Divorced"/>
    <n v="10274"/>
    <n v="19588"/>
    <n v="2"/>
    <s v="Y"/>
    <x v="1"/>
    <n v="18"/>
    <n v="3"/>
    <n v="2"/>
    <n v="80"/>
    <n v="1"/>
    <n v="15"/>
    <n v="2"/>
    <n v="4"/>
    <n v="7"/>
    <n v="7"/>
    <n v="6"/>
    <n v="4"/>
    <n v="0"/>
    <x v="2"/>
  </r>
  <r>
    <n v="34"/>
    <s v="No"/>
    <s v="Travel_Frequently"/>
    <n v="669"/>
    <x v="1"/>
    <n v="1"/>
    <n v="3"/>
    <x v="2"/>
    <n v="1"/>
    <x v="847"/>
    <n v="4"/>
    <s v="Male"/>
    <n v="97"/>
    <n v="2"/>
    <x v="0"/>
    <x v="4"/>
    <n v="1"/>
    <s v="Single"/>
    <n v="5343"/>
    <n v="25755"/>
    <n v="0"/>
    <s v="Y"/>
    <x v="1"/>
    <n v="20"/>
    <n v="4"/>
    <n v="3"/>
    <n v="80"/>
    <n v="0"/>
    <n v="14"/>
    <n v="3"/>
    <n v="3"/>
    <n v="13"/>
    <n v="9"/>
    <n v="4"/>
    <n v="9"/>
    <n v="0"/>
    <x v="2"/>
  </r>
  <r>
    <n v="35"/>
    <s v="No"/>
    <s v="Travel_Frequently"/>
    <n v="636"/>
    <x v="1"/>
    <n v="4"/>
    <n v="4"/>
    <x v="1"/>
    <n v="1"/>
    <x v="848"/>
    <n v="4"/>
    <s v="Male"/>
    <n v="47"/>
    <n v="2"/>
    <x v="1"/>
    <x v="2"/>
    <n v="4"/>
    <s v="Married"/>
    <n v="2376"/>
    <n v="26537"/>
    <n v="1"/>
    <s v="Y"/>
    <x v="1"/>
    <n v="13"/>
    <n v="3"/>
    <n v="2"/>
    <n v="80"/>
    <n v="1"/>
    <n v="2"/>
    <n v="2"/>
    <n v="4"/>
    <n v="2"/>
    <n v="2"/>
    <n v="2"/>
    <n v="2"/>
    <n v="0"/>
    <x v="2"/>
  </r>
  <r>
    <n v="43"/>
    <s v="Yes"/>
    <s v="Travel_Rarely"/>
    <n v="1372"/>
    <x v="0"/>
    <n v="9"/>
    <n v="3"/>
    <x v="3"/>
    <n v="1"/>
    <x v="849"/>
    <n v="1"/>
    <s v="Female"/>
    <n v="85"/>
    <n v="1"/>
    <x v="0"/>
    <x v="0"/>
    <n v="3"/>
    <s v="Single"/>
    <n v="5346"/>
    <n v="9489"/>
    <n v="8"/>
    <s v="Y"/>
    <x v="1"/>
    <n v="13"/>
    <n v="3"/>
    <n v="2"/>
    <n v="80"/>
    <n v="0"/>
    <n v="7"/>
    <n v="2"/>
    <n v="2"/>
    <n v="4"/>
    <n v="3"/>
    <n v="1"/>
    <n v="3"/>
    <n v="1"/>
    <x v="0"/>
  </r>
  <r>
    <n v="32"/>
    <s v="No"/>
    <s v="Non-Travel"/>
    <n v="862"/>
    <x v="0"/>
    <n v="2"/>
    <n v="1"/>
    <x v="0"/>
    <n v="1"/>
    <x v="850"/>
    <n v="3"/>
    <s v="Female"/>
    <n v="76"/>
    <n v="3"/>
    <x v="1"/>
    <x v="6"/>
    <n v="1"/>
    <s v="Divorced"/>
    <n v="2827"/>
    <n v="14947"/>
    <n v="1"/>
    <s v="Y"/>
    <x v="1"/>
    <n v="12"/>
    <n v="3"/>
    <n v="3"/>
    <n v="80"/>
    <n v="3"/>
    <n v="1"/>
    <n v="3"/>
    <n v="3"/>
    <n v="1"/>
    <n v="0"/>
    <n v="0"/>
    <n v="0"/>
    <n v="0"/>
    <x v="2"/>
  </r>
  <r>
    <n v="56"/>
    <s v="No"/>
    <s v="Travel_Rarely"/>
    <n v="718"/>
    <x v="1"/>
    <n v="4"/>
    <n v="4"/>
    <x v="4"/>
    <n v="1"/>
    <x v="851"/>
    <n v="4"/>
    <s v="Female"/>
    <n v="92"/>
    <n v="3"/>
    <x v="4"/>
    <x v="5"/>
    <n v="1"/>
    <s v="Divorced"/>
    <n v="19943"/>
    <n v="18575"/>
    <n v="4"/>
    <s v="Y"/>
    <x v="1"/>
    <n v="13"/>
    <n v="3"/>
    <n v="4"/>
    <n v="80"/>
    <n v="1"/>
    <n v="28"/>
    <n v="2"/>
    <n v="3"/>
    <n v="5"/>
    <n v="2"/>
    <n v="4"/>
    <n v="2"/>
    <n v="0"/>
    <x v="3"/>
  </r>
  <r>
    <n v="29"/>
    <s v="No"/>
    <s v="Travel_Rarely"/>
    <n v="1401"/>
    <x v="1"/>
    <n v="6"/>
    <n v="1"/>
    <x v="2"/>
    <n v="1"/>
    <x v="852"/>
    <n v="2"/>
    <s v="Female"/>
    <n v="54"/>
    <n v="3"/>
    <x v="1"/>
    <x v="2"/>
    <n v="4"/>
    <s v="Married"/>
    <n v="3131"/>
    <n v="26342"/>
    <n v="1"/>
    <s v="Y"/>
    <x v="1"/>
    <n v="13"/>
    <n v="3"/>
    <n v="1"/>
    <n v="80"/>
    <n v="1"/>
    <n v="10"/>
    <n v="5"/>
    <n v="3"/>
    <n v="10"/>
    <n v="8"/>
    <n v="0"/>
    <n v="8"/>
    <n v="0"/>
    <x v="2"/>
  </r>
  <r>
    <n v="19"/>
    <s v="No"/>
    <s v="Travel_Rarely"/>
    <n v="645"/>
    <x v="1"/>
    <n v="9"/>
    <n v="2"/>
    <x v="0"/>
    <n v="1"/>
    <x v="853"/>
    <n v="3"/>
    <s v="Male"/>
    <n v="54"/>
    <n v="3"/>
    <x v="1"/>
    <x v="1"/>
    <n v="1"/>
    <s v="Single"/>
    <n v="2552"/>
    <n v="7172"/>
    <n v="1"/>
    <s v="Y"/>
    <x v="1"/>
    <n v="25"/>
    <n v="4"/>
    <n v="3"/>
    <n v="80"/>
    <n v="0"/>
    <n v="1"/>
    <n v="4"/>
    <n v="3"/>
    <n v="1"/>
    <n v="1"/>
    <n v="0"/>
    <n v="0"/>
    <n v="0"/>
    <x v="4"/>
  </r>
  <r>
    <n v="45"/>
    <s v="No"/>
    <s v="Travel_Rarely"/>
    <n v="1457"/>
    <x v="1"/>
    <n v="7"/>
    <n v="3"/>
    <x v="2"/>
    <n v="1"/>
    <x v="854"/>
    <n v="1"/>
    <s v="Female"/>
    <n v="83"/>
    <n v="3"/>
    <x v="1"/>
    <x v="1"/>
    <n v="3"/>
    <s v="Married"/>
    <n v="4477"/>
    <n v="20100"/>
    <n v="4"/>
    <s v="Y"/>
    <x v="0"/>
    <n v="19"/>
    <n v="3"/>
    <n v="3"/>
    <n v="80"/>
    <n v="1"/>
    <n v="7"/>
    <n v="2"/>
    <n v="2"/>
    <n v="3"/>
    <n v="2"/>
    <n v="0"/>
    <n v="2"/>
    <n v="0"/>
    <x v="0"/>
  </r>
  <r>
    <n v="37"/>
    <s v="No"/>
    <s v="Travel_Rarely"/>
    <n v="977"/>
    <x v="1"/>
    <n v="1"/>
    <n v="3"/>
    <x v="0"/>
    <n v="1"/>
    <x v="855"/>
    <n v="4"/>
    <s v="Female"/>
    <n v="56"/>
    <n v="2"/>
    <x v="0"/>
    <x v="3"/>
    <n v="4"/>
    <s v="Married"/>
    <n v="6474"/>
    <n v="9961"/>
    <n v="1"/>
    <s v="Y"/>
    <x v="1"/>
    <n v="13"/>
    <n v="3"/>
    <n v="2"/>
    <n v="80"/>
    <n v="1"/>
    <n v="14"/>
    <n v="2"/>
    <n v="2"/>
    <n v="14"/>
    <n v="8"/>
    <n v="3"/>
    <n v="11"/>
    <n v="0"/>
    <x v="0"/>
  </r>
  <r>
    <n v="20"/>
    <s v="No"/>
    <s v="Travel_Rarely"/>
    <n v="805"/>
    <x v="1"/>
    <n v="3"/>
    <n v="3"/>
    <x v="0"/>
    <n v="1"/>
    <x v="856"/>
    <n v="1"/>
    <s v="Male"/>
    <n v="87"/>
    <n v="2"/>
    <x v="1"/>
    <x v="2"/>
    <n v="3"/>
    <s v="Single"/>
    <n v="3033"/>
    <n v="12828"/>
    <n v="1"/>
    <s v="Y"/>
    <x v="1"/>
    <n v="12"/>
    <n v="3"/>
    <n v="1"/>
    <n v="80"/>
    <n v="0"/>
    <n v="2"/>
    <n v="2"/>
    <n v="2"/>
    <n v="2"/>
    <n v="2"/>
    <n v="1"/>
    <n v="2"/>
    <n v="0"/>
    <x v="4"/>
  </r>
  <r>
    <n v="44"/>
    <s v="Yes"/>
    <s v="Travel_Rarely"/>
    <n v="1097"/>
    <x v="1"/>
    <n v="10"/>
    <n v="4"/>
    <x v="0"/>
    <n v="1"/>
    <x v="857"/>
    <n v="3"/>
    <s v="Male"/>
    <n v="96"/>
    <n v="3"/>
    <x v="1"/>
    <x v="1"/>
    <n v="3"/>
    <s v="Single"/>
    <n v="2936"/>
    <n v="10826"/>
    <n v="1"/>
    <s v="Y"/>
    <x v="0"/>
    <n v="11"/>
    <n v="3"/>
    <n v="3"/>
    <n v="80"/>
    <n v="0"/>
    <n v="6"/>
    <n v="4"/>
    <n v="3"/>
    <n v="6"/>
    <n v="4"/>
    <n v="0"/>
    <n v="2"/>
    <n v="1"/>
    <x v="0"/>
  </r>
  <r>
    <n v="53"/>
    <s v="No"/>
    <s v="Travel_Rarely"/>
    <n v="1223"/>
    <x v="1"/>
    <n v="7"/>
    <n v="2"/>
    <x v="2"/>
    <n v="1"/>
    <x v="858"/>
    <n v="4"/>
    <s v="Female"/>
    <n v="50"/>
    <n v="3"/>
    <x v="4"/>
    <x v="5"/>
    <n v="3"/>
    <s v="Divorced"/>
    <n v="18606"/>
    <n v="18640"/>
    <n v="3"/>
    <s v="Y"/>
    <x v="1"/>
    <n v="18"/>
    <n v="3"/>
    <n v="2"/>
    <n v="80"/>
    <n v="1"/>
    <n v="26"/>
    <n v="6"/>
    <n v="3"/>
    <n v="7"/>
    <n v="7"/>
    <n v="4"/>
    <n v="7"/>
    <n v="0"/>
    <x v="1"/>
  </r>
  <r>
    <n v="29"/>
    <s v="No"/>
    <s v="Travel_Rarely"/>
    <n v="942"/>
    <x v="1"/>
    <n v="15"/>
    <n v="1"/>
    <x v="0"/>
    <n v="1"/>
    <x v="859"/>
    <n v="2"/>
    <s v="Female"/>
    <n v="69"/>
    <n v="1"/>
    <x v="1"/>
    <x v="1"/>
    <n v="4"/>
    <s v="Married"/>
    <n v="2168"/>
    <n v="26933"/>
    <n v="0"/>
    <s v="Y"/>
    <x v="0"/>
    <n v="18"/>
    <n v="3"/>
    <n v="1"/>
    <n v="80"/>
    <n v="1"/>
    <n v="6"/>
    <n v="2"/>
    <n v="2"/>
    <n v="5"/>
    <n v="4"/>
    <n v="1"/>
    <n v="3"/>
    <n v="0"/>
    <x v="2"/>
  </r>
  <r>
    <n v="22"/>
    <s v="Yes"/>
    <s v="Travel_Frequently"/>
    <n v="1256"/>
    <x v="1"/>
    <n v="3"/>
    <n v="4"/>
    <x v="0"/>
    <n v="1"/>
    <x v="860"/>
    <n v="3"/>
    <s v="Male"/>
    <n v="48"/>
    <n v="2"/>
    <x v="1"/>
    <x v="1"/>
    <n v="4"/>
    <s v="Married"/>
    <n v="2853"/>
    <n v="4223"/>
    <n v="0"/>
    <s v="Y"/>
    <x v="0"/>
    <n v="11"/>
    <n v="3"/>
    <n v="2"/>
    <n v="80"/>
    <n v="1"/>
    <n v="1"/>
    <n v="5"/>
    <n v="3"/>
    <n v="0"/>
    <n v="0"/>
    <n v="0"/>
    <n v="0"/>
    <n v="1"/>
    <x v="4"/>
  </r>
  <r>
    <n v="46"/>
    <s v="No"/>
    <s v="Travel_Rarely"/>
    <n v="1402"/>
    <x v="0"/>
    <n v="2"/>
    <n v="3"/>
    <x v="3"/>
    <n v="1"/>
    <x v="861"/>
    <n v="3"/>
    <s v="Female"/>
    <n v="69"/>
    <n v="3"/>
    <x v="3"/>
    <x v="5"/>
    <n v="1"/>
    <s v="Married"/>
    <n v="17048"/>
    <n v="24097"/>
    <n v="8"/>
    <s v="Y"/>
    <x v="1"/>
    <n v="23"/>
    <n v="4"/>
    <n v="1"/>
    <n v="80"/>
    <n v="0"/>
    <n v="28"/>
    <n v="2"/>
    <n v="3"/>
    <n v="26"/>
    <n v="15"/>
    <n v="15"/>
    <n v="9"/>
    <n v="0"/>
    <x v="1"/>
  </r>
  <r>
    <n v="44"/>
    <s v="No"/>
    <s v="Non-Travel"/>
    <n v="111"/>
    <x v="1"/>
    <n v="17"/>
    <n v="3"/>
    <x v="0"/>
    <n v="1"/>
    <x v="862"/>
    <n v="4"/>
    <s v="Male"/>
    <n v="74"/>
    <n v="1"/>
    <x v="1"/>
    <x v="1"/>
    <n v="3"/>
    <s v="Single"/>
    <n v="2290"/>
    <n v="4279"/>
    <n v="2"/>
    <s v="Y"/>
    <x v="1"/>
    <n v="13"/>
    <n v="3"/>
    <n v="4"/>
    <n v="80"/>
    <n v="0"/>
    <n v="6"/>
    <n v="3"/>
    <n v="3"/>
    <n v="0"/>
    <n v="0"/>
    <n v="0"/>
    <n v="0"/>
    <n v="0"/>
    <x v="0"/>
  </r>
  <r>
    <n v="33"/>
    <s v="No"/>
    <s v="Travel_Rarely"/>
    <n v="147"/>
    <x v="2"/>
    <n v="2"/>
    <n v="3"/>
    <x v="5"/>
    <n v="1"/>
    <x v="863"/>
    <n v="2"/>
    <s v="Male"/>
    <n v="99"/>
    <n v="3"/>
    <x v="1"/>
    <x v="8"/>
    <n v="3"/>
    <s v="Married"/>
    <n v="3600"/>
    <n v="8429"/>
    <n v="1"/>
    <s v="Y"/>
    <x v="1"/>
    <n v="13"/>
    <n v="3"/>
    <n v="4"/>
    <n v="80"/>
    <n v="1"/>
    <n v="5"/>
    <n v="2"/>
    <n v="3"/>
    <n v="5"/>
    <n v="4"/>
    <n v="1"/>
    <n v="4"/>
    <n v="0"/>
    <x v="2"/>
  </r>
  <r>
    <n v="41"/>
    <s v="Yes"/>
    <s v="Non-Travel"/>
    <n v="906"/>
    <x v="1"/>
    <n v="5"/>
    <n v="2"/>
    <x v="0"/>
    <n v="1"/>
    <x v="864"/>
    <n v="1"/>
    <s v="Male"/>
    <n v="95"/>
    <n v="2"/>
    <x v="1"/>
    <x v="1"/>
    <n v="1"/>
    <s v="Divorced"/>
    <n v="2107"/>
    <n v="20293"/>
    <n v="6"/>
    <s v="Y"/>
    <x v="1"/>
    <n v="17"/>
    <n v="3"/>
    <n v="1"/>
    <n v="80"/>
    <n v="1"/>
    <n v="5"/>
    <n v="2"/>
    <n v="1"/>
    <n v="1"/>
    <n v="0"/>
    <n v="0"/>
    <n v="0"/>
    <n v="1"/>
    <x v="0"/>
  </r>
  <r>
    <n v="30"/>
    <s v="No"/>
    <s v="Travel_Rarely"/>
    <n v="1329"/>
    <x v="0"/>
    <n v="29"/>
    <n v="4"/>
    <x v="0"/>
    <n v="1"/>
    <x v="865"/>
    <n v="3"/>
    <s v="Male"/>
    <n v="61"/>
    <n v="3"/>
    <x v="0"/>
    <x v="0"/>
    <n v="1"/>
    <s v="Divorced"/>
    <n v="4115"/>
    <n v="13192"/>
    <n v="8"/>
    <s v="Y"/>
    <x v="1"/>
    <n v="19"/>
    <n v="3"/>
    <n v="3"/>
    <n v="80"/>
    <n v="3"/>
    <n v="8"/>
    <n v="3"/>
    <n v="3"/>
    <n v="4"/>
    <n v="3"/>
    <n v="0"/>
    <n v="3"/>
    <n v="0"/>
    <x v="2"/>
  </r>
  <r>
    <n v="40"/>
    <s v="No"/>
    <s v="Travel_Frequently"/>
    <n v="1184"/>
    <x v="0"/>
    <n v="2"/>
    <n v="4"/>
    <x v="2"/>
    <n v="1"/>
    <x v="866"/>
    <n v="2"/>
    <s v="Male"/>
    <n v="62"/>
    <n v="3"/>
    <x v="0"/>
    <x v="0"/>
    <n v="2"/>
    <s v="Married"/>
    <n v="4327"/>
    <n v="25440"/>
    <n v="5"/>
    <s v="Y"/>
    <x v="1"/>
    <n v="12"/>
    <n v="3"/>
    <n v="4"/>
    <n v="80"/>
    <n v="3"/>
    <n v="5"/>
    <n v="2"/>
    <n v="3"/>
    <n v="0"/>
    <n v="0"/>
    <n v="0"/>
    <n v="0"/>
    <n v="0"/>
    <x v="0"/>
  </r>
  <r>
    <n v="50"/>
    <s v="No"/>
    <s v="Travel_Frequently"/>
    <n v="1421"/>
    <x v="1"/>
    <n v="2"/>
    <n v="3"/>
    <x v="2"/>
    <n v="1"/>
    <x v="867"/>
    <n v="4"/>
    <s v="Female"/>
    <n v="30"/>
    <n v="3"/>
    <x v="3"/>
    <x v="5"/>
    <n v="1"/>
    <s v="Married"/>
    <n v="17856"/>
    <n v="9490"/>
    <n v="2"/>
    <s v="Y"/>
    <x v="1"/>
    <n v="22"/>
    <n v="4"/>
    <n v="3"/>
    <n v="80"/>
    <n v="1"/>
    <n v="32"/>
    <n v="3"/>
    <n v="3"/>
    <n v="2"/>
    <n v="2"/>
    <n v="2"/>
    <n v="2"/>
    <n v="0"/>
    <x v="1"/>
  </r>
  <r>
    <n v="28"/>
    <s v="No"/>
    <s v="Travel_Rarely"/>
    <n v="1179"/>
    <x v="1"/>
    <n v="19"/>
    <n v="4"/>
    <x v="2"/>
    <n v="1"/>
    <x v="868"/>
    <n v="4"/>
    <s v="Male"/>
    <n v="78"/>
    <n v="2"/>
    <x v="1"/>
    <x v="2"/>
    <n v="1"/>
    <s v="Married"/>
    <n v="3196"/>
    <n v="12449"/>
    <n v="1"/>
    <s v="Y"/>
    <x v="1"/>
    <n v="12"/>
    <n v="3"/>
    <n v="3"/>
    <n v="80"/>
    <n v="3"/>
    <n v="6"/>
    <n v="2"/>
    <n v="3"/>
    <n v="6"/>
    <n v="5"/>
    <n v="3"/>
    <n v="3"/>
    <n v="0"/>
    <x v="2"/>
  </r>
  <r>
    <n v="46"/>
    <s v="No"/>
    <s v="Travel_Rarely"/>
    <n v="1450"/>
    <x v="1"/>
    <n v="15"/>
    <n v="2"/>
    <x v="0"/>
    <n v="1"/>
    <x v="869"/>
    <n v="4"/>
    <s v="Male"/>
    <n v="52"/>
    <n v="3"/>
    <x v="4"/>
    <x v="7"/>
    <n v="2"/>
    <s v="Married"/>
    <n v="19081"/>
    <n v="10849"/>
    <n v="5"/>
    <s v="Y"/>
    <x v="1"/>
    <n v="11"/>
    <n v="3"/>
    <n v="1"/>
    <n v="80"/>
    <n v="1"/>
    <n v="25"/>
    <n v="2"/>
    <n v="3"/>
    <n v="4"/>
    <n v="2"/>
    <n v="0"/>
    <n v="3"/>
    <n v="0"/>
    <x v="1"/>
  </r>
  <r>
    <n v="35"/>
    <s v="No"/>
    <s v="Travel_Rarely"/>
    <n v="1361"/>
    <x v="0"/>
    <n v="17"/>
    <n v="4"/>
    <x v="0"/>
    <n v="1"/>
    <x v="870"/>
    <n v="3"/>
    <s v="Male"/>
    <n v="94"/>
    <n v="3"/>
    <x v="0"/>
    <x v="0"/>
    <n v="1"/>
    <s v="Married"/>
    <n v="8966"/>
    <n v="21026"/>
    <n v="3"/>
    <s v="Y"/>
    <x v="0"/>
    <n v="15"/>
    <n v="3"/>
    <n v="4"/>
    <n v="80"/>
    <n v="3"/>
    <n v="15"/>
    <n v="2"/>
    <n v="3"/>
    <n v="7"/>
    <n v="7"/>
    <n v="1"/>
    <n v="7"/>
    <n v="0"/>
    <x v="2"/>
  </r>
  <r>
    <n v="24"/>
    <s v="Yes"/>
    <s v="Travel_Rarely"/>
    <n v="984"/>
    <x v="1"/>
    <n v="17"/>
    <n v="2"/>
    <x v="0"/>
    <n v="1"/>
    <x v="871"/>
    <n v="4"/>
    <s v="Female"/>
    <n v="97"/>
    <n v="3"/>
    <x v="1"/>
    <x v="2"/>
    <n v="2"/>
    <s v="Married"/>
    <n v="2210"/>
    <n v="3372"/>
    <n v="1"/>
    <s v="Y"/>
    <x v="1"/>
    <n v="13"/>
    <n v="3"/>
    <n v="1"/>
    <n v="80"/>
    <n v="1"/>
    <n v="1"/>
    <n v="3"/>
    <n v="1"/>
    <n v="1"/>
    <n v="0"/>
    <n v="0"/>
    <n v="0"/>
    <n v="1"/>
    <x v="4"/>
  </r>
  <r>
    <n v="33"/>
    <s v="No"/>
    <s v="Travel_Frequently"/>
    <n v="1146"/>
    <x v="0"/>
    <n v="25"/>
    <n v="3"/>
    <x v="2"/>
    <n v="1"/>
    <x v="872"/>
    <n v="2"/>
    <s v="Female"/>
    <n v="82"/>
    <n v="3"/>
    <x v="0"/>
    <x v="0"/>
    <n v="3"/>
    <s v="Married"/>
    <n v="4539"/>
    <n v="4905"/>
    <n v="1"/>
    <s v="Y"/>
    <x v="1"/>
    <n v="12"/>
    <n v="3"/>
    <n v="1"/>
    <n v="80"/>
    <n v="1"/>
    <n v="10"/>
    <n v="3"/>
    <n v="2"/>
    <n v="10"/>
    <n v="7"/>
    <n v="0"/>
    <n v="1"/>
    <n v="0"/>
    <x v="2"/>
  </r>
  <r>
    <n v="36"/>
    <s v="No"/>
    <s v="Travel_Rarely"/>
    <n v="917"/>
    <x v="1"/>
    <n v="6"/>
    <n v="4"/>
    <x v="0"/>
    <n v="1"/>
    <x v="873"/>
    <n v="3"/>
    <s v="Male"/>
    <n v="60"/>
    <n v="1"/>
    <x v="1"/>
    <x v="2"/>
    <n v="3"/>
    <s v="Divorced"/>
    <n v="2741"/>
    <n v="6865"/>
    <n v="1"/>
    <s v="Y"/>
    <x v="1"/>
    <n v="14"/>
    <n v="3"/>
    <n v="3"/>
    <n v="80"/>
    <n v="1"/>
    <n v="7"/>
    <n v="4"/>
    <n v="3"/>
    <n v="7"/>
    <n v="7"/>
    <n v="1"/>
    <n v="7"/>
    <n v="0"/>
    <x v="0"/>
  </r>
  <r>
    <n v="30"/>
    <s v="No"/>
    <s v="Travel_Rarely"/>
    <n v="853"/>
    <x v="1"/>
    <n v="7"/>
    <n v="4"/>
    <x v="0"/>
    <n v="1"/>
    <x v="874"/>
    <n v="3"/>
    <s v="Male"/>
    <n v="49"/>
    <n v="3"/>
    <x v="0"/>
    <x v="2"/>
    <n v="3"/>
    <s v="Divorced"/>
    <n v="3491"/>
    <n v="11309"/>
    <n v="1"/>
    <s v="Y"/>
    <x v="1"/>
    <n v="13"/>
    <n v="3"/>
    <n v="1"/>
    <n v="80"/>
    <n v="3"/>
    <n v="10"/>
    <n v="4"/>
    <n v="2"/>
    <n v="10"/>
    <n v="7"/>
    <n v="8"/>
    <n v="9"/>
    <n v="0"/>
    <x v="2"/>
  </r>
  <r>
    <n v="44"/>
    <s v="No"/>
    <s v="Travel_Rarely"/>
    <n v="200"/>
    <x v="1"/>
    <n v="29"/>
    <n v="4"/>
    <x v="1"/>
    <n v="1"/>
    <x v="875"/>
    <n v="4"/>
    <s v="Male"/>
    <n v="32"/>
    <n v="3"/>
    <x v="0"/>
    <x v="1"/>
    <n v="4"/>
    <s v="Single"/>
    <n v="4541"/>
    <n v="7744"/>
    <n v="1"/>
    <s v="Y"/>
    <x v="1"/>
    <n v="25"/>
    <n v="4"/>
    <n v="2"/>
    <n v="80"/>
    <n v="0"/>
    <n v="20"/>
    <n v="3"/>
    <n v="3"/>
    <n v="20"/>
    <n v="11"/>
    <n v="13"/>
    <n v="17"/>
    <n v="0"/>
    <x v="0"/>
  </r>
  <r>
    <n v="20"/>
    <s v="No"/>
    <s v="Travel_Rarely"/>
    <n v="654"/>
    <x v="0"/>
    <n v="21"/>
    <n v="3"/>
    <x v="3"/>
    <n v="1"/>
    <x v="876"/>
    <n v="3"/>
    <s v="Male"/>
    <n v="43"/>
    <n v="4"/>
    <x v="1"/>
    <x v="6"/>
    <n v="4"/>
    <s v="Single"/>
    <n v="2678"/>
    <n v="5050"/>
    <n v="1"/>
    <s v="Y"/>
    <x v="1"/>
    <n v="17"/>
    <n v="3"/>
    <n v="4"/>
    <n v="80"/>
    <n v="0"/>
    <n v="2"/>
    <n v="2"/>
    <n v="3"/>
    <n v="2"/>
    <n v="1"/>
    <n v="2"/>
    <n v="2"/>
    <n v="0"/>
    <x v="4"/>
  </r>
  <r>
    <n v="46"/>
    <s v="No"/>
    <s v="Travel_Rarely"/>
    <n v="150"/>
    <x v="1"/>
    <n v="2"/>
    <n v="4"/>
    <x v="4"/>
    <n v="1"/>
    <x v="877"/>
    <n v="4"/>
    <s v="Male"/>
    <n v="60"/>
    <n v="3"/>
    <x v="0"/>
    <x v="3"/>
    <n v="4"/>
    <s v="Divorced"/>
    <n v="7379"/>
    <n v="17433"/>
    <n v="2"/>
    <s v="Y"/>
    <x v="1"/>
    <n v="11"/>
    <n v="3"/>
    <n v="3"/>
    <n v="80"/>
    <n v="1"/>
    <n v="12"/>
    <n v="3"/>
    <n v="2"/>
    <n v="6"/>
    <n v="3"/>
    <n v="1"/>
    <n v="4"/>
    <n v="0"/>
    <x v="1"/>
  </r>
  <r>
    <n v="42"/>
    <s v="No"/>
    <s v="Non-Travel"/>
    <n v="179"/>
    <x v="2"/>
    <n v="2"/>
    <n v="5"/>
    <x v="2"/>
    <n v="1"/>
    <x v="878"/>
    <n v="4"/>
    <s v="Male"/>
    <n v="79"/>
    <n v="4"/>
    <x v="0"/>
    <x v="8"/>
    <n v="1"/>
    <s v="Married"/>
    <n v="6272"/>
    <n v="12858"/>
    <n v="7"/>
    <s v="Y"/>
    <x v="1"/>
    <n v="16"/>
    <n v="3"/>
    <n v="1"/>
    <n v="80"/>
    <n v="1"/>
    <n v="10"/>
    <n v="3"/>
    <n v="4"/>
    <n v="4"/>
    <n v="3"/>
    <n v="0"/>
    <n v="3"/>
    <n v="0"/>
    <x v="0"/>
  </r>
  <r>
    <n v="60"/>
    <s v="No"/>
    <s v="Travel_Rarely"/>
    <n v="696"/>
    <x v="0"/>
    <n v="7"/>
    <n v="4"/>
    <x v="3"/>
    <n v="1"/>
    <x v="879"/>
    <n v="2"/>
    <s v="Male"/>
    <n v="52"/>
    <n v="4"/>
    <x v="0"/>
    <x v="0"/>
    <n v="4"/>
    <s v="Divorced"/>
    <n v="5220"/>
    <n v="10893"/>
    <n v="0"/>
    <s v="Y"/>
    <x v="0"/>
    <n v="18"/>
    <n v="3"/>
    <n v="2"/>
    <n v="80"/>
    <n v="1"/>
    <n v="12"/>
    <n v="3"/>
    <n v="3"/>
    <n v="11"/>
    <n v="7"/>
    <n v="1"/>
    <n v="9"/>
    <n v="0"/>
    <x v="3"/>
  </r>
  <r>
    <n v="32"/>
    <s v="No"/>
    <s v="Travel_Frequently"/>
    <n v="116"/>
    <x v="1"/>
    <n v="13"/>
    <n v="3"/>
    <x v="1"/>
    <n v="1"/>
    <x v="880"/>
    <n v="3"/>
    <s v="Female"/>
    <n v="77"/>
    <n v="2"/>
    <x v="1"/>
    <x v="2"/>
    <n v="2"/>
    <s v="Married"/>
    <n v="2743"/>
    <n v="7331"/>
    <n v="1"/>
    <s v="Y"/>
    <x v="1"/>
    <n v="20"/>
    <n v="4"/>
    <n v="3"/>
    <n v="80"/>
    <n v="1"/>
    <n v="2"/>
    <n v="2"/>
    <n v="3"/>
    <n v="2"/>
    <n v="2"/>
    <n v="2"/>
    <n v="2"/>
    <n v="0"/>
    <x v="2"/>
  </r>
  <r>
    <n v="32"/>
    <s v="No"/>
    <s v="Travel_Frequently"/>
    <n v="1316"/>
    <x v="1"/>
    <n v="2"/>
    <n v="2"/>
    <x v="0"/>
    <n v="1"/>
    <x v="881"/>
    <n v="4"/>
    <s v="Female"/>
    <n v="38"/>
    <n v="3"/>
    <x v="0"/>
    <x v="1"/>
    <n v="3"/>
    <s v="Single"/>
    <n v="4998"/>
    <n v="2338"/>
    <n v="4"/>
    <s v="Y"/>
    <x v="0"/>
    <n v="14"/>
    <n v="3"/>
    <n v="4"/>
    <n v="80"/>
    <n v="0"/>
    <n v="10"/>
    <n v="2"/>
    <n v="3"/>
    <n v="8"/>
    <n v="7"/>
    <n v="0"/>
    <n v="7"/>
    <n v="0"/>
    <x v="2"/>
  </r>
  <r>
    <n v="36"/>
    <s v="No"/>
    <s v="Travel_Rarely"/>
    <n v="363"/>
    <x v="1"/>
    <n v="1"/>
    <n v="3"/>
    <x v="4"/>
    <n v="1"/>
    <x v="882"/>
    <n v="3"/>
    <s v="Female"/>
    <n v="77"/>
    <n v="1"/>
    <x v="2"/>
    <x v="3"/>
    <n v="1"/>
    <s v="Divorced"/>
    <n v="10252"/>
    <n v="4235"/>
    <n v="2"/>
    <s v="Y"/>
    <x v="0"/>
    <n v="21"/>
    <n v="4"/>
    <n v="3"/>
    <n v="80"/>
    <n v="1"/>
    <n v="17"/>
    <n v="2"/>
    <n v="3"/>
    <n v="7"/>
    <n v="7"/>
    <n v="7"/>
    <n v="7"/>
    <n v="0"/>
    <x v="0"/>
  </r>
  <r>
    <n v="33"/>
    <s v="No"/>
    <s v="Travel_Rarely"/>
    <n v="117"/>
    <x v="1"/>
    <n v="9"/>
    <n v="3"/>
    <x v="2"/>
    <n v="1"/>
    <x v="883"/>
    <n v="1"/>
    <s v="Male"/>
    <n v="60"/>
    <n v="3"/>
    <x v="1"/>
    <x v="1"/>
    <n v="4"/>
    <s v="Married"/>
    <n v="2781"/>
    <n v="6311"/>
    <n v="0"/>
    <s v="Y"/>
    <x v="1"/>
    <n v="13"/>
    <n v="3"/>
    <n v="2"/>
    <n v="80"/>
    <n v="1"/>
    <n v="15"/>
    <n v="5"/>
    <n v="3"/>
    <n v="14"/>
    <n v="10"/>
    <n v="4"/>
    <n v="10"/>
    <n v="0"/>
    <x v="2"/>
  </r>
  <r>
    <n v="40"/>
    <s v="No"/>
    <s v="Travel_Rarely"/>
    <n v="107"/>
    <x v="0"/>
    <n v="10"/>
    <n v="3"/>
    <x v="4"/>
    <n v="1"/>
    <x v="884"/>
    <n v="2"/>
    <s v="Female"/>
    <n v="84"/>
    <n v="2"/>
    <x v="0"/>
    <x v="0"/>
    <n v="2"/>
    <s v="Divorced"/>
    <n v="6852"/>
    <n v="11591"/>
    <n v="7"/>
    <s v="Y"/>
    <x v="1"/>
    <n v="12"/>
    <n v="3"/>
    <n v="2"/>
    <n v="80"/>
    <n v="1"/>
    <n v="7"/>
    <n v="2"/>
    <n v="4"/>
    <n v="5"/>
    <n v="1"/>
    <n v="1"/>
    <n v="3"/>
    <n v="0"/>
    <x v="0"/>
  </r>
  <r>
    <n v="25"/>
    <s v="No"/>
    <s v="Travel_Rarely"/>
    <n v="1356"/>
    <x v="0"/>
    <n v="10"/>
    <n v="4"/>
    <x v="0"/>
    <n v="1"/>
    <x v="885"/>
    <n v="3"/>
    <s v="Male"/>
    <n v="57"/>
    <n v="3"/>
    <x v="0"/>
    <x v="0"/>
    <n v="4"/>
    <s v="Single"/>
    <n v="4950"/>
    <n v="20623"/>
    <n v="0"/>
    <s v="Y"/>
    <x v="1"/>
    <n v="14"/>
    <n v="3"/>
    <n v="2"/>
    <n v="80"/>
    <n v="0"/>
    <n v="5"/>
    <n v="4"/>
    <n v="3"/>
    <n v="4"/>
    <n v="3"/>
    <n v="1"/>
    <n v="1"/>
    <n v="0"/>
    <x v="4"/>
  </r>
  <r>
    <n v="30"/>
    <s v="No"/>
    <s v="Travel_Rarely"/>
    <n v="1465"/>
    <x v="1"/>
    <n v="1"/>
    <n v="3"/>
    <x v="2"/>
    <n v="1"/>
    <x v="886"/>
    <n v="4"/>
    <s v="Male"/>
    <n v="63"/>
    <n v="3"/>
    <x v="1"/>
    <x v="1"/>
    <n v="2"/>
    <s v="Married"/>
    <n v="3579"/>
    <n v="9369"/>
    <n v="0"/>
    <s v="Y"/>
    <x v="0"/>
    <n v="21"/>
    <n v="4"/>
    <n v="1"/>
    <n v="80"/>
    <n v="1"/>
    <n v="12"/>
    <n v="2"/>
    <n v="3"/>
    <n v="11"/>
    <n v="9"/>
    <n v="5"/>
    <n v="7"/>
    <n v="0"/>
    <x v="2"/>
  </r>
  <r>
    <n v="42"/>
    <s v="No"/>
    <s v="Travel_Frequently"/>
    <n v="458"/>
    <x v="1"/>
    <n v="26"/>
    <n v="5"/>
    <x v="2"/>
    <n v="1"/>
    <x v="887"/>
    <n v="1"/>
    <s v="Female"/>
    <n v="60"/>
    <n v="3"/>
    <x v="2"/>
    <x v="7"/>
    <n v="1"/>
    <s v="Married"/>
    <n v="13191"/>
    <n v="23281"/>
    <n v="3"/>
    <s v="Y"/>
    <x v="0"/>
    <n v="17"/>
    <n v="3"/>
    <n v="3"/>
    <n v="80"/>
    <n v="0"/>
    <n v="20"/>
    <n v="6"/>
    <n v="3"/>
    <n v="1"/>
    <n v="0"/>
    <n v="0"/>
    <n v="0"/>
    <n v="0"/>
    <x v="0"/>
  </r>
  <r>
    <n v="35"/>
    <s v="No"/>
    <s v="Non-Travel"/>
    <n v="1212"/>
    <x v="0"/>
    <n v="8"/>
    <n v="2"/>
    <x v="3"/>
    <n v="1"/>
    <x v="888"/>
    <n v="3"/>
    <s v="Female"/>
    <n v="78"/>
    <n v="2"/>
    <x v="2"/>
    <x v="0"/>
    <n v="4"/>
    <s v="Married"/>
    <n v="10377"/>
    <n v="13755"/>
    <n v="4"/>
    <s v="Y"/>
    <x v="0"/>
    <n v="11"/>
    <n v="3"/>
    <n v="2"/>
    <n v="80"/>
    <n v="1"/>
    <n v="16"/>
    <n v="6"/>
    <n v="2"/>
    <n v="13"/>
    <n v="2"/>
    <n v="4"/>
    <n v="12"/>
    <n v="0"/>
    <x v="2"/>
  </r>
  <r>
    <n v="27"/>
    <s v="No"/>
    <s v="Travel_Rarely"/>
    <n v="1103"/>
    <x v="1"/>
    <n v="14"/>
    <n v="3"/>
    <x v="0"/>
    <n v="1"/>
    <x v="889"/>
    <n v="1"/>
    <s v="Male"/>
    <n v="42"/>
    <n v="3"/>
    <x v="1"/>
    <x v="1"/>
    <n v="1"/>
    <s v="Married"/>
    <n v="2235"/>
    <n v="14377"/>
    <n v="1"/>
    <s v="Y"/>
    <x v="0"/>
    <n v="14"/>
    <n v="3"/>
    <n v="4"/>
    <n v="80"/>
    <n v="2"/>
    <n v="9"/>
    <n v="3"/>
    <n v="2"/>
    <n v="9"/>
    <n v="7"/>
    <n v="6"/>
    <n v="8"/>
    <n v="0"/>
    <x v="2"/>
  </r>
  <r>
    <n v="54"/>
    <s v="No"/>
    <s v="Travel_Frequently"/>
    <n v="966"/>
    <x v="1"/>
    <n v="1"/>
    <n v="4"/>
    <x v="0"/>
    <n v="1"/>
    <x v="890"/>
    <n v="4"/>
    <s v="Female"/>
    <n v="53"/>
    <n v="3"/>
    <x v="2"/>
    <x v="3"/>
    <n v="3"/>
    <s v="Divorced"/>
    <n v="10502"/>
    <n v="9659"/>
    <n v="7"/>
    <s v="Y"/>
    <x v="1"/>
    <n v="17"/>
    <n v="3"/>
    <n v="1"/>
    <n v="80"/>
    <n v="1"/>
    <n v="33"/>
    <n v="2"/>
    <n v="1"/>
    <n v="5"/>
    <n v="4"/>
    <n v="1"/>
    <n v="4"/>
    <n v="0"/>
    <x v="1"/>
  </r>
  <r>
    <n v="44"/>
    <s v="No"/>
    <s v="Travel_Rarely"/>
    <n v="1117"/>
    <x v="1"/>
    <n v="2"/>
    <n v="1"/>
    <x v="0"/>
    <n v="1"/>
    <x v="891"/>
    <n v="1"/>
    <s v="Female"/>
    <n v="72"/>
    <n v="4"/>
    <x v="1"/>
    <x v="1"/>
    <n v="4"/>
    <s v="Married"/>
    <n v="2011"/>
    <n v="19982"/>
    <n v="1"/>
    <s v="Y"/>
    <x v="1"/>
    <n v="13"/>
    <n v="3"/>
    <n v="4"/>
    <n v="80"/>
    <n v="1"/>
    <n v="10"/>
    <n v="5"/>
    <n v="3"/>
    <n v="10"/>
    <n v="5"/>
    <n v="7"/>
    <n v="7"/>
    <n v="0"/>
    <x v="0"/>
  </r>
  <r>
    <n v="19"/>
    <s v="Yes"/>
    <s v="Non-Travel"/>
    <n v="504"/>
    <x v="1"/>
    <n v="10"/>
    <n v="3"/>
    <x v="2"/>
    <n v="1"/>
    <x v="892"/>
    <n v="1"/>
    <s v="Female"/>
    <n v="96"/>
    <n v="2"/>
    <x v="1"/>
    <x v="1"/>
    <n v="2"/>
    <s v="Single"/>
    <n v="1859"/>
    <n v="6148"/>
    <n v="1"/>
    <s v="Y"/>
    <x v="0"/>
    <n v="25"/>
    <n v="4"/>
    <n v="2"/>
    <n v="80"/>
    <n v="0"/>
    <n v="1"/>
    <n v="2"/>
    <n v="4"/>
    <n v="1"/>
    <n v="1"/>
    <n v="0"/>
    <n v="0"/>
    <n v="1"/>
    <x v="4"/>
  </r>
  <r>
    <n v="29"/>
    <s v="No"/>
    <s v="Travel_Rarely"/>
    <n v="1010"/>
    <x v="1"/>
    <n v="1"/>
    <n v="3"/>
    <x v="0"/>
    <n v="1"/>
    <x v="893"/>
    <n v="1"/>
    <s v="Female"/>
    <n v="97"/>
    <n v="3"/>
    <x v="1"/>
    <x v="1"/>
    <n v="4"/>
    <s v="Divorced"/>
    <n v="3760"/>
    <n v="5598"/>
    <n v="1"/>
    <s v="Y"/>
    <x v="1"/>
    <n v="15"/>
    <n v="3"/>
    <n v="1"/>
    <n v="80"/>
    <n v="3"/>
    <n v="3"/>
    <n v="5"/>
    <n v="3"/>
    <n v="3"/>
    <n v="2"/>
    <n v="1"/>
    <n v="2"/>
    <n v="0"/>
    <x v="2"/>
  </r>
  <r>
    <n v="54"/>
    <s v="No"/>
    <s v="Travel_Rarely"/>
    <n v="685"/>
    <x v="1"/>
    <n v="3"/>
    <n v="3"/>
    <x v="0"/>
    <n v="1"/>
    <x v="894"/>
    <n v="4"/>
    <s v="Male"/>
    <n v="85"/>
    <n v="3"/>
    <x v="3"/>
    <x v="7"/>
    <n v="4"/>
    <s v="Married"/>
    <n v="17779"/>
    <n v="23474"/>
    <n v="3"/>
    <s v="Y"/>
    <x v="1"/>
    <n v="14"/>
    <n v="3"/>
    <n v="1"/>
    <n v="80"/>
    <n v="0"/>
    <n v="36"/>
    <n v="2"/>
    <n v="3"/>
    <n v="10"/>
    <n v="9"/>
    <n v="0"/>
    <n v="9"/>
    <n v="0"/>
    <x v="1"/>
  </r>
  <r>
    <n v="31"/>
    <s v="No"/>
    <s v="Travel_Rarely"/>
    <n v="1332"/>
    <x v="1"/>
    <n v="11"/>
    <n v="2"/>
    <x v="2"/>
    <n v="1"/>
    <x v="895"/>
    <n v="3"/>
    <s v="Male"/>
    <n v="80"/>
    <n v="3"/>
    <x v="0"/>
    <x v="4"/>
    <n v="1"/>
    <s v="Married"/>
    <n v="6833"/>
    <n v="17089"/>
    <n v="1"/>
    <s v="Y"/>
    <x v="0"/>
    <n v="12"/>
    <n v="3"/>
    <n v="4"/>
    <n v="80"/>
    <n v="0"/>
    <n v="6"/>
    <n v="2"/>
    <n v="2"/>
    <n v="6"/>
    <n v="5"/>
    <n v="0"/>
    <n v="1"/>
    <n v="0"/>
    <x v="2"/>
  </r>
  <r>
    <n v="31"/>
    <s v="No"/>
    <s v="Travel_Rarely"/>
    <n v="1062"/>
    <x v="1"/>
    <n v="24"/>
    <n v="3"/>
    <x v="2"/>
    <n v="1"/>
    <x v="896"/>
    <n v="3"/>
    <s v="Female"/>
    <n v="96"/>
    <n v="2"/>
    <x v="0"/>
    <x v="4"/>
    <n v="1"/>
    <s v="Single"/>
    <n v="6812"/>
    <n v="17198"/>
    <n v="1"/>
    <s v="Y"/>
    <x v="1"/>
    <n v="19"/>
    <n v="3"/>
    <n v="2"/>
    <n v="80"/>
    <n v="0"/>
    <n v="10"/>
    <n v="2"/>
    <n v="3"/>
    <n v="10"/>
    <n v="9"/>
    <n v="1"/>
    <n v="8"/>
    <n v="0"/>
    <x v="2"/>
  </r>
  <r>
    <n v="59"/>
    <s v="No"/>
    <s v="Travel_Rarely"/>
    <n v="326"/>
    <x v="0"/>
    <n v="3"/>
    <n v="3"/>
    <x v="0"/>
    <n v="1"/>
    <x v="897"/>
    <n v="3"/>
    <s v="Female"/>
    <n v="48"/>
    <n v="2"/>
    <x v="0"/>
    <x v="0"/>
    <n v="4"/>
    <s v="Single"/>
    <n v="5171"/>
    <n v="16490"/>
    <n v="5"/>
    <s v="Y"/>
    <x v="1"/>
    <n v="17"/>
    <n v="3"/>
    <n v="4"/>
    <n v="80"/>
    <n v="0"/>
    <n v="13"/>
    <n v="2"/>
    <n v="3"/>
    <n v="6"/>
    <n v="1"/>
    <n v="0"/>
    <n v="5"/>
    <n v="0"/>
    <x v="3"/>
  </r>
  <r>
    <n v="43"/>
    <s v="No"/>
    <s v="Travel_Rarely"/>
    <n v="920"/>
    <x v="1"/>
    <n v="3"/>
    <n v="3"/>
    <x v="0"/>
    <n v="1"/>
    <x v="898"/>
    <n v="3"/>
    <s v="Male"/>
    <n v="96"/>
    <n v="1"/>
    <x v="4"/>
    <x v="7"/>
    <n v="4"/>
    <s v="Married"/>
    <n v="19740"/>
    <n v="18625"/>
    <n v="3"/>
    <s v="Y"/>
    <x v="1"/>
    <n v="14"/>
    <n v="3"/>
    <n v="2"/>
    <n v="80"/>
    <n v="1"/>
    <n v="25"/>
    <n v="2"/>
    <n v="3"/>
    <n v="8"/>
    <n v="7"/>
    <n v="0"/>
    <n v="7"/>
    <n v="0"/>
    <x v="0"/>
  </r>
  <r>
    <n v="49"/>
    <s v="No"/>
    <s v="Travel_Rarely"/>
    <n v="1098"/>
    <x v="1"/>
    <n v="4"/>
    <n v="2"/>
    <x v="2"/>
    <n v="1"/>
    <x v="899"/>
    <n v="1"/>
    <s v="Male"/>
    <n v="85"/>
    <n v="2"/>
    <x v="4"/>
    <x v="5"/>
    <n v="3"/>
    <s v="Married"/>
    <n v="18711"/>
    <n v="12124"/>
    <n v="2"/>
    <s v="Y"/>
    <x v="1"/>
    <n v="13"/>
    <n v="3"/>
    <n v="3"/>
    <n v="80"/>
    <n v="1"/>
    <n v="23"/>
    <n v="2"/>
    <n v="4"/>
    <n v="1"/>
    <n v="0"/>
    <n v="0"/>
    <n v="0"/>
    <n v="0"/>
    <x v="1"/>
  </r>
  <r>
    <n v="36"/>
    <s v="No"/>
    <s v="Travel_Frequently"/>
    <n v="469"/>
    <x v="1"/>
    <n v="3"/>
    <n v="3"/>
    <x v="4"/>
    <n v="1"/>
    <x v="900"/>
    <n v="3"/>
    <s v="Male"/>
    <n v="46"/>
    <n v="3"/>
    <x v="1"/>
    <x v="1"/>
    <n v="2"/>
    <s v="Married"/>
    <n v="3692"/>
    <n v="9256"/>
    <n v="1"/>
    <s v="Y"/>
    <x v="1"/>
    <n v="12"/>
    <n v="3"/>
    <n v="3"/>
    <n v="80"/>
    <n v="0"/>
    <n v="12"/>
    <n v="2"/>
    <n v="2"/>
    <n v="11"/>
    <n v="10"/>
    <n v="0"/>
    <n v="7"/>
    <n v="0"/>
    <x v="0"/>
  </r>
  <r>
    <n v="48"/>
    <s v="No"/>
    <s v="Travel_Rarely"/>
    <n v="969"/>
    <x v="1"/>
    <n v="2"/>
    <n v="2"/>
    <x v="4"/>
    <n v="1"/>
    <x v="901"/>
    <n v="4"/>
    <s v="Male"/>
    <n v="76"/>
    <n v="4"/>
    <x v="1"/>
    <x v="2"/>
    <n v="2"/>
    <s v="Single"/>
    <n v="2559"/>
    <n v="16620"/>
    <n v="5"/>
    <s v="Y"/>
    <x v="1"/>
    <n v="11"/>
    <n v="3"/>
    <n v="3"/>
    <n v="80"/>
    <n v="0"/>
    <n v="7"/>
    <n v="4"/>
    <n v="2"/>
    <n v="1"/>
    <n v="0"/>
    <n v="0"/>
    <n v="0"/>
    <n v="0"/>
    <x v="1"/>
  </r>
  <r>
    <n v="27"/>
    <s v="No"/>
    <s v="Travel_Rarely"/>
    <n v="1167"/>
    <x v="1"/>
    <n v="4"/>
    <n v="2"/>
    <x v="0"/>
    <n v="1"/>
    <x v="902"/>
    <n v="1"/>
    <s v="Male"/>
    <n v="76"/>
    <n v="3"/>
    <x v="1"/>
    <x v="1"/>
    <n v="3"/>
    <s v="Divorced"/>
    <n v="2517"/>
    <n v="3208"/>
    <n v="1"/>
    <s v="Y"/>
    <x v="1"/>
    <n v="11"/>
    <n v="3"/>
    <n v="2"/>
    <n v="80"/>
    <n v="3"/>
    <n v="5"/>
    <n v="2"/>
    <n v="3"/>
    <n v="5"/>
    <n v="3"/>
    <n v="0"/>
    <n v="3"/>
    <n v="0"/>
    <x v="2"/>
  </r>
  <r>
    <n v="29"/>
    <s v="No"/>
    <s v="Travel_Rarely"/>
    <n v="1329"/>
    <x v="1"/>
    <n v="7"/>
    <n v="3"/>
    <x v="0"/>
    <n v="1"/>
    <x v="903"/>
    <n v="3"/>
    <s v="Male"/>
    <n v="82"/>
    <n v="3"/>
    <x v="0"/>
    <x v="4"/>
    <n v="4"/>
    <s v="Divorced"/>
    <n v="6623"/>
    <n v="4204"/>
    <n v="1"/>
    <s v="Y"/>
    <x v="0"/>
    <n v="11"/>
    <n v="3"/>
    <n v="2"/>
    <n v="80"/>
    <n v="2"/>
    <n v="6"/>
    <n v="2"/>
    <n v="3"/>
    <n v="6"/>
    <n v="0"/>
    <n v="1"/>
    <n v="0"/>
    <n v="0"/>
    <x v="2"/>
  </r>
  <r>
    <n v="48"/>
    <s v="No"/>
    <s v="Travel_Rarely"/>
    <n v="715"/>
    <x v="1"/>
    <n v="1"/>
    <n v="3"/>
    <x v="0"/>
    <n v="1"/>
    <x v="904"/>
    <n v="4"/>
    <s v="Male"/>
    <n v="76"/>
    <n v="2"/>
    <x v="4"/>
    <x v="7"/>
    <n v="4"/>
    <s v="Single"/>
    <n v="18265"/>
    <n v="8733"/>
    <n v="6"/>
    <s v="Y"/>
    <x v="1"/>
    <n v="12"/>
    <n v="3"/>
    <n v="3"/>
    <n v="80"/>
    <n v="0"/>
    <n v="25"/>
    <n v="3"/>
    <n v="4"/>
    <n v="1"/>
    <n v="0"/>
    <n v="0"/>
    <n v="0"/>
    <n v="0"/>
    <x v="1"/>
  </r>
  <r>
    <n v="29"/>
    <s v="No"/>
    <s v="Travel_Rarely"/>
    <n v="694"/>
    <x v="1"/>
    <n v="1"/>
    <n v="3"/>
    <x v="0"/>
    <n v="1"/>
    <x v="905"/>
    <n v="4"/>
    <s v="Female"/>
    <n v="87"/>
    <n v="2"/>
    <x v="3"/>
    <x v="7"/>
    <n v="4"/>
    <s v="Divorced"/>
    <n v="16124"/>
    <n v="3423"/>
    <n v="3"/>
    <s v="Y"/>
    <x v="1"/>
    <n v="14"/>
    <n v="3"/>
    <n v="2"/>
    <n v="80"/>
    <n v="2"/>
    <n v="9"/>
    <n v="2"/>
    <n v="2"/>
    <n v="7"/>
    <n v="7"/>
    <n v="1"/>
    <n v="7"/>
    <n v="0"/>
    <x v="2"/>
  </r>
  <r>
    <n v="34"/>
    <s v="No"/>
    <s v="Travel_Rarely"/>
    <n v="1320"/>
    <x v="1"/>
    <n v="20"/>
    <n v="3"/>
    <x v="4"/>
    <n v="1"/>
    <x v="906"/>
    <n v="3"/>
    <s v="Female"/>
    <n v="89"/>
    <n v="4"/>
    <x v="1"/>
    <x v="1"/>
    <n v="3"/>
    <s v="Married"/>
    <n v="2585"/>
    <n v="21643"/>
    <n v="0"/>
    <s v="Y"/>
    <x v="1"/>
    <n v="17"/>
    <n v="3"/>
    <n v="4"/>
    <n v="80"/>
    <n v="0"/>
    <n v="2"/>
    <n v="5"/>
    <n v="2"/>
    <n v="1"/>
    <n v="0"/>
    <n v="0"/>
    <n v="0"/>
    <n v="0"/>
    <x v="2"/>
  </r>
  <r>
    <n v="44"/>
    <s v="No"/>
    <s v="Travel_Rarely"/>
    <n v="1099"/>
    <x v="0"/>
    <n v="5"/>
    <n v="3"/>
    <x v="3"/>
    <n v="1"/>
    <x v="907"/>
    <n v="2"/>
    <s v="Male"/>
    <n v="88"/>
    <n v="3"/>
    <x v="4"/>
    <x v="5"/>
    <n v="2"/>
    <s v="Married"/>
    <n v="18213"/>
    <n v="8751"/>
    <n v="7"/>
    <s v="Y"/>
    <x v="1"/>
    <n v="11"/>
    <n v="3"/>
    <n v="3"/>
    <n v="80"/>
    <n v="1"/>
    <n v="26"/>
    <n v="5"/>
    <n v="3"/>
    <n v="22"/>
    <n v="9"/>
    <n v="3"/>
    <n v="10"/>
    <n v="0"/>
    <x v="0"/>
  </r>
  <r>
    <n v="33"/>
    <s v="No"/>
    <s v="Travel_Rarely"/>
    <n v="536"/>
    <x v="0"/>
    <n v="10"/>
    <n v="5"/>
    <x v="3"/>
    <n v="1"/>
    <x v="908"/>
    <n v="4"/>
    <s v="Male"/>
    <n v="82"/>
    <n v="4"/>
    <x v="2"/>
    <x v="0"/>
    <n v="3"/>
    <s v="Divorced"/>
    <n v="8380"/>
    <n v="21708"/>
    <n v="0"/>
    <s v="Y"/>
    <x v="0"/>
    <n v="14"/>
    <n v="3"/>
    <n v="4"/>
    <n v="80"/>
    <n v="2"/>
    <n v="10"/>
    <n v="3"/>
    <n v="3"/>
    <n v="9"/>
    <n v="8"/>
    <n v="0"/>
    <n v="8"/>
    <n v="0"/>
    <x v="2"/>
  </r>
  <r>
    <n v="19"/>
    <s v="No"/>
    <s v="Travel_Rarely"/>
    <n v="265"/>
    <x v="1"/>
    <n v="25"/>
    <n v="3"/>
    <x v="0"/>
    <n v="1"/>
    <x v="909"/>
    <n v="2"/>
    <s v="Female"/>
    <n v="57"/>
    <n v="4"/>
    <x v="1"/>
    <x v="1"/>
    <n v="4"/>
    <s v="Single"/>
    <n v="2994"/>
    <n v="21221"/>
    <n v="1"/>
    <s v="Y"/>
    <x v="0"/>
    <n v="12"/>
    <n v="3"/>
    <n v="4"/>
    <n v="80"/>
    <n v="0"/>
    <n v="1"/>
    <n v="2"/>
    <n v="3"/>
    <n v="1"/>
    <n v="0"/>
    <n v="0"/>
    <n v="1"/>
    <n v="0"/>
    <x v="4"/>
  </r>
  <r>
    <n v="23"/>
    <s v="No"/>
    <s v="Travel_Rarely"/>
    <n v="373"/>
    <x v="1"/>
    <n v="1"/>
    <n v="2"/>
    <x v="0"/>
    <n v="1"/>
    <x v="910"/>
    <n v="4"/>
    <s v="Male"/>
    <n v="47"/>
    <n v="3"/>
    <x v="1"/>
    <x v="1"/>
    <n v="3"/>
    <s v="Married"/>
    <n v="1223"/>
    <n v="16901"/>
    <n v="1"/>
    <s v="Y"/>
    <x v="1"/>
    <n v="22"/>
    <n v="4"/>
    <n v="4"/>
    <n v="80"/>
    <n v="1"/>
    <n v="1"/>
    <n v="2"/>
    <n v="3"/>
    <n v="1"/>
    <n v="0"/>
    <n v="0"/>
    <n v="1"/>
    <n v="0"/>
    <x v="4"/>
  </r>
  <r>
    <n v="25"/>
    <s v="Yes"/>
    <s v="Travel_Frequently"/>
    <n v="599"/>
    <x v="0"/>
    <n v="24"/>
    <n v="1"/>
    <x v="0"/>
    <n v="1"/>
    <x v="911"/>
    <n v="3"/>
    <s v="Male"/>
    <n v="73"/>
    <n v="1"/>
    <x v="1"/>
    <x v="6"/>
    <n v="4"/>
    <s v="Single"/>
    <n v="1118"/>
    <n v="8040"/>
    <n v="1"/>
    <s v="Y"/>
    <x v="0"/>
    <n v="14"/>
    <n v="3"/>
    <n v="4"/>
    <n v="80"/>
    <n v="0"/>
    <n v="1"/>
    <n v="4"/>
    <n v="3"/>
    <n v="1"/>
    <n v="0"/>
    <n v="1"/>
    <n v="0"/>
    <n v="1"/>
    <x v="4"/>
  </r>
  <r>
    <n v="26"/>
    <s v="No"/>
    <s v="Travel_Rarely"/>
    <n v="583"/>
    <x v="1"/>
    <n v="4"/>
    <n v="2"/>
    <x v="0"/>
    <n v="1"/>
    <x v="912"/>
    <n v="3"/>
    <s v="Male"/>
    <n v="53"/>
    <n v="3"/>
    <x v="1"/>
    <x v="1"/>
    <n v="4"/>
    <s v="Single"/>
    <n v="2875"/>
    <n v="9973"/>
    <n v="1"/>
    <s v="Y"/>
    <x v="0"/>
    <n v="20"/>
    <n v="4"/>
    <n v="2"/>
    <n v="80"/>
    <n v="0"/>
    <n v="8"/>
    <n v="2"/>
    <n v="2"/>
    <n v="8"/>
    <n v="5"/>
    <n v="2"/>
    <n v="2"/>
    <n v="0"/>
    <x v="2"/>
  </r>
  <r>
    <n v="45"/>
    <s v="Yes"/>
    <s v="Travel_Rarely"/>
    <n v="1449"/>
    <x v="0"/>
    <n v="2"/>
    <n v="3"/>
    <x v="3"/>
    <n v="1"/>
    <x v="913"/>
    <n v="1"/>
    <s v="Female"/>
    <n v="94"/>
    <n v="1"/>
    <x v="4"/>
    <x v="5"/>
    <n v="2"/>
    <s v="Single"/>
    <n v="18824"/>
    <n v="2493"/>
    <n v="2"/>
    <s v="Y"/>
    <x v="0"/>
    <n v="16"/>
    <n v="3"/>
    <n v="1"/>
    <n v="80"/>
    <n v="0"/>
    <n v="26"/>
    <n v="2"/>
    <n v="3"/>
    <n v="24"/>
    <n v="10"/>
    <n v="1"/>
    <n v="11"/>
    <n v="1"/>
    <x v="0"/>
  </r>
  <r>
    <n v="55"/>
    <s v="No"/>
    <s v="Non-Travel"/>
    <n v="177"/>
    <x v="1"/>
    <n v="8"/>
    <n v="1"/>
    <x v="2"/>
    <n v="1"/>
    <x v="914"/>
    <n v="4"/>
    <s v="Male"/>
    <n v="37"/>
    <n v="2"/>
    <x v="3"/>
    <x v="4"/>
    <n v="2"/>
    <s v="Divorced"/>
    <n v="13577"/>
    <n v="25592"/>
    <n v="1"/>
    <s v="Y"/>
    <x v="0"/>
    <n v="15"/>
    <n v="3"/>
    <n v="4"/>
    <n v="80"/>
    <n v="1"/>
    <n v="34"/>
    <n v="3"/>
    <n v="3"/>
    <n v="33"/>
    <n v="9"/>
    <n v="15"/>
    <n v="0"/>
    <n v="0"/>
    <x v="1"/>
  </r>
  <r>
    <n v="21"/>
    <s v="Yes"/>
    <s v="Travel_Frequently"/>
    <n v="251"/>
    <x v="1"/>
    <n v="10"/>
    <n v="2"/>
    <x v="0"/>
    <n v="1"/>
    <x v="915"/>
    <n v="1"/>
    <s v="Female"/>
    <n v="45"/>
    <n v="2"/>
    <x v="1"/>
    <x v="2"/>
    <n v="3"/>
    <s v="Single"/>
    <n v="2625"/>
    <n v="25308"/>
    <n v="1"/>
    <s v="Y"/>
    <x v="1"/>
    <n v="20"/>
    <n v="4"/>
    <n v="3"/>
    <n v="80"/>
    <n v="0"/>
    <n v="2"/>
    <n v="2"/>
    <n v="1"/>
    <n v="2"/>
    <n v="2"/>
    <n v="2"/>
    <n v="2"/>
    <n v="1"/>
    <x v="4"/>
  </r>
  <r>
    <n v="46"/>
    <s v="No"/>
    <s v="Travel_Rarely"/>
    <n v="168"/>
    <x v="0"/>
    <n v="4"/>
    <n v="2"/>
    <x v="3"/>
    <n v="1"/>
    <x v="916"/>
    <n v="4"/>
    <s v="Female"/>
    <n v="33"/>
    <n v="2"/>
    <x v="4"/>
    <x v="5"/>
    <n v="2"/>
    <s v="Married"/>
    <n v="18789"/>
    <n v="9946"/>
    <n v="2"/>
    <s v="Y"/>
    <x v="1"/>
    <n v="14"/>
    <n v="3"/>
    <n v="3"/>
    <n v="80"/>
    <n v="1"/>
    <n v="26"/>
    <n v="2"/>
    <n v="3"/>
    <n v="11"/>
    <n v="4"/>
    <n v="0"/>
    <n v="8"/>
    <n v="0"/>
    <x v="1"/>
  </r>
  <r>
    <n v="34"/>
    <s v="No"/>
    <s v="Travel_Rarely"/>
    <n v="131"/>
    <x v="0"/>
    <n v="2"/>
    <n v="3"/>
    <x v="3"/>
    <n v="1"/>
    <x v="917"/>
    <n v="3"/>
    <s v="Female"/>
    <n v="86"/>
    <n v="3"/>
    <x v="0"/>
    <x v="0"/>
    <n v="1"/>
    <s v="Single"/>
    <n v="4538"/>
    <n v="6039"/>
    <n v="0"/>
    <s v="Y"/>
    <x v="0"/>
    <n v="12"/>
    <n v="3"/>
    <n v="4"/>
    <n v="80"/>
    <n v="0"/>
    <n v="4"/>
    <n v="3"/>
    <n v="3"/>
    <n v="3"/>
    <n v="2"/>
    <n v="0"/>
    <n v="2"/>
    <n v="0"/>
    <x v="2"/>
  </r>
  <r>
    <n v="51"/>
    <s v="No"/>
    <s v="Travel_Frequently"/>
    <n v="237"/>
    <x v="0"/>
    <n v="9"/>
    <n v="3"/>
    <x v="0"/>
    <n v="1"/>
    <x v="918"/>
    <n v="4"/>
    <s v="Male"/>
    <n v="83"/>
    <n v="3"/>
    <x v="4"/>
    <x v="5"/>
    <n v="2"/>
    <s v="Divorced"/>
    <n v="19847"/>
    <n v="19196"/>
    <n v="4"/>
    <s v="Y"/>
    <x v="0"/>
    <n v="24"/>
    <n v="4"/>
    <n v="1"/>
    <n v="80"/>
    <n v="1"/>
    <n v="31"/>
    <n v="5"/>
    <n v="2"/>
    <n v="29"/>
    <n v="10"/>
    <n v="11"/>
    <n v="10"/>
    <n v="0"/>
    <x v="1"/>
  </r>
  <r>
    <n v="59"/>
    <s v="No"/>
    <s v="Travel_Rarely"/>
    <n v="1429"/>
    <x v="1"/>
    <n v="18"/>
    <n v="4"/>
    <x v="2"/>
    <n v="1"/>
    <x v="919"/>
    <n v="4"/>
    <s v="Male"/>
    <n v="67"/>
    <n v="3"/>
    <x v="2"/>
    <x v="3"/>
    <n v="4"/>
    <s v="Single"/>
    <n v="10512"/>
    <n v="20002"/>
    <n v="6"/>
    <s v="Y"/>
    <x v="1"/>
    <n v="12"/>
    <n v="3"/>
    <n v="4"/>
    <n v="80"/>
    <n v="0"/>
    <n v="25"/>
    <n v="6"/>
    <n v="2"/>
    <n v="9"/>
    <n v="7"/>
    <n v="5"/>
    <n v="4"/>
    <n v="0"/>
    <x v="3"/>
  </r>
  <r>
    <n v="34"/>
    <s v="No"/>
    <s v="Travel_Frequently"/>
    <n v="135"/>
    <x v="1"/>
    <n v="19"/>
    <n v="3"/>
    <x v="2"/>
    <n v="1"/>
    <x v="920"/>
    <n v="3"/>
    <s v="Female"/>
    <n v="46"/>
    <n v="3"/>
    <x v="0"/>
    <x v="2"/>
    <n v="2"/>
    <s v="Divorced"/>
    <n v="4444"/>
    <n v="22534"/>
    <n v="4"/>
    <s v="Y"/>
    <x v="1"/>
    <n v="13"/>
    <n v="3"/>
    <n v="3"/>
    <n v="80"/>
    <n v="2"/>
    <n v="15"/>
    <n v="2"/>
    <n v="4"/>
    <n v="11"/>
    <n v="8"/>
    <n v="5"/>
    <n v="10"/>
    <n v="0"/>
    <x v="2"/>
  </r>
  <r>
    <n v="28"/>
    <s v="No"/>
    <s v="Travel_Frequently"/>
    <n v="791"/>
    <x v="1"/>
    <n v="1"/>
    <n v="4"/>
    <x v="2"/>
    <n v="1"/>
    <x v="921"/>
    <n v="4"/>
    <s v="Male"/>
    <n v="44"/>
    <n v="3"/>
    <x v="1"/>
    <x v="2"/>
    <n v="3"/>
    <s v="Single"/>
    <n v="2154"/>
    <n v="6842"/>
    <n v="0"/>
    <s v="Y"/>
    <x v="0"/>
    <n v="11"/>
    <n v="3"/>
    <n v="3"/>
    <n v="80"/>
    <n v="0"/>
    <n v="5"/>
    <n v="2"/>
    <n v="2"/>
    <n v="4"/>
    <n v="2"/>
    <n v="0"/>
    <n v="2"/>
    <n v="0"/>
    <x v="2"/>
  </r>
  <r>
    <n v="44"/>
    <s v="No"/>
    <s v="Travel_Rarely"/>
    <n v="1199"/>
    <x v="1"/>
    <n v="4"/>
    <n v="2"/>
    <x v="0"/>
    <n v="1"/>
    <x v="922"/>
    <n v="3"/>
    <s v="Male"/>
    <n v="92"/>
    <n v="4"/>
    <x v="4"/>
    <x v="5"/>
    <n v="1"/>
    <s v="Divorced"/>
    <n v="19190"/>
    <n v="17477"/>
    <n v="1"/>
    <s v="Y"/>
    <x v="1"/>
    <n v="14"/>
    <n v="3"/>
    <n v="4"/>
    <n v="80"/>
    <n v="2"/>
    <n v="26"/>
    <n v="4"/>
    <n v="2"/>
    <n v="25"/>
    <n v="9"/>
    <n v="14"/>
    <n v="13"/>
    <n v="0"/>
    <x v="0"/>
  </r>
  <r>
    <n v="34"/>
    <s v="No"/>
    <s v="Travel_Frequently"/>
    <n v="648"/>
    <x v="2"/>
    <n v="11"/>
    <n v="3"/>
    <x v="0"/>
    <n v="1"/>
    <x v="923"/>
    <n v="3"/>
    <s v="Male"/>
    <n v="56"/>
    <n v="2"/>
    <x v="0"/>
    <x v="8"/>
    <n v="2"/>
    <s v="Married"/>
    <n v="4490"/>
    <n v="21833"/>
    <n v="4"/>
    <s v="Y"/>
    <x v="1"/>
    <n v="11"/>
    <n v="3"/>
    <n v="4"/>
    <n v="80"/>
    <n v="2"/>
    <n v="14"/>
    <n v="5"/>
    <n v="4"/>
    <n v="10"/>
    <n v="9"/>
    <n v="1"/>
    <n v="8"/>
    <n v="0"/>
    <x v="2"/>
  </r>
  <r>
    <n v="35"/>
    <s v="No"/>
    <s v="Travel_Rarely"/>
    <n v="735"/>
    <x v="1"/>
    <n v="6"/>
    <n v="1"/>
    <x v="0"/>
    <n v="1"/>
    <x v="924"/>
    <n v="3"/>
    <s v="Male"/>
    <n v="66"/>
    <n v="3"/>
    <x v="1"/>
    <x v="1"/>
    <n v="3"/>
    <s v="Married"/>
    <n v="3506"/>
    <n v="6020"/>
    <n v="0"/>
    <s v="Y"/>
    <x v="0"/>
    <n v="14"/>
    <n v="3"/>
    <n v="4"/>
    <n v="80"/>
    <n v="0"/>
    <n v="4"/>
    <n v="3"/>
    <n v="3"/>
    <n v="3"/>
    <n v="2"/>
    <n v="2"/>
    <n v="2"/>
    <n v="0"/>
    <x v="2"/>
  </r>
  <r>
    <n v="42"/>
    <s v="No"/>
    <s v="Travel_Rarely"/>
    <n v="603"/>
    <x v="1"/>
    <n v="7"/>
    <n v="4"/>
    <x v="2"/>
    <n v="1"/>
    <x v="925"/>
    <n v="2"/>
    <s v="Female"/>
    <n v="78"/>
    <n v="4"/>
    <x v="0"/>
    <x v="1"/>
    <n v="2"/>
    <s v="Married"/>
    <n v="2372"/>
    <n v="5628"/>
    <n v="6"/>
    <s v="Y"/>
    <x v="0"/>
    <n v="16"/>
    <n v="3"/>
    <n v="4"/>
    <n v="80"/>
    <n v="0"/>
    <n v="18"/>
    <n v="2"/>
    <n v="3"/>
    <n v="1"/>
    <n v="0"/>
    <n v="0"/>
    <n v="0"/>
    <n v="0"/>
    <x v="0"/>
  </r>
  <r>
    <n v="43"/>
    <s v="No"/>
    <s v="Travel_Rarely"/>
    <n v="531"/>
    <x v="0"/>
    <n v="4"/>
    <n v="4"/>
    <x v="3"/>
    <n v="1"/>
    <x v="926"/>
    <n v="4"/>
    <s v="Female"/>
    <n v="56"/>
    <n v="2"/>
    <x v="2"/>
    <x v="0"/>
    <n v="4"/>
    <s v="Single"/>
    <n v="10231"/>
    <n v="20364"/>
    <n v="3"/>
    <s v="Y"/>
    <x v="1"/>
    <n v="14"/>
    <n v="3"/>
    <n v="4"/>
    <n v="80"/>
    <n v="0"/>
    <n v="23"/>
    <n v="3"/>
    <n v="4"/>
    <n v="21"/>
    <n v="7"/>
    <n v="15"/>
    <n v="17"/>
    <n v="0"/>
    <x v="0"/>
  </r>
  <r>
    <n v="36"/>
    <s v="No"/>
    <s v="Travel_Rarely"/>
    <n v="429"/>
    <x v="1"/>
    <n v="2"/>
    <n v="4"/>
    <x v="0"/>
    <n v="1"/>
    <x v="927"/>
    <n v="3"/>
    <s v="Female"/>
    <n v="53"/>
    <n v="3"/>
    <x v="0"/>
    <x v="3"/>
    <n v="2"/>
    <s v="Single"/>
    <n v="5410"/>
    <n v="2323"/>
    <n v="9"/>
    <s v="Y"/>
    <x v="0"/>
    <n v="11"/>
    <n v="3"/>
    <n v="4"/>
    <n v="80"/>
    <n v="0"/>
    <n v="18"/>
    <n v="2"/>
    <n v="3"/>
    <n v="16"/>
    <n v="14"/>
    <n v="5"/>
    <n v="12"/>
    <n v="0"/>
    <x v="0"/>
  </r>
  <r>
    <n v="44"/>
    <s v="Yes"/>
    <s v="Travel_Rarely"/>
    <n v="621"/>
    <x v="1"/>
    <n v="15"/>
    <n v="3"/>
    <x v="2"/>
    <n v="1"/>
    <x v="928"/>
    <n v="1"/>
    <s v="Female"/>
    <n v="73"/>
    <n v="3"/>
    <x v="2"/>
    <x v="4"/>
    <n v="4"/>
    <s v="Married"/>
    <n v="7978"/>
    <n v="14075"/>
    <n v="1"/>
    <s v="Y"/>
    <x v="1"/>
    <n v="11"/>
    <n v="3"/>
    <n v="4"/>
    <n v="80"/>
    <n v="1"/>
    <n v="10"/>
    <n v="2"/>
    <n v="3"/>
    <n v="10"/>
    <n v="7"/>
    <n v="0"/>
    <n v="5"/>
    <n v="1"/>
    <x v="0"/>
  </r>
  <r>
    <n v="28"/>
    <s v="No"/>
    <s v="Travel_Frequently"/>
    <n v="193"/>
    <x v="1"/>
    <n v="2"/>
    <n v="3"/>
    <x v="0"/>
    <n v="1"/>
    <x v="929"/>
    <n v="4"/>
    <s v="Male"/>
    <n v="52"/>
    <n v="2"/>
    <x v="1"/>
    <x v="2"/>
    <n v="4"/>
    <s v="Married"/>
    <n v="3867"/>
    <n v="14222"/>
    <n v="1"/>
    <s v="Y"/>
    <x v="0"/>
    <n v="12"/>
    <n v="3"/>
    <n v="2"/>
    <n v="80"/>
    <n v="1"/>
    <n v="2"/>
    <n v="2"/>
    <n v="3"/>
    <n v="2"/>
    <n v="2"/>
    <n v="2"/>
    <n v="2"/>
    <n v="0"/>
    <x v="2"/>
  </r>
  <r>
    <n v="51"/>
    <s v="No"/>
    <s v="Travel_Frequently"/>
    <n v="968"/>
    <x v="1"/>
    <n v="6"/>
    <n v="2"/>
    <x v="2"/>
    <n v="1"/>
    <x v="930"/>
    <n v="2"/>
    <s v="Female"/>
    <n v="40"/>
    <n v="2"/>
    <x v="1"/>
    <x v="2"/>
    <n v="3"/>
    <s v="Single"/>
    <n v="2838"/>
    <n v="4257"/>
    <n v="0"/>
    <s v="Y"/>
    <x v="1"/>
    <n v="14"/>
    <n v="3"/>
    <n v="2"/>
    <n v="80"/>
    <n v="0"/>
    <n v="8"/>
    <n v="6"/>
    <n v="2"/>
    <n v="7"/>
    <n v="0"/>
    <n v="7"/>
    <n v="7"/>
    <n v="0"/>
    <x v="1"/>
  </r>
  <r>
    <n v="30"/>
    <s v="No"/>
    <s v="Non-Travel"/>
    <n v="879"/>
    <x v="1"/>
    <n v="9"/>
    <n v="2"/>
    <x v="2"/>
    <n v="1"/>
    <x v="931"/>
    <n v="3"/>
    <s v="Female"/>
    <n v="72"/>
    <n v="3"/>
    <x v="0"/>
    <x v="3"/>
    <n v="3"/>
    <s v="Single"/>
    <n v="4695"/>
    <n v="12858"/>
    <n v="7"/>
    <s v="Y"/>
    <x v="0"/>
    <n v="18"/>
    <n v="3"/>
    <n v="3"/>
    <n v="80"/>
    <n v="0"/>
    <n v="10"/>
    <n v="3"/>
    <n v="3"/>
    <n v="8"/>
    <n v="4"/>
    <n v="1"/>
    <n v="7"/>
    <n v="0"/>
    <x v="2"/>
  </r>
  <r>
    <n v="29"/>
    <s v="Yes"/>
    <s v="Travel_Rarely"/>
    <n v="806"/>
    <x v="1"/>
    <n v="7"/>
    <n v="3"/>
    <x v="4"/>
    <n v="1"/>
    <x v="932"/>
    <n v="2"/>
    <s v="Female"/>
    <n v="39"/>
    <n v="3"/>
    <x v="1"/>
    <x v="2"/>
    <n v="3"/>
    <s v="Divorced"/>
    <n v="3339"/>
    <n v="17285"/>
    <n v="3"/>
    <s v="Y"/>
    <x v="0"/>
    <n v="13"/>
    <n v="3"/>
    <n v="1"/>
    <n v="80"/>
    <n v="2"/>
    <n v="10"/>
    <n v="2"/>
    <n v="3"/>
    <n v="7"/>
    <n v="7"/>
    <n v="7"/>
    <n v="7"/>
    <n v="1"/>
    <x v="2"/>
  </r>
  <r>
    <n v="28"/>
    <s v="No"/>
    <s v="Travel_Rarely"/>
    <n v="640"/>
    <x v="1"/>
    <n v="1"/>
    <n v="3"/>
    <x v="4"/>
    <n v="1"/>
    <x v="933"/>
    <n v="4"/>
    <s v="Male"/>
    <n v="84"/>
    <n v="3"/>
    <x v="1"/>
    <x v="1"/>
    <n v="1"/>
    <s v="Single"/>
    <n v="2080"/>
    <n v="4732"/>
    <n v="2"/>
    <s v="Y"/>
    <x v="1"/>
    <n v="11"/>
    <n v="3"/>
    <n v="2"/>
    <n v="80"/>
    <n v="0"/>
    <n v="5"/>
    <n v="2"/>
    <n v="2"/>
    <n v="3"/>
    <n v="2"/>
    <n v="1"/>
    <n v="2"/>
    <n v="0"/>
    <x v="2"/>
  </r>
  <r>
    <n v="25"/>
    <s v="No"/>
    <s v="Travel_Rarely"/>
    <n v="266"/>
    <x v="1"/>
    <n v="1"/>
    <n v="3"/>
    <x v="2"/>
    <n v="1"/>
    <x v="934"/>
    <n v="4"/>
    <s v="Female"/>
    <n v="40"/>
    <n v="3"/>
    <x v="1"/>
    <x v="1"/>
    <n v="2"/>
    <s v="Single"/>
    <n v="2096"/>
    <n v="18830"/>
    <n v="1"/>
    <s v="Y"/>
    <x v="1"/>
    <n v="18"/>
    <n v="3"/>
    <n v="4"/>
    <n v="80"/>
    <n v="0"/>
    <n v="2"/>
    <n v="3"/>
    <n v="2"/>
    <n v="2"/>
    <n v="2"/>
    <n v="2"/>
    <n v="1"/>
    <n v="0"/>
    <x v="4"/>
  </r>
  <r>
    <n v="32"/>
    <s v="No"/>
    <s v="Travel_Rarely"/>
    <n v="604"/>
    <x v="0"/>
    <n v="8"/>
    <n v="3"/>
    <x v="2"/>
    <n v="1"/>
    <x v="935"/>
    <n v="3"/>
    <s v="Male"/>
    <n v="56"/>
    <n v="4"/>
    <x v="0"/>
    <x v="0"/>
    <n v="4"/>
    <s v="Married"/>
    <n v="6209"/>
    <n v="11693"/>
    <n v="1"/>
    <s v="Y"/>
    <x v="1"/>
    <n v="15"/>
    <n v="3"/>
    <n v="3"/>
    <n v="80"/>
    <n v="2"/>
    <n v="10"/>
    <n v="4"/>
    <n v="4"/>
    <n v="10"/>
    <n v="7"/>
    <n v="0"/>
    <n v="8"/>
    <n v="0"/>
    <x v="2"/>
  </r>
  <r>
    <n v="45"/>
    <s v="No"/>
    <s v="Travel_Frequently"/>
    <n v="364"/>
    <x v="1"/>
    <n v="25"/>
    <n v="3"/>
    <x v="2"/>
    <n v="1"/>
    <x v="936"/>
    <n v="2"/>
    <s v="Female"/>
    <n v="83"/>
    <n v="3"/>
    <x v="4"/>
    <x v="5"/>
    <n v="2"/>
    <s v="Single"/>
    <n v="18061"/>
    <n v="13035"/>
    <n v="3"/>
    <s v="Y"/>
    <x v="1"/>
    <n v="22"/>
    <n v="4"/>
    <n v="3"/>
    <n v="80"/>
    <n v="0"/>
    <n v="22"/>
    <n v="4"/>
    <n v="3"/>
    <n v="0"/>
    <n v="0"/>
    <n v="0"/>
    <n v="0"/>
    <n v="0"/>
    <x v="0"/>
  </r>
  <r>
    <n v="39"/>
    <s v="No"/>
    <s v="Travel_Rarely"/>
    <n v="412"/>
    <x v="1"/>
    <n v="13"/>
    <n v="4"/>
    <x v="2"/>
    <n v="1"/>
    <x v="937"/>
    <n v="3"/>
    <s v="Female"/>
    <n v="94"/>
    <n v="2"/>
    <x v="3"/>
    <x v="5"/>
    <n v="2"/>
    <s v="Divorced"/>
    <n v="17123"/>
    <n v="17334"/>
    <n v="6"/>
    <s v="Y"/>
    <x v="0"/>
    <n v="13"/>
    <n v="3"/>
    <n v="4"/>
    <n v="80"/>
    <n v="2"/>
    <n v="21"/>
    <n v="4"/>
    <n v="3"/>
    <n v="19"/>
    <n v="9"/>
    <n v="15"/>
    <n v="2"/>
    <n v="0"/>
    <x v="0"/>
  </r>
  <r>
    <n v="58"/>
    <s v="No"/>
    <s v="Travel_Rarely"/>
    <n v="848"/>
    <x v="1"/>
    <n v="23"/>
    <n v="4"/>
    <x v="0"/>
    <n v="1"/>
    <x v="938"/>
    <n v="1"/>
    <s v="Male"/>
    <n v="88"/>
    <n v="3"/>
    <x v="1"/>
    <x v="1"/>
    <n v="3"/>
    <s v="Divorced"/>
    <n v="2372"/>
    <n v="26076"/>
    <n v="1"/>
    <s v="Y"/>
    <x v="1"/>
    <n v="12"/>
    <n v="3"/>
    <n v="4"/>
    <n v="80"/>
    <n v="2"/>
    <n v="2"/>
    <n v="3"/>
    <n v="3"/>
    <n v="2"/>
    <n v="2"/>
    <n v="2"/>
    <n v="2"/>
    <n v="0"/>
    <x v="3"/>
  </r>
  <r>
    <n v="32"/>
    <s v="Yes"/>
    <s v="Travel_Rarely"/>
    <n v="1089"/>
    <x v="1"/>
    <n v="7"/>
    <n v="2"/>
    <x v="0"/>
    <n v="1"/>
    <x v="939"/>
    <n v="4"/>
    <s v="Male"/>
    <n v="79"/>
    <n v="3"/>
    <x v="0"/>
    <x v="2"/>
    <n v="3"/>
    <s v="Married"/>
    <n v="4883"/>
    <n v="22845"/>
    <n v="1"/>
    <s v="Y"/>
    <x v="1"/>
    <n v="18"/>
    <n v="3"/>
    <n v="1"/>
    <n v="80"/>
    <n v="1"/>
    <n v="10"/>
    <n v="3"/>
    <n v="3"/>
    <n v="10"/>
    <n v="4"/>
    <n v="1"/>
    <n v="1"/>
    <n v="1"/>
    <x v="2"/>
  </r>
  <r>
    <n v="39"/>
    <s v="Yes"/>
    <s v="Travel_Rarely"/>
    <n v="360"/>
    <x v="1"/>
    <n v="23"/>
    <n v="3"/>
    <x v="2"/>
    <n v="1"/>
    <x v="940"/>
    <n v="3"/>
    <s v="Male"/>
    <n v="93"/>
    <n v="3"/>
    <x v="1"/>
    <x v="1"/>
    <n v="1"/>
    <s v="Single"/>
    <n v="3904"/>
    <n v="22154"/>
    <n v="0"/>
    <s v="Y"/>
    <x v="1"/>
    <n v="13"/>
    <n v="3"/>
    <n v="1"/>
    <n v="80"/>
    <n v="0"/>
    <n v="6"/>
    <n v="2"/>
    <n v="3"/>
    <n v="5"/>
    <n v="2"/>
    <n v="0"/>
    <n v="3"/>
    <n v="1"/>
    <x v="0"/>
  </r>
  <r>
    <n v="30"/>
    <s v="No"/>
    <s v="Travel_Rarely"/>
    <n v="1138"/>
    <x v="1"/>
    <n v="6"/>
    <n v="3"/>
    <x v="4"/>
    <n v="1"/>
    <x v="941"/>
    <n v="1"/>
    <s v="Female"/>
    <n v="48"/>
    <n v="2"/>
    <x v="0"/>
    <x v="2"/>
    <n v="4"/>
    <s v="Married"/>
    <n v="4627"/>
    <n v="23631"/>
    <n v="0"/>
    <s v="Y"/>
    <x v="1"/>
    <n v="12"/>
    <n v="3"/>
    <n v="1"/>
    <n v="80"/>
    <n v="1"/>
    <n v="10"/>
    <n v="6"/>
    <n v="3"/>
    <n v="9"/>
    <n v="2"/>
    <n v="6"/>
    <n v="7"/>
    <n v="0"/>
    <x v="2"/>
  </r>
  <r>
    <n v="36"/>
    <s v="No"/>
    <s v="Travel_Rarely"/>
    <n v="325"/>
    <x v="1"/>
    <n v="10"/>
    <n v="4"/>
    <x v="4"/>
    <n v="1"/>
    <x v="942"/>
    <n v="4"/>
    <s v="Female"/>
    <n v="63"/>
    <n v="3"/>
    <x v="2"/>
    <x v="4"/>
    <n v="3"/>
    <s v="Married"/>
    <n v="7094"/>
    <n v="5747"/>
    <n v="3"/>
    <s v="Y"/>
    <x v="1"/>
    <n v="12"/>
    <n v="3"/>
    <n v="1"/>
    <n v="80"/>
    <n v="0"/>
    <n v="10"/>
    <n v="0"/>
    <n v="3"/>
    <n v="7"/>
    <n v="7"/>
    <n v="1"/>
    <n v="7"/>
    <n v="0"/>
    <x v="0"/>
  </r>
  <r>
    <n v="46"/>
    <s v="No"/>
    <s v="Travel_Rarely"/>
    <n v="991"/>
    <x v="2"/>
    <n v="1"/>
    <n v="2"/>
    <x v="0"/>
    <n v="1"/>
    <x v="943"/>
    <n v="4"/>
    <s v="Female"/>
    <n v="44"/>
    <n v="3"/>
    <x v="1"/>
    <x v="8"/>
    <n v="1"/>
    <s v="Single"/>
    <n v="3423"/>
    <n v="22957"/>
    <n v="6"/>
    <s v="Y"/>
    <x v="1"/>
    <n v="12"/>
    <n v="3"/>
    <n v="3"/>
    <n v="80"/>
    <n v="0"/>
    <n v="10"/>
    <n v="3"/>
    <n v="4"/>
    <n v="7"/>
    <n v="6"/>
    <n v="5"/>
    <n v="7"/>
    <n v="0"/>
    <x v="1"/>
  </r>
  <r>
    <n v="28"/>
    <s v="No"/>
    <s v="Non-Travel"/>
    <n v="1476"/>
    <x v="1"/>
    <n v="1"/>
    <n v="3"/>
    <x v="0"/>
    <n v="1"/>
    <x v="944"/>
    <n v="3"/>
    <s v="Female"/>
    <n v="55"/>
    <n v="1"/>
    <x v="0"/>
    <x v="2"/>
    <n v="4"/>
    <s v="Married"/>
    <n v="6674"/>
    <n v="16392"/>
    <n v="0"/>
    <s v="Y"/>
    <x v="1"/>
    <n v="11"/>
    <n v="3"/>
    <n v="1"/>
    <n v="80"/>
    <n v="3"/>
    <n v="10"/>
    <n v="6"/>
    <n v="3"/>
    <n v="9"/>
    <n v="8"/>
    <n v="7"/>
    <n v="5"/>
    <n v="0"/>
    <x v="2"/>
  </r>
  <r>
    <n v="50"/>
    <s v="No"/>
    <s v="Travel_Rarely"/>
    <n v="1322"/>
    <x v="1"/>
    <n v="28"/>
    <n v="3"/>
    <x v="0"/>
    <n v="1"/>
    <x v="945"/>
    <n v="4"/>
    <s v="Female"/>
    <n v="43"/>
    <n v="3"/>
    <x v="3"/>
    <x v="7"/>
    <n v="1"/>
    <s v="Married"/>
    <n v="16880"/>
    <n v="22422"/>
    <n v="4"/>
    <s v="Y"/>
    <x v="0"/>
    <n v="11"/>
    <n v="3"/>
    <n v="2"/>
    <n v="80"/>
    <n v="0"/>
    <n v="25"/>
    <n v="2"/>
    <n v="3"/>
    <n v="3"/>
    <n v="2"/>
    <n v="1"/>
    <n v="2"/>
    <n v="0"/>
    <x v="1"/>
  </r>
  <r>
    <n v="40"/>
    <s v="Yes"/>
    <s v="Travel_Rarely"/>
    <n v="299"/>
    <x v="0"/>
    <n v="25"/>
    <n v="4"/>
    <x v="3"/>
    <n v="1"/>
    <x v="946"/>
    <n v="4"/>
    <s v="Male"/>
    <n v="57"/>
    <n v="2"/>
    <x v="2"/>
    <x v="0"/>
    <n v="2"/>
    <s v="Single"/>
    <n v="9094"/>
    <n v="17235"/>
    <n v="2"/>
    <s v="Y"/>
    <x v="0"/>
    <n v="12"/>
    <n v="3"/>
    <n v="3"/>
    <n v="80"/>
    <n v="0"/>
    <n v="9"/>
    <n v="2"/>
    <n v="3"/>
    <n v="5"/>
    <n v="4"/>
    <n v="1"/>
    <n v="0"/>
    <n v="1"/>
    <x v="0"/>
  </r>
  <r>
    <n v="52"/>
    <s v="Yes"/>
    <s v="Travel_Rarely"/>
    <n v="1030"/>
    <x v="0"/>
    <n v="5"/>
    <n v="3"/>
    <x v="0"/>
    <n v="1"/>
    <x v="947"/>
    <n v="2"/>
    <s v="Male"/>
    <n v="64"/>
    <n v="3"/>
    <x v="2"/>
    <x v="0"/>
    <n v="2"/>
    <s v="Single"/>
    <n v="8446"/>
    <n v="21534"/>
    <n v="9"/>
    <s v="Y"/>
    <x v="0"/>
    <n v="19"/>
    <n v="3"/>
    <n v="3"/>
    <n v="80"/>
    <n v="0"/>
    <n v="10"/>
    <n v="2"/>
    <n v="2"/>
    <n v="8"/>
    <n v="7"/>
    <n v="7"/>
    <n v="7"/>
    <n v="1"/>
    <x v="1"/>
  </r>
  <r>
    <n v="30"/>
    <s v="No"/>
    <s v="Travel_Rarely"/>
    <n v="634"/>
    <x v="1"/>
    <n v="17"/>
    <n v="4"/>
    <x v="2"/>
    <n v="1"/>
    <x v="948"/>
    <n v="2"/>
    <s v="Female"/>
    <n v="95"/>
    <n v="3"/>
    <x v="2"/>
    <x v="5"/>
    <n v="1"/>
    <s v="Married"/>
    <n v="11916"/>
    <n v="25927"/>
    <n v="1"/>
    <s v="Y"/>
    <x v="0"/>
    <n v="23"/>
    <n v="4"/>
    <n v="4"/>
    <n v="80"/>
    <n v="2"/>
    <n v="9"/>
    <n v="2"/>
    <n v="3"/>
    <n v="9"/>
    <n v="1"/>
    <n v="0"/>
    <n v="8"/>
    <n v="0"/>
    <x v="2"/>
  </r>
  <r>
    <n v="39"/>
    <s v="No"/>
    <s v="Travel_Rarely"/>
    <n v="524"/>
    <x v="1"/>
    <n v="18"/>
    <n v="2"/>
    <x v="0"/>
    <n v="1"/>
    <x v="949"/>
    <n v="1"/>
    <s v="Male"/>
    <n v="32"/>
    <n v="3"/>
    <x v="0"/>
    <x v="3"/>
    <n v="3"/>
    <s v="Single"/>
    <n v="4534"/>
    <n v="13352"/>
    <n v="0"/>
    <s v="Y"/>
    <x v="1"/>
    <n v="11"/>
    <n v="3"/>
    <n v="1"/>
    <n v="80"/>
    <n v="0"/>
    <n v="9"/>
    <n v="6"/>
    <n v="3"/>
    <n v="8"/>
    <n v="7"/>
    <n v="1"/>
    <n v="7"/>
    <n v="0"/>
    <x v="0"/>
  </r>
  <r>
    <n v="31"/>
    <s v="No"/>
    <s v="Non-Travel"/>
    <n v="587"/>
    <x v="0"/>
    <n v="2"/>
    <n v="4"/>
    <x v="0"/>
    <n v="1"/>
    <x v="950"/>
    <n v="4"/>
    <s v="Female"/>
    <n v="57"/>
    <n v="3"/>
    <x v="2"/>
    <x v="0"/>
    <n v="3"/>
    <s v="Divorced"/>
    <n v="9852"/>
    <n v="8935"/>
    <n v="1"/>
    <s v="Y"/>
    <x v="0"/>
    <n v="19"/>
    <n v="3"/>
    <n v="1"/>
    <n v="80"/>
    <n v="1"/>
    <n v="10"/>
    <n v="5"/>
    <n v="2"/>
    <n v="10"/>
    <n v="8"/>
    <n v="9"/>
    <n v="6"/>
    <n v="0"/>
    <x v="2"/>
  </r>
  <r>
    <n v="41"/>
    <s v="No"/>
    <s v="Non-Travel"/>
    <n v="256"/>
    <x v="0"/>
    <n v="10"/>
    <n v="2"/>
    <x v="2"/>
    <n v="1"/>
    <x v="951"/>
    <n v="3"/>
    <s v="Male"/>
    <n v="40"/>
    <n v="1"/>
    <x v="0"/>
    <x v="0"/>
    <n v="2"/>
    <s v="Single"/>
    <n v="6151"/>
    <n v="22074"/>
    <n v="1"/>
    <s v="Y"/>
    <x v="1"/>
    <n v="13"/>
    <n v="3"/>
    <n v="1"/>
    <n v="80"/>
    <n v="0"/>
    <n v="19"/>
    <n v="4"/>
    <n v="3"/>
    <n v="19"/>
    <n v="2"/>
    <n v="11"/>
    <n v="9"/>
    <n v="0"/>
    <x v="0"/>
  </r>
  <r>
    <n v="31"/>
    <s v="Yes"/>
    <s v="Travel_Frequently"/>
    <n v="1060"/>
    <x v="0"/>
    <n v="1"/>
    <n v="3"/>
    <x v="0"/>
    <n v="1"/>
    <x v="952"/>
    <n v="4"/>
    <s v="Female"/>
    <n v="54"/>
    <n v="3"/>
    <x v="1"/>
    <x v="6"/>
    <n v="2"/>
    <s v="Single"/>
    <n v="2302"/>
    <n v="8319"/>
    <n v="1"/>
    <s v="Y"/>
    <x v="0"/>
    <n v="11"/>
    <n v="3"/>
    <n v="1"/>
    <n v="80"/>
    <n v="0"/>
    <n v="3"/>
    <n v="2"/>
    <n v="4"/>
    <n v="3"/>
    <n v="2"/>
    <n v="2"/>
    <n v="2"/>
    <n v="1"/>
    <x v="2"/>
  </r>
  <r>
    <n v="44"/>
    <s v="Yes"/>
    <s v="Travel_Rarely"/>
    <n v="935"/>
    <x v="1"/>
    <n v="3"/>
    <n v="3"/>
    <x v="0"/>
    <n v="1"/>
    <x v="953"/>
    <n v="1"/>
    <s v="Male"/>
    <n v="89"/>
    <n v="3"/>
    <x v="1"/>
    <x v="2"/>
    <n v="1"/>
    <s v="Married"/>
    <n v="2362"/>
    <n v="14669"/>
    <n v="4"/>
    <s v="Y"/>
    <x v="1"/>
    <n v="12"/>
    <n v="3"/>
    <n v="3"/>
    <n v="80"/>
    <n v="0"/>
    <n v="10"/>
    <n v="4"/>
    <n v="4"/>
    <n v="3"/>
    <n v="2"/>
    <n v="1"/>
    <n v="2"/>
    <n v="1"/>
    <x v="0"/>
  </r>
  <r>
    <n v="42"/>
    <s v="No"/>
    <s v="Non-Travel"/>
    <n v="495"/>
    <x v="1"/>
    <n v="2"/>
    <n v="1"/>
    <x v="0"/>
    <n v="1"/>
    <x v="954"/>
    <n v="3"/>
    <s v="Male"/>
    <n v="37"/>
    <n v="3"/>
    <x v="3"/>
    <x v="5"/>
    <n v="3"/>
    <s v="Married"/>
    <n v="17861"/>
    <n v="26582"/>
    <n v="0"/>
    <s v="Y"/>
    <x v="0"/>
    <n v="13"/>
    <n v="3"/>
    <n v="4"/>
    <n v="80"/>
    <n v="0"/>
    <n v="21"/>
    <n v="3"/>
    <n v="2"/>
    <n v="20"/>
    <n v="8"/>
    <n v="2"/>
    <n v="10"/>
    <n v="0"/>
    <x v="0"/>
  </r>
  <r>
    <n v="55"/>
    <s v="No"/>
    <s v="Travel_Rarely"/>
    <n v="282"/>
    <x v="1"/>
    <n v="2"/>
    <n v="2"/>
    <x v="2"/>
    <n v="1"/>
    <x v="955"/>
    <n v="4"/>
    <s v="Female"/>
    <n v="58"/>
    <n v="1"/>
    <x v="4"/>
    <x v="5"/>
    <n v="3"/>
    <s v="Married"/>
    <n v="19187"/>
    <n v="6992"/>
    <n v="4"/>
    <s v="Y"/>
    <x v="1"/>
    <n v="14"/>
    <n v="3"/>
    <n v="4"/>
    <n v="80"/>
    <n v="1"/>
    <n v="23"/>
    <n v="5"/>
    <n v="3"/>
    <n v="19"/>
    <n v="9"/>
    <n v="9"/>
    <n v="11"/>
    <n v="0"/>
    <x v="1"/>
  </r>
  <r>
    <n v="56"/>
    <s v="No"/>
    <s v="Travel_Rarely"/>
    <n v="206"/>
    <x v="2"/>
    <n v="8"/>
    <n v="4"/>
    <x v="0"/>
    <n v="1"/>
    <x v="956"/>
    <n v="4"/>
    <s v="Male"/>
    <n v="99"/>
    <n v="3"/>
    <x v="4"/>
    <x v="5"/>
    <n v="2"/>
    <s v="Single"/>
    <n v="19717"/>
    <n v="4022"/>
    <n v="6"/>
    <s v="Y"/>
    <x v="1"/>
    <n v="14"/>
    <n v="3"/>
    <n v="1"/>
    <n v="80"/>
    <n v="0"/>
    <n v="36"/>
    <n v="4"/>
    <n v="3"/>
    <n v="7"/>
    <n v="3"/>
    <n v="7"/>
    <n v="7"/>
    <n v="0"/>
    <x v="3"/>
  </r>
  <r>
    <n v="40"/>
    <s v="No"/>
    <s v="Non-Travel"/>
    <n v="458"/>
    <x v="1"/>
    <n v="16"/>
    <n v="2"/>
    <x v="0"/>
    <n v="1"/>
    <x v="957"/>
    <n v="3"/>
    <s v="Male"/>
    <n v="74"/>
    <n v="3"/>
    <x v="1"/>
    <x v="1"/>
    <n v="3"/>
    <s v="Divorced"/>
    <n v="3544"/>
    <n v="8532"/>
    <n v="9"/>
    <s v="Y"/>
    <x v="1"/>
    <n v="16"/>
    <n v="3"/>
    <n v="2"/>
    <n v="80"/>
    <n v="1"/>
    <n v="6"/>
    <n v="0"/>
    <n v="3"/>
    <n v="4"/>
    <n v="2"/>
    <n v="0"/>
    <n v="0"/>
    <n v="0"/>
    <x v="0"/>
  </r>
  <r>
    <n v="34"/>
    <s v="No"/>
    <s v="Travel_Rarely"/>
    <n v="943"/>
    <x v="1"/>
    <n v="9"/>
    <n v="3"/>
    <x v="0"/>
    <n v="1"/>
    <x v="958"/>
    <n v="4"/>
    <s v="Male"/>
    <n v="86"/>
    <n v="3"/>
    <x v="2"/>
    <x v="4"/>
    <n v="4"/>
    <s v="Divorced"/>
    <n v="8500"/>
    <n v="5494"/>
    <n v="0"/>
    <s v="Y"/>
    <x v="1"/>
    <n v="11"/>
    <n v="3"/>
    <n v="4"/>
    <n v="80"/>
    <n v="1"/>
    <n v="10"/>
    <n v="0"/>
    <n v="2"/>
    <n v="9"/>
    <n v="7"/>
    <n v="1"/>
    <n v="6"/>
    <n v="0"/>
    <x v="2"/>
  </r>
  <r>
    <n v="40"/>
    <s v="No"/>
    <s v="Travel_Rarely"/>
    <n v="523"/>
    <x v="1"/>
    <n v="2"/>
    <n v="3"/>
    <x v="0"/>
    <n v="1"/>
    <x v="959"/>
    <n v="3"/>
    <s v="Male"/>
    <n v="98"/>
    <n v="3"/>
    <x v="0"/>
    <x v="1"/>
    <n v="4"/>
    <s v="Single"/>
    <n v="4661"/>
    <n v="22455"/>
    <n v="1"/>
    <s v="Y"/>
    <x v="1"/>
    <n v="13"/>
    <n v="3"/>
    <n v="3"/>
    <n v="80"/>
    <n v="0"/>
    <n v="9"/>
    <n v="4"/>
    <n v="3"/>
    <n v="9"/>
    <n v="8"/>
    <n v="8"/>
    <n v="8"/>
    <n v="0"/>
    <x v="0"/>
  </r>
  <r>
    <n v="41"/>
    <s v="No"/>
    <s v="Travel_Frequently"/>
    <n v="1018"/>
    <x v="0"/>
    <n v="1"/>
    <n v="3"/>
    <x v="3"/>
    <n v="1"/>
    <x v="960"/>
    <n v="3"/>
    <s v="Female"/>
    <n v="66"/>
    <n v="3"/>
    <x v="0"/>
    <x v="0"/>
    <n v="1"/>
    <s v="Divorced"/>
    <n v="4103"/>
    <n v="4297"/>
    <n v="0"/>
    <s v="Y"/>
    <x v="1"/>
    <n v="17"/>
    <n v="3"/>
    <n v="4"/>
    <n v="80"/>
    <n v="1"/>
    <n v="10"/>
    <n v="2"/>
    <n v="3"/>
    <n v="9"/>
    <n v="3"/>
    <n v="1"/>
    <n v="7"/>
    <n v="0"/>
    <x v="0"/>
  </r>
  <r>
    <n v="35"/>
    <s v="No"/>
    <s v="Travel_Frequently"/>
    <n v="482"/>
    <x v="1"/>
    <n v="4"/>
    <n v="4"/>
    <x v="0"/>
    <n v="1"/>
    <x v="961"/>
    <n v="3"/>
    <s v="Male"/>
    <n v="87"/>
    <n v="3"/>
    <x v="0"/>
    <x v="1"/>
    <n v="3"/>
    <s v="Single"/>
    <n v="4249"/>
    <n v="2690"/>
    <n v="1"/>
    <s v="Y"/>
    <x v="0"/>
    <n v="11"/>
    <n v="3"/>
    <n v="2"/>
    <n v="80"/>
    <n v="0"/>
    <n v="9"/>
    <n v="3"/>
    <n v="3"/>
    <n v="9"/>
    <n v="6"/>
    <n v="1"/>
    <n v="1"/>
    <n v="0"/>
    <x v="2"/>
  </r>
  <r>
    <n v="51"/>
    <s v="No"/>
    <s v="Travel_Rarely"/>
    <n v="770"/>
    <x v="2"/>
    <n v="5"/>
    <n v="3"/>
    <x v="0"/>
    <n v="1"/>
    <x v="962"/>
    <n v="3"/>
    <s v="Male"/>
    <n v="84"/>
    <n v="3"/>
    <x v="3"/>
    <x v="5"/>
    <n v="2"/>
    <s v="Divorced"/>
    <n v="14026"/>
    <n v="17588"/>
    <n v="1"/>
    <s v="Y"/>
    <x v="0"/>
    <n v="11"/>
    <n v="3"/>
    <n v="2"/>
    <n v="80"/>
    <n v="1"/>
    <n v="33"/>
    <n v="2"/>
    <n v="3"/>
    <n v="33"/>
    <n v="9"/>
    <n v="0"/>
    <n v="10"/>
    <n v="0"/>
    <x v="1"/>
  </r>
  <r>
    <n v="38"/>
    <s v="No"/>
    <s v="Travel_Rarely"/>
    <n v="1009"/>
    <x v="0"/>
    <n v="2"/>
    <n v="2"/>
    <x v="0"/>
    <n v="1"/>
    <x v="963"/>
    <n v="2"/>
    <s v="Female"/>
    <n v="31"/>
    <n v="3"/>
    <x v="0"/>
    <x v="0"/>
    <n v="1"/>
    <s v="Divorced"/>
    <n v="6893"/>
    <n v="19461"/>
    <n v="3"/>
    <s v="Y"/>
    <x v="1"/>
    <n v="15"/>
    <n v="3"/>
    <n v="4"/>
    <n v="80"/>
    <n v="1"/>
    <n v="11"/>
    <n v="3"/>
    <n v="3"/>
    <n v="7"/>
    <n v="7"/>
    <n v="1"/>
    <n v="7"/>
    <n v="0"/>
    <x v="0"/>
  </r>
  <r>
    <n v="34"/>
    <s v="No"/>
    <s v="Travel_Rarely"/>
    <n v="507"/>
    <x v="0"/>
    <n v="15"/>
    <n v="2"/>
    <x v="2"/>
    <n v="1"/>
    <x v="964"/>
    <n v="3"/>
    <s v="Female"/>
    <n v="66"/>
    <n v="3"/>
    <x v="0"/>
    <x v="0"/>
    <n v="1"/>
    <s v="Single"/>
    <n v="6125"/>
    <n v="23553"/>
    <n v="1"/>
    <s v="Y"/>
    <x v="1"/>
    <n v="12"/>
    <n v="3"/>
    <n v="4"/>
    <n v="80"/>
    <n v="0"/>
    <n v="10"/>
    <n v="6"/>
    <n v="4"/>
    <n v="10"/>
    <n v="8"/>
    <n v="9"/>
    <n v="6"/>
    <n v="0"/>
    <x v="2"/>
  </r>
  <r>
    <n v="25"/>
    <s v="No"/>
    <s v="Travel_Rarely"/>
    <n v="882"/>
    <x v="1"/>
    <n v="19"/>
    <n v="1"/>
    <x v="2"/>
    <n v="1"/>
    <x v="965"/>
    <n v="4"/>
    <s v="Male"/>
    <n v="67"/>
    <n v="3"/>
    <x v="1"/>
    <x v="2"/>
    <n v="4"/>
    <s v="Married"/>
    <n v="3669"/>
    <n v="9075"/>
    <n v="3"/>
    <s v="Y"/>
    <x v="1"/>
    <n v="11"/>
    <n v="3"/>
    <n v="3"/>
    <n v="80"/>
    <n v="3"/>
    <n v="7"/>
    <n v="6"/>
    <n v="2"/>
    <n v="3"/>
    <n v="2"/>
    <n v="1"/>
    <n v="2"/>
    <n v="0"/>
    <x v="4"/>
  </r>
  <r>
    <n v="58"/>
    <s v="Yes"/>
    <s v="Travel_Rarely"/>
    <n v="601"/>
    <x v="1"/>
    <n v="7"/>
    <n v="4"/>
    <x v="2"/>
    <n v="1"/>
    <x v="966"/>
    <n v="3"/>
    <s v="Female"/>
    <n v="53"/>
    <n v="2"/>
    <x v="2"/>
    <x v="3"/>
    <n v="1"/>
    <s v="Married"/>
    <n v="10008"/>
    <n v="12023"/>
    <n v="7"/>
    <s v="Y"/>
    <x v="0"/>
    <n v="14"/>
    <n v="3"/>
    <n v="4"/>
    <n v="80"/>
    <n v="0"/>
    <n v="31"/>
    <n v="0"/>
    <n v="2"/>
    <n v="10"/>
    <n v="9"/>
    <n v="5"/>
    <n v="9"/>
    <n v="1"/>
    <x v="3"/>
  </r>
  <r>
    <n v="40"/>
    <s v="No"/>
    <s v="Travel_Rarely"/>
    <n v="329"/>
    <x v="1"/>
    <n v="1"/>
    <n v="4"/>
    <x v="0"/>
    <n v="1"/>
    <x v="967"/>
    <n v="2"/>
    <s v="Male"/>
    <n v="88"/>
    <n v="3"/>
    <x v="1"/>
    <x v="2"/>
    <n v="2"/>
    <s v="Married"/>
    <n v="2387"/>
    <n v="6762"/>
    <n v="3"/>
    <s v="Y"/>
    <x v="1"/>
    <n v="22"/>
    <n v="4"/>
    <n v="3"/>
    <n v="80"/>
    <n v="1"/>
    <n v="7"/>
    <n v="3"/>
    <n v="3"/>
    <n v="4"/>
    <n v="2"/>
    <n v="0"/>
    <n v="3"/>
    <n v="0"/>
    <x v="0"/>
  </r>
  <r>
    <n v="36"/>
    <s v="No"/>
    <s v="Travel_Frequently"/>
    <n v="607"/>
    <x v="0"/>
    <n v="7"/>
    <n v="3"/>
    <x v="3"/>
    <n v="1"/>
    <x v="968"/>
    <n v="1"/>
    <s v="Female"/>
    <n v="83"/>
    <n v="4"/>
    <x v="0"/>
    <x v="0"/>
    <n v="1"/>
    <s v="Married"/>
    <n v="4639"/>
    <n v="2261"/>
    <n v="2"/>
    <s v="Y"/>
    <x v="1"/>
    <n v="16"/>
    <n v="3"/>
    <n v="4"/>
    <n v="80"/>
    <n v="1"/>
    <n v="17"/>
    <n v="2"/>
    <n v="2"/>
    <n v="15"/>
    <n v="7"/>
    <n v="6"/>
    <n v="13"/>
    <n v="0"/>
    <x v="0"/>
  </r>
  <r>
    <n v="48"/>
    <s v="No"/>
    <s v="Travel_Rarely"/>
    <n v="855"/>
    <x v="1"/>
    <n v="4"/>
    <n v="3"/>
    <x v="0"/>
    <n v="1"/>
    <x v="969"/>
    <n v="4"/>
    <s v="Male"/>
    <n v="54"/>
    <n v="3"/>
    <x v="2"/>
    <x v="3"/>
    <n v="4"/>
    <s v="Single"/>
    <n v="7898"/>
    <n v="18706"/>
    <n v="1"/>
    <s v="Y"/>
    <x v="1"/>
    <n v="11"/>
    <n v="3"/>
    <n v="3"/>
    <n v="80"/>
    <n v="0"/>
    <n v="11"/>
    <n v="2"/>
    <n v="3"/>
    <n v="10"/>
    <n v="9"/>
    <n v="0"/>
    <n v="8"/>
    <n v="0"/>
    <x v="1"/>
  </r>
  <r>
    <n v="27"/>
    <s v="No"/>
    <s v="Travel_Rarely"/>
    <n v="1291"/>
    <x v="0"/>
    <n v="11"/>
    <n v="3"/>
    <x v="2"/>
    <n v="1"/>
    <x v="970"/>
    <n v="3"/>
    <s v="Female"/>
    <n v="98"/>
    <n v="4"/>
    <x v="1"/>
    <x v="6"/>
    <n v="4"/>
    <s v="Married"/>
    <n v="2534"/>
    <n v="6527"/>
    <n v="8"/>
    <s v="Y"/>
    <x v="1"/>
    <n v="14"/>
    <n v="3"/>
    <n v="2"/>
    <n v="80"/>
    <n v="1"/>
    <n v="5"/>
    <n v="4"/>
    <n v="3"/>
    <n v="1"/>
    <n v="0"/>
    <n v="0"/>
    <n v="0"/>
    <n v="0"/>
    <x v="2"/>
  </r>
  <r>
    <n v="51"/>
    <s v="No"/>
    <s v="Travel_Rarely"/>
    <n v="1405"/>
    <x v="1"/>
    <n v="11"/>
    <n v="2"/>
    <x v="4"/>
    <n v="1"/>
    <x v="971"/>
    <n v="4"/>
    <s v="Female"/>
    <n v="82"/>
    <n v="2"/>
    <x v="3"/>
    <x v="3"/>
    <n v="2"/>
    <s v="Single"/>
    <n v="13142"/>
    <n v="24439"/>
    <n v="3"/>
    <s v="Y"/>
    <x v="1"/>
    <n v="16"/>
    <n v="3"/>
    <n v="2"/>
    <n v="80"/>
    <n v="0"/>
    <n v="29"/>
    <n v="1"/>
    <n v="2"/>
    <n v="5"/>
    <n v="2"/>
    <n v="0"/>
    <n v="3"/>
    <n v="0"/>
    <x v="1"/>
  </r>
  <r>
    <n v="18"/>
    <s v="No"/>
    <s v="Non-Travel"/>
    <n v="1124"/>
    <x v="1"/>
    <n v="1"/>
    <n v="3"/>
    <x v="0"/>
    <n v="1"/>
    <x v="972"/>
    <n v="4"/>
    <s v="Female"/>
    <n v="97"/>
    <n v="3"/>
    <x v="1"/>
    <x v="2"/>
    <n v="4"/>
    <s v="Single"/>
    <n v="1611"/>
    <n v="19305"/>
    <n v="1"/>
    <s v="Y"/>
    <x v="1"/>
    <n v="15"/>
    <n v="3"/>
    <n v="3"/>
    <n v="80"/>
    <n v="0"/>
    <n v="0"/>
    <n v="5"/>
    <n v="4"/>
    <n v="0"/>
    <n v="0"/>
    <n v="0"/>
    <n v="0"/>
    <n v="0"/>
    <x v="4"/>
  </r>
  <r>
    <n v="35"/>
    <s v="No"/>
    <s v="Travel_Rarely"/>
    <n v="817"/>
    <x v="1"/>
    <n v="1"/>
    <n v="3"/>
    <x v="2"/>
    <n v="1"/>
    <x v="973"/>
    <n v="4"/>
    <s v="Female"/>
    <n v="60"/>
    <n v="2"/>
    <x v="0"/>
    <x v="2"/>
    <n v="4"/>
    <s v="Married"/>
    <n v="5363"/>
    <n v="10846"/>
    <n v="0"/>
    <s v="Y"/>
    <x v="1"/>
    <n v="12"/>
    <n v="3"/>
    <n v="2"/>
    <n v="80"/>
    <n v="1"/>
    <n v="10"/>
    <n v="0"/>
    <n v="3"/>
    <n v="9"/>
    <n v="7"/>
    <n v="0"/>
    <n v="0"/>
    <n v="0"/>
    <x v="2"/>
  </r>
  <r>
    <n v="27"/>
    <s v="No"/>
    <s v="Travel_Frequently"/>
    <n v="793"/>
    <x v="0"/>
    <n v="2"/>
    <n v="1"/>
    <x v="0"/>
    <n v="1"/>
    <x v="974"/>
    <n v="4"/>
    <s v="Male"/>
    <n v="43"/>
    <n v="1"/>
    <x v="0"/>
    <x v="0"/>
    <n v="4"/>
    <s v="Single"/>
    <n v="5071"/>
    <n v="20392"/>
    <n v="3"/>
    <s v="Y"/>
    <x v="1"/>
    <n v="20"/>
    <n v="4"/>
    <n v="2"/>
    <n v="80"/>
    <n v="0"/>
    <n v="8"/>
    <n v="3"/>
    <n v="3"/>
    <n v="6"/>
    <n v="2"/>
    <n v="0"/>
    <n v="0"/>
    <n v="0"/>
    <x v="2"/>
  </r>
  <r>
    <n v="55"/>
    <s v="Yes"/>
    <s v="Travel_Rarely"/>
    <n v="267"/>
    <x v="0"/>
    <n v="13"/>
    <n v="4"/>
    <x v="3"/>
    <n v="1"/>
    <x v="975"/>
    <n v="1"/>
    <s v="Male"/>
    <n v="85"/>
    <n v="4"/>
    <x v="3"/>
    <x v="0"/>
    <n v="3"/>
    <s v="Single"/>
    <n v="13695"/>
    <n v="9277"/>
    <n v="6"/>
    <s v="Y"/>
    <x v="0"/>
    <n v="17"/>
    <n v="3"/>
    <n v="3"/>
    <n v="80"/>
    <n v="0"/>
    <n v="24"/>
    <n v="2"/>
    <n v="2"/>
    <n v="19"/>
    <n v="7"/>
    <n v="3"/>
    <n v="8"/>
    <n v="1"/>
    <x v="1"/>
  </r>
  <r>
    <n v="56"/>
    <s v="No"/>
    <s v="Travel_Rarely"/>
    <n v="1369"/>
    <x v="1"/>
    <n v="23"/>
    <n v="3"/>
    <x v="0"/>
    <n v="1"/>
    <x v="976"/>
    <n v="4"/>
    <s v="Male"/>
    <n v="68"/>
    <n v="3"/>
    <x v="3"/>
    <x v="3"/>
    <n v="2"/>
    <s v="Married"/>
    <n v="13402"/>
    <n v="18235"/>
    <n v="4"/>
    <s v="Y"/>
    <x v="0"/>
    <n v="12"/>
    <n v="3"/>
    <n v="1"/>
    <n v="80"/>
    <n v="1"/>
    <n v="33"/>
    <n v="0"/>
    <n v="3"/>
    <n v="19"/>
    <n v="16"/>
    <n v="15"/>
    <n v="9"/>
    <n v="0"/>
    <x v="3"/>
  </r>
  <r>
    <n v="34"/>
    <s v="No"/>
    <s v="Non-Travel"/>
    <n v="999"/>
    <x v="1"/>
    <n v="26"/>
    <n v="1"/>
    <x v="4"/>
    <n v="1"/>
    <x v="977"/>
    <n v="1"/>
    <s v="Female"/>
    <n v="92"/>
    <n v="2"/>
    <x v="1"/>
    <x v="1"/>
    <n v="3"/>
    <s v="Divorced"/>
    <n v="2029"/>
    <n v="15891"/>
    <n v="1"/>
    <s v="Y"/>
    <x v="1"/>
    <n v="20"/>
    <n v="4"/>
    <n v="3"/>
    <n v="80"/>
    <n v="3"/>
    <n v="5"/>
    <n v="2"/>
    <n v="3"/>
    <n v="5"/>
    <n v="4"/>
    <n v="0"/>
    <n v="0"/>
    <n v="0"/>
    <x v="2"/>
  </r>
  <r>
    <n v="40"/>
    <s v="No"/>
    <s v="Travel_Rarely"/>
    <n v="1202"/>
    <x v="1"/>
    <n v="2"/>
    <n v="1"/>
    <x v="2"/>
    <n v="1"/>
    <x v="978"/>
    <n v="2"/>
    <s v="Female"/>
    <n v="89"/>
    <n v="4"/>
    <x v="0"/>
    <x v="4"/>
    <n v="3"/>
    <s v="Divorced"/>
    <n v="6377"/>
    <n v="13888"/>
    <n v="5"/>
    <s v="Y"/>
    <x v="1"/>
    <n v="20"/>
    <n v="4"/>
    <n v="2"/>
    <n v="80"/>
    <n v="3"/>
    <n v="15"/>
    <n v="0"/>
    <n v="3"/>
    <n v="12"/>
    <n v="11"/>
    <n v="11"/>
    <n v="8"/>
    <n v="0"/>
    <x v="0"/>
  </r>
  <r>
    <n v="34"/>
    <s v="No"/>
    <s v="Travel_Rarely"/>
    <n v="285"/>
    <x v="1"/>
    <n v="29"/>
    <n v="3"/>
    <x v="2"/>
    <n v="1"/>
    <x v="979"/>
    <n v="2"/>
    <s v="Male"/>
    <n v="86"/>
    <n v="3"/>
    <x v="0"/>
    <x v="2"/>
    <n v="3"/>
    <s v="Married"/>
    <n v="5429"/>
    <n v="17491"/>
    <n v="4"/>
    <s v="Y"/>
    <x v="1"/>
    <n v="13"/>
    <n v="3"/>
    <n v="1"/>
    <n v="80"/>
    <n v="2"/>
    <n v="10"/>
    <n v="1"/>
    <n v="3"/>
    <n v="8"/>
    <n v="7"/>
    <n v="7"/>
    <n v="7"/>
    <n v="0"/>
    <x v="2"/>
  </r>
  <r>
    <n v="31"/>
    <s v="Yes"/>
    <s v="Travel_Frequently"/>
    <n v="703"/>
    <x v="0"/>
    <n v="2"/>
    <n v="3"/>
    <x v="0"/>
    <n v="1"/>
    <x v="980"/>
    <n v="3"/>
    <s v="Female"/>
    <n v="90"/>
    <n v="2"/>
    <x v="1"/>
    <x v="6"/>
    <n v="4"/>
    <s v="Single"/>
    <n v="2785"/>
    <n v="11882"/>
    <n v="7"/>
    <s v="Y"/>
    <x v="1"/>
    <n v="14"/>
    <n v="3"/>
    <n v="3"/>
    <n v="80"/>
    <n v="0"/>
    <n v="3"/>
    <n v="3"/>
    <n v="4"/>
    <n v="1"/>
    <n v="0"/>
    <n v="0"/>
    <n v="0"/>
    <n v="1"/>
    <x v="2"/>
  </r>
  <r>
    <n v="35"/>
    <s v="Yes"/>
    <s v="Travel_Frequently"/>
    <n v="662"/>
    <x v="0"/>
    <n v="18"/>
    <n v="4"/>
    <x v="3"/>
    <n v="1"/>
    <x v="981"/>
    <n v="4"/>
    <s v="Female"/>
    <n v="67"/>
    <n v="3"/>
    <x v="0"/>
    <x v="0"/>
    <n v="3"/>
    <s v="Married"/>
    <n v="4614"/>
    <n v="23288"/>
    <n v="0"/>
    <s v="Y"/>
    <x v="0"/>
    <n v="18"/>
    <n v="3"/>
    <n v="3"/>
    <n v="80"/>
    <n v="1"/>
    <n v="5"/>
    <n v="0"/>
    <n v="2"/>
    <n v="4"/>
    <n v="2"/>
    <n v="3"/>
    <n v="2"/>
    <n v="1"/>
    <x v="2"/>
  </r>
  <r>
    <n v="38"/>
    <s v="No"/>
    <s v="Travel_Frequently"/>
    <n v="693"/>
    <x v="1"/>
    <n v="7"/>
    <n v="3"/>
    <x v="0"/>
    <n v="1"/>
    <x v="982"/>
    <n v="4"/>
    <s v="Male"/>
    <n v="57"/>
    <n v="4"/>
    <x v="1"/>
    <x v="1"/>
    <n v="3"/>
    <s v="Divorced"/>
    <n v="2610"/>
    <n v="15748"/>
    <n v="1"/>
    <s v="Y"/>
    <x v="1"/>
    <n v="11"/>
    <n v="3"/>
    <n v="4"/>
    <n v="80"/>
    <n v="3"/>
    <n v="4"/>
    <n v="2"/>
    <n v="3"/>
    <n v="4"/>
    <n v="2"/>
    <n v="0"/>
    <n v="3"/>
    <n v="0"/>
    <x v="0"/>
  </r>
  <r>
    <n v="34"/>
    <s v="No"/>
    <s v="Travel_Rarely"/>
    <n v="404"/>
    <x v="1"/>
    <n v="2"/>
    <n v="4"/>
    <x v="4"/>
    <n v="1"/>
    <x v="983"/>
    <n v="3"/>
    <s v="Female"/>
    <n v="98"/>
    <n v="3"/>
    <x v="0"/>
    <x v="4"/>
    <n v="4"/>
    <s v="Single"/>
    <n v="6687"/>
    <n v="6163"/>
    <n v="1"/>
    <s v="Y"/>
    <x v="1"/>
    <n v="11"/>
    <n v="3"/>
    <n v="4"/>
    <n v="80"/>
    <n v="0"/>
    <n v="14"/>
    <n v="2"/>
    <n v="4"/>
    <n v="14"/>
    <n v="11"/>
    <n v="4"/>
    <n v="11"/>
    <n v="0"/>
    <x v="2"/>
  </r>
  <r>
    <n v="28"/>
    <s v="No"/>
    <s v="Travel_Rarely"/>
    <n v="736"/>
    <x v="0"/>
    <n v="26"/>
    <n v="3"/>
    <x v="0"/>
    <n v="1"/>
    <x v="984"/>
    <n v="3"/>
    <s v="Male"/>
    <n v="48"/>
    <n v="2"/>
    <x v="0"/>
    <x v="0"/>
    <n v="1"/>
    <s v="Married"/>
    <n v="4724"/>
    <n v="24232"/>
    <n v="1"/>
    <s v="Y"/>
    <x v="1"/>
    <n v="11"/>
    <n v="3"/>
    <n v="3"/>
    <n v="80"/>
    <n v="1"/>
    <n v="5"/>
    <n v="0"/>
    <n v="3"/>
    <n v="5"/>
    <n v="3"/>
    <n v="0"/>
    <n v="4"/>
    <n v="0"/>
    <x v="2"/>
  </r>
  <r>
    <n v="31"/>
    <s v="Yes"/>
    <s v="Travel_Rarely"/>
    <n v="330"/>
    <x v="1"/>
    <n v="22"/>
    <n v="4"/>
    <x v="2"/>
    <n v="1"/>
    <x v="985"/>
    <n v="4"/>
    <s v="Male"/>
    <n v="98"/>
    <n v="3"/>
    <x v="0"/>
    <x v="3"/>
    <n v="3"/>
    <s v="Married"/>
    <n v="6179"/>
    <n v="21057"/>
    <n v="1"/>
    <s v="Y"/>
    <x v="0"/>
    <n v="15"/>
    <n v="3"/>
    <n v="4"/>
    <n v="80"/>
    <n v="2"/>
    <n v="10"/>
    <n v="3"/>
    <n v="2"/>
    <n v="10"/>
    <n v="2"/>
    <n v="6"/>
    <n v="7"/>
    <n v="1"/>
    <x v="2"/>
  </r>
  <r>
    <n v="39"/>
    <s v="No"/>
    <s v="Travel_Rarely"/>
    <n v="1498"/>
    <x v="0"/>
    <n v="21"/>
    <n v="4"/>
    <x v="0"/>
    <n v="1"/>
    <x v="986"/>
    <n v="1"/>
    <s v="Male"/>
    <n v="44"/>
    <n v="2"/>
    <x v="0"/>
    <x v="0"/>
    <n v="4"/>
    <s v="Married"/>
    <n v="6120"/>
    <n v="3567"/>
    <n v="3"/>
    <s v="Y"/>
    <x v="0"/>
    <n v="12"/>
    <n v="3"/>
    <n v="4"/>
    <n v="80"/>
    <n v="2"/>
    <n v="8"/>
    <n v="2"/>
    <n v="4"/>
    <n v="5"/>
    <n v="4"/>
    <n v="1"/>
    <n v="4"/>
    <n v="0"/>
    <x v="0"/>
  </r>
  <r>
    <n v="51"/>
    <s v="No"/>
    <s v="Travel_Frequently"/>
    <n v="541"/>
    <x v="0"/>
    <n v="2"/>
    <n v="3"/>
    <x v="3"/>
    <n v="1"/>
    <x v="987"/>
    <n v="2"/>
    <s v="Male"/>
    <n v="52"/>
    <n v="3"/>
    <x v="2"/>
    <x v="0"/>
    <n v="2"/>
    <s v="Married"/>
    <n v="10596"/>
    <n v="15395"/>
    <n v="2"/>
    <s v="Y"/>
    <x v="1"/>
    <n v="11"/>
    <n v="3"/>
    <n v="2"/>
    <n v="80"/>
    <n v="0"/>
    <n v="14"/>
    <n v="5"/>
    <n v="3"/>
    <n v="4"/>
    <n v="2"/>
    <n v="3"/>
    <n v="2"/>
    <n v="0"/>
    <x v="1"/>
  </r>
  <r>
    <n v="41"/>
    <s v="No"/>
    <s v="Travel_Frequently"/>
    <n v="1200"/>
    <x v="1"/>
    <n v="22"/>
    <n v="3"/>
    <x v="0"/>
    <n v="1"/>
    <x v="988"/>
    <n v="4"/>
    <s v="Female"/>
    <n v="75"/>
    <n v="3"/>
    <x v="0"/>
    <x v="1"/>
    <n v="4"/>
    <s v="Divorced"/>
    <n v="5467"/>
    <n v="13953"/>
    <n v="3"/>
    <s v="Y"/>
    <x v="0"/>
    <n v="14"/>
    <n v="3"/>
    <n v="1"/>
    <n v="80"/>
    <n v="2"/>
    <n v="12"/>
    <n v="4"/>
    <n v="2"/>
    <n v="6"/>
    <n v="2"/>
    <n v="3"/>
    <n v="3"/>
    <n v="0"/>
    <x v="0"/>
  </r>
  <r>
    <n v="37"/>
    <s v="No"/>
    <s v="Travel_Rarely"/>
    <n v="1439"/>
    <x v="1"/>
    <n v="4"/>
    <n v="1"/>
    <x v="0"/>
    <n v="1"/>
    <x v="989"/>
    <n v="3"/>
    <s v="Male"/>
    <n v="54"/>
    <n v="3"/>
    <x v="1"/>
    <x v="1"/>
    <n v="3"/>
    <s v="Married"/>
    <n v="2996"/>
    <n v="5182"/>
    <n v="7"/>
    <s v="Y"/>
    <x v="0"/>
    <n v="15"/>
    <n v="3"/>
    <n v="4"/>
    <n v="80"/>
    <n v="0"/>
    <n v="8"/>
    <n v="2"/>
    <n v="3"/>
    <n v="6"/>
    <n v="4"/>
    <n v="1"/>
    <n v="3"/>
    <n v="0"/>
    <x v="0"/>
  </r>
  <r>
    <n v="33"/>
    <s v="No"/>
    <s v="Travel_Frequently"/>
    <n v="1111"/>
    <x v="0"/>
    <n v="5"/>
    <n v="1"/>
    <x v="0"/>
    <n v="1"/>
    <x v="990"/>
    <n v="2"/>
    <s v="Male"/>
    <n v="61"/>
    <n v="3"/>
    <x v="0"/>
    <x v="0"/>
    <n v="4"/>
    <s v="Married"/>
    <n v="9998"/>
    <n v="19293"/>
    <n v="6"/>
    <s v="Y"/>
    <x v="1"/>
    <n v="13"/>
    <n v="3"/>
    <n v="1"/>
    <n v="80"/>
    <n v="0"/>
    <n v="8"/>
    <n v="2"/>
    <n v="4"/>
    <n v="5"/>
    <n v="4"/>
    <n v="1"/>
    <n v="2"/>
    <n v="0"/>
    <x v="2"/>
  </r>
  <r>
    <n v="32"/>
    <s v="No"/>
    <s v="Travel_Rarely"/>
    <n v="499"/>
    <x v="0"/>
    <n v="2"/>
    <n v="1"/>
    <x v="3"/>
    <n v="1"/>
    <x v="991"/>
    <n v="3"/>
    <s v="Male"/>
    <n v="36"/>
    <n v="3"/>
    <x v="0"/>
    <x v="0"/>
    <n v="2"/>
    <s v="Married"/>
    <n v="4078"/>
    <n v="20497"/>
    <n v="0"/>
    <s v="Y"/>
    <x v="0"/>
    <n v="13"/>
    <n v="3"/>
    <n v="1"/>
    <n v="80"/>
    <n v="3"/>
    <n v="4"/>
    <n v="3"/>
    <n v="2"/>
    <n v="3"/>
    <n v="2"/>
    <n v="1"/>
    <n v="2"/>
    <n v="0"/>
    <x v="2"/>
  </r>
  <r>
    <n v="39"/>
    <s v="No"/>
    <s v="Non-Travel"/>
    <n v="1485"/>
    <x v="1"/>
    <n v="25"/>
    <n v="2"/>
    <x v="0"/>
    <n v="1"/>
    <x v="992"/>
    <n v="3"/>
    <s v="Male"/>
    <n v="71"/>
    <n v="3"/>
    <x v="2"/>
    <x v="4"/>
    <n v="3"/>
    <s v="Married"/>
    <n v="10920"/>
    <n v="3449"/>
    <n v="3"/>
    <s v="Y"/>
    <x v="1"/>
    <n v="21"/>
    <n v="4"/>
    <n v="2"/>
    <n v="80"/>
    <n v="1"/>
    <n v="13"/>
    <n v="2"/>
    <n v="3"/>
    <n v="6"/>
    <n v="4"/>
    <n v="0"/>
    <n v="5"/>
    <n v="0"/>
    <x v="0"/>
  </r>
  <r>
    <n v="25"/>
    <s v="No"/>
    <s v="Travel_Rarely"/>
    <n v="1372"/>
    <x v="0"/>
    <n v="18"/>
    <n v="1"/>
    <x v="0"/>
    <n v="1"/>
    <x v="993"/>
    <n v="1"/>
    <s v="Male"/>
    <n v="93"/>
    <n v="4"/>
    <x v="0"/>
    <x v="0"/>
    <n v="3"/>
    <s v="Married"/>
    <n v="6232"/>
    <n v="12477"/>
    <n v="2"/>
    <s v="Y"/>
    <x v="1"/>
    <n v="11"/>
    <n v="3"/>
    <n v="2"/>
    <n v="80"/>
    <n v="0"/>
    <n v="6"/>
    <n v="3"/>
    <n v="2"/>
    <n v="3"/>
    <n v="2"/>
    <n v="1"/>
    <n v="2"/>
    <n v="0"/>
    <x v="4"/>
  </r>
  <r>
    <n v="52"/>
    <s v="No"/>
    <s v="Travel_Frequently"/>
    <n v="322"/>
    <x v="1"/>
    <n v="28"/>
    <n v="2"/>
    <x v="2"/>
    <n v="1"/>
    <x v="994"/>
    <n v="4"/>
    <s v="Female"/>
    <n v="59"/>
    <n v="4"/>
    <x v="3"/>
    <x v="3"/>
    <n v="3"/>
    <s v="Married"/>
    <n v="13247"/>
    <n v="9731"/>
    <n v="2"/>
    <s v="Y"/>
    <x v="0"/>
    <n v="11"/>
    <n v="3"/>
    <n v="2"/>
    <n v="80"/>
    <n v="1"/>
    <n v="24"/>
    <n v="3"/>
    <n v="2"/>
    <n v="5"/>
    <n v="3"/>
    <n v="0"/>
    <n v="2"/>
    <n v="0"/>
    <x v="1"/>
  </r>
  <r>
    <n v="43"/>
    <s v="No"/>
    <s v="Travel_Rarely"/>
    <n v="930"/>
    <x v="1"/>
    <n v="6"/>
    <n v="3"/>
    <x v="2"/>
    <n v="1"/>
    <x v="995"/>
    <n v="1"/>
    <s v="Female"/>
    <n v="73"/>
    <n v="2"/>
    <x v="0"/>
    <x v="1"/>
    <n v="3"/>
    <s v="Single"/>
    <n v="4081"/>
    <n v="20003"/>
    <n v="1"/>
    <s v="Y"/>
    <x v="0"/>
    <n v="14"/>
    <n v="3"/>
    <n v="1"/>
    <n v="80"/>
    <n v="0"/>
    <n v="20"/>
    <n v="3"/>
    <n v="1"/>
    <n v="20"/>
    <n v="7"/>
    <n v="1"/>
    <n v="8"/>
    <n v="0"/>
    <x v="0"/>
  </r>
  <r>
    <n v="27"/>
    <s v="No"/>
    <s v="Travel_Rarely"/>
    <n v="205"/>
    <x v="0"/>
    <n v="10"/>
    <n v="3"/>
    <x v="3"/>
    <n v="1"/>
    <x v="996"/>
    <n v="4"/>
    <s v="Female"/>
    <n v="98"/>
    <n v="2"/>
    <x v="0"/>
    <x v="0"/>
    <n v="4"/>
    <s v="Married"/>
    <n v="5769"/>
    <n v="7100"/>
    <n v="1"/>
    <s v="Y"/>
    <x v="0"/>
    <n v="11"/>
    <n v="3"/>
    <n v="4"/>
    <n v="80"/>
    <n v="0"/>
    <n v="6"/>
    <n v="3"/>
    <n v="3"/>
    <n v="6"/>
    <n v="2"/>
    <n v="4"/>
    <n v="4"/>
    <n v="0"/>
    <x v="2"/>
  </r>
  <r>
    <n v="27"/>
    <s v="Yes"/>
    <s v="Travel_Rarely"/>
    <n v="135"/>
    <x v="1"/>
    <n v="17"/>
    <n v="4"/>
    <x v="0"/>
    <n v="1"/>
    <x v="997"/>
    <n v="4"/>
    <s v="Female"/>
    <n v="51"/>
    <n v="3"/>
    <x v="1"/>
    <x v="1"/>
    <n v="3"/>
    <s v="Single"/>
    <n v="2394"/>
    <n v="25681"/>
    <n v="1"/>
    <s v="Y"/>
    <x v="0"/>
    <n v="13"/>
    <n v="3"/>
    <n v="4"/>
    <n v="80"/>
    <n v="0"/>
    <n v="8"/>
    <n v="2"/>
    <n v="3"/>
    <n v="8"/>
    <n v="2"/>
    <n v="7"/>
    <n v="7"/>
    <n v="1"/>
    <x v="2"/>
  </r>
  <r>
    <n v="26"/>
    <s v="No"/>
    <s v="Travel_Rarely"/>
    <n v="683"/>
    <x v="1"/>
    <n v="2"/>
    <n v="1"/>
    <x v="2"/>
    <n v="1"/>
    <x v="998"/>
    <n v="1"/>
    <s v="Male"/>
    <n v="36"/>
    <n v="2"/>
    <x v="1"/>
    <x v="1"/>
    <n v="4"/>
    <s v="Single"/>
    <n v="3904"/>
    <n v="4050"/>
    <n v="0"/>
    <s v="Y"/>
    <x v="1"/>
    <n v="12"/>
    <n v="3"/>
    <n v="4"/>
    <n v="80"/>
    <n v="0"/>
    <n v="5"/>
    <n v="2"/>
    <n v="3"/>
    <n v="4"/>
    <n v="3"/>
    <n v="1"/>
    <n v="1"/>
    <n v="0"/>
    <x v="2"/>
  </r>
  <r>
    <n v="42"/>
    <s v="No"/>
    <s v="Travel_Rarely"/>
    <n v="1147"/>
    <x v="2"/>
    <n v="10"/>
    <n v="3"/>
    <x v="5"/>
    <n v="1"/>
    <x v="999"/>
    <n v="3"/>
    <s v="Female"/>
    <n v="31"/>
    <n v="3"/>
    <x v="3"/>
    <x v="5"/>
    <n v="1"/>
    <s v="Married"/>
    <n v="16799"/>
    <n v="16616"/>
    <n v="0"/>
    <s v="Y"/>
    <x v="1"/>
    <n v="14"/>
    <n v="3"/>
    <n v="3"/>
    <n v="80"/>
    <n v="1"/>
    <n v="21"/>
    <n v="5"/>
    <n v="3"/>
    <n v="20"/>
    <n v="7"/>
    <n v="0"/>
    <n v="9"/>
    <n v="0"/>
    <x v="0"/>
  </r>
  <r>
    <n v="52"/>
    <s v="No"/>
    <s v="Travel_Rarely"/>
    <n v="258"/>
    <x v="1"/>
    <n v="8"/>
    <n v="4"/>
    <x v="1"/>
    <n v="1"/>
    <x v="1000"/>
    <n v="3"/>
    <s v="Female"/>
    <n v="54"/>
    <n v="3"/>
    <x v="1"/>
    <x v="2"/>
    <n v="1"/>
    <s v="Married"/>
    <n v="2950"/>
    <n v="17363"/>
    <n v="9"/>
    <s v="Y"/>
    <x v="1"/>
    <n v="13"/>
    <n v="3"/>
    <n v="3"/>
    <n v="80"/>
    <n v="0"/>
    <n v="12"/>
    <n v="2"/>
    <n v="1"/>
    <n v="5"/>
    <n v="4"/>
    <n v="0"/>
    <n v="4"/>
    <n v="0"/>
    <x v="1"/>
  </r>
  <r>
    <n v="37"/>
    <s v="No"/>
    <s v="Travel_Rarely"/>
    <n v="1462"/>
    <x v="1"/>
    <n v="11"/>
    <n v="3"/>
    <x v="2"/>
    <n v="1"/>
    <x v="1001"/>
    <n v="1"/>
    <s v="Female"/>
    <n v="94"/>
    <n v="3"/>
    <x v="1"/>
    <x v="2"/>
    <n v="3"/>
    <s v="Single"/>
    <n v="3629"/>
    <n v="19106"/>
    <n v="4"/>
    <s v="Y"/>
    <x v="1"/>
    <n v="18"/>
    <n v="3"/>
    <n v="1"/>
    <n v="80"/>
    <n v="0"/>
    <n v="8"/>
    <n v="6"/>
    <n v="3"/>
    <n v="3"/>
    <n v="2"/>
    <n v="0"/>
    <n v="2"/>
    <n v="0"/>
    <x v="0"/>
  </r>
  <r>
    <n v="35"/>
    <s v="No"/>
    <s v="Travel_Frequently"/>
    <n v="200"/>
    <x v="1"/>
    <n v="18"/>
    <n v="2"/>
    <x v="0"/>
    <n v="1"/>
    <x v="1002"/>
    <n v="3"/>
    <s v="Male"/>
    <n v="60"/>
    <n v="3"/>
    <x v="2"/>
    <x v="3"/>
    <n v="4"/>
    <s v="Single"/>
    <n v="9362"/>
    <n v="19944"/>
    <n v="2"/>
    <s v="Y"/>
    <x v="1"/>
    <n v="11"/>
    <n v="3"/>
    <n v="3"/>
    <n v="80"/>
    <n v="0"/>
    <n v="10"/>
    <n v="2"/>
    <n v="3"/>
    <n v="2"/>
    <n v="2"/>
    <n v="2"/>
    <n v="2"/>
    <n v="0"/>
    <x v="2"/>
  </r>
  <r>
    <n v="25"/>
    <s v="No"/>
    <s v="Travel_Rarely"/>
    <n v="949"/>
    <x v="1"/>
    <n v="1"/>
    <n v="3"/>
    <x v="4"/>
    <n v="1"/>
    <x v="1003"/>
    <n v="1"/>
    <s v="Male"/>
    <n v="81"/>
    <n v="3"/>
    <x v="1"/>
    <x v="2"/>
    <n v="4"/>
    <s v="Married"/>
    <n v="3229"/>
    <n v="4910"/>
    <n v="4"/>
    <s v="Y"/>
    <x v="1"/>
    <n v="11"/>
    <n v="3"/>
    <n v="2"/>
    <n v="80"/>
    <n v="1"/>
    <n v="7"/>
    <n v="2"/>
    <n v="2"/>
    <n v="3"/>
    <n v="2"/>
    <n v="0"/>
    <n v="2"/>
    <n v="0"/>
    <x v="4"/>
  </r>
  <r>
    <n v="26"/>
    <s v="No"/>
    <s v="Travel_Rarely"/>
    <n v="652"/>
    <x v="1"/>
    <n v="7"/>
    <n v="3"/>
    <x v="1"/>
    <n v="1"/>
    <x v="1004"/>
    <n v="3"/>
    <s v="Male"/>
    <n v="100"/>
    <n v="4"/>
    <x v="1"/>
    <x v="2"/>
    <n v="1"/>
    <s v="Single"/>
    <n v="3578"/>
    <n v="23577"/>
    <n v="0"/>
    <s v="Y"/>
    <x v="1"/>
    <n v="12"/>
    <n v="3"/>
    <n v="4"/>
    <n v="80"/>
    <n v="0"/>
    <n v="8"/>
    <n v="2"/>
    <n v="3"/>
    <n v="7"/>
    <n v="7"/>
    <n v="0"/>
    <n v="7"/>
    <n v="0"/>
    <x v="2"/>
  </r>
  <r>
    <n v="29"/>
    <s v="No"/>
    <s v="Travel_Rarely"/>
    <n v="332"/>
    <x v="2"/>
    <n v="17"/>
    <n v="3"/>
    <x v="1"/>
    <n v="1"/>
    <x v="1005"/>
    <n v="2"/>
    <s v="Male"/>
    <n v="51"/>
    <n v="2"/>
    <x v="2"/>
    <x v="8"/>
    <n v="1"/>
    <s v="Single"/>
    <n v="7988"/>
    <n v="9769"/>
    <n v="1"/>
    <s v="Y"/>
    <x v="1"/>
    <n v="13"/>
    <n v="3"/>
    <n v="1"/>
    <n v="80"/>
    <n v="0"/>
    <n v="10"/>
    <n v="3"/>
    <n v="2"/>
    <n v="10"/>
    <n v="9"/>
    <n v="0"/>
    <n v="9"/>
    <n v="0"/>
    <x v="2"/>
  </r>
  <r>
    <n v="49"/>
    <s v="Yes"/>
    <s v="Travel_Frequently"/>
    <n v="1475"/>
    <x v="1"/>
    <n v="28"/>
    <n v="2"/>
    <x v="0"/>
    <n v="1"/>
    <x v="1006"/>
    <n v="1"/>
    <s v="Male"/>
    <n v="97"/>
    <n v="2"/>
    <x v="0"/>
    <x v="2"/>
    <n v="1"/>
    <s v="Single"/>
    <n v="4284"/>
    <n v="22710"/>
    <n v="3"/>
    <s v="Y"/>
    <x v="1"/>
    <n v="20"/>
    <n v="4"/>
    <n v="1"/>
    <n v="80"/>
    <n v="0"/>
    <n v="20"/>
    <n v="2"/>
    <n v="3"/>
    <n v="4"/>
    <n v="3"/>
    <n v="1"/>
    <n v="3"/>
    <n v="1"/>
    <x v="1"/>
  </r>
  <r>
    <n v="29"/>
    <s v="Yes"/>
    <s v="Travel_Frequently"/>
    <n v="337"/>
    <x v="1"/>
    <n v="14"/>
    <n v="1"/>
    <x v="1"/>
    <n v="1"/>
    <x v="1007"/>
    <n v="3"/>
    <s v="Female"/>
    <n v="84"/>
    <n v="3"/>
    <x v="2"/>
    <x v="4"/>
    <n v="4"/>
    <s v="Single"/>
    <n v="7553"/>
    <n v="22930"/>
    <n v="0"/>
    <s v="Y"/>
    <x v="0"/>
    <n v="12"/>
    <n v="3"/>
    <n v="1"/>
    <n v="80"/>
    <n v="0"/>
    <n v="9"/>
    <n v="1"/>
    <n v="3"/>
    <n v="8"/>
    <n v="7"/>
    <n v="7"/>
    <n v="7"/>
    <n v="1"/>
    <x v="2"/>
  </r>
  <r>
    <n v="54"/>
    <s v="No"/>
    <s v="Travel_Rarely"/>
    <n v="971"/>
    <x v="1"/>
    <n v="1"/>
    <n v="3"/>
    <x v="2"/>
    <n v="1"/>
    <x v="1008"/>
    <n v="4"/>
    <s v="Female"/>
    <n v="54"/>
    <n v="3"/>
    <x v="3"/>
    <x v="7"/>
    <n v="4"/>
    <s v="Single"/>
    <n v="17328"/>
    <n v="5652"/>
    <n v="6"/>
    <s v="Y"/>
    <x v="1"/>
    <n v="19"/>
    <n v="3"/>
    <n v="4"/>
    <n v="80"/>
    <n v="0"/>
    <n v="29"/>
    <n v="3"/>
    <n v="2"/>
    <n v="20"/>
    <n v="7"/>
    <n v="12"/>
    <n v="7"/>
    <n v="0"/>
    <x v="1"/>
  </r>
  <r>
    <n v="58"/>
    <s v="No"/>
    <s v="Travel_Rarely"/>
    <n v="1055"/>
    <x v="1"/>
    <n v="1"/>
    <n v="3"/>
    <x v="2"/>
    <n v="1"/>
    <x v="1009"/>
    <n v="4"/>
    <s v="Female"/>
    <n v="76"/>
    <n v="3"/>
    <x v="4"/>
    <x v="7"/>
    <n v="1"/>
    <s v="Married"/>
    <n v="19701"/>
    <n v="22456"/>
    <n v="3"/>
    <s v="Y"/>
    <x v="0"/>
    <n v="21"/>
    <n v="4"/>
    <n v="3"/>
    <n v="80"/>
    <n v="1"/>
    <n v="32"/>
    <n v="3"/>
    <n v="3"/>
    <n v="9"/>
    <n v="8"/>
    <n v="1"/>
    <n v="5"/>
    <n v="0"/>
    <x v="3"/>
  </r>
  <r>
    <n v="55"/>
    <s v="No"/>
    <s v="Travel_Rarely"/>
    <n v="1136"/>
    <x v="1"/>
    <n v="1"/>
    <n v="4"/>
    <x v="2"/>
    <n v="1"/>
    <x v="1010"/>
    <n v="2"/>
    <s v="Male"/>
    <n v="81"/>
    <n v="4"/>
    <x v="3"/>
    <x v="7"/>
    <n v="4"/>
    <s v="Divorced"/>
    <n v="14732"/>
    <n v="12414"/>
    <n v="2"/>
    <s v="Y"/>
    <x v="1"/>
    <n v="13"/>
    <n v="3"/>
    <n v="4"/>
    <n v="80"/>
    <n v="2"/>
    <n v="31"/>
    <n v="4"/>
    <n v="4"/>
    <n v="7"/>
    <n v="7"/>
    <n v="0"/>
    <n v="0"/>
    <n v="0"/>
    <x v="1"/>
  </r>
  <r>
    <n v="36"/>
    <s v="No"/>
    <s v="Travel_Rarely"/>
    <n v="1174"/>
    <x v="0"/>
    <n v="3"/>
    <n v="4"/>
    <x v="3"/>
    <n v="1"/>
    <x v="1011"/>
    <n v="1"/>
    <s v="Female"/>
    <n v="99"/>
    <n v="3"/>
    <x v="0"/>
    <x v="0"/>
    <n v="2"/>
    <s v="Single"/>
    <n v="9278"/>
    <n v="20763"/>
    <n v="3"/>
    <s v="Y"/>
    <x v="0"/>
    <n v="16"/>
    <n v="3"/>
    <n v="4"/>
    <n v="80"/>
    <n v="0"/>
    <n v="15"/>
    <n v="3"/>
    <n v="3"/>
    <n v="5"/>
    <n v="4"/>
    <n v="0"/>
    <n v="1"/>
    <n v="0"/>
    <x v="0"/>
  </r>
  <r>
    <n v="31"/>
    <s v="Yes"/>
    <s v="Travel_Frequently"/>
    <n v="667"/>
    <x v="0"/>
    <n v="1"/>
    <n v="4"/>
    <x v="0"/>
    <n v="1"/>
    <x v="1012"/>
    <n v="2"/>
    <s v="Female"/>
    <n v="50"/>
    <n v="1"/>
    <x v="1"/>
    <x v="6"/>
    <n v="3"/>
    <s v="Single"/>
    <n v="1359"/>
    <n v="16154"/>
    <n v="1"/>
    <s v="Y"/>
    <x v="1"/>
    <n v="12"/>
    <n v="3"/>
    <n v="2"/>
    <n v="80"/>
    <n v="0"/>
    <n v="1"/>
    <n v="3"/>
    <n v="3"/>
    <n v="1"/>
    <n v="0"/>
    <n v="0"/>
    <n v="0"/>
    <n v="1"/>
    <x v="2"/>
  </r>
  <r>
    <n v="30"/>
    <s v="No"/>
    <s v="Travel_Rarely"/>
    <n v="855"/>
    <x v="0"/>
    <n v="7"/>
    <n v="4"/>
    <x v="3"/>
    <n v="1"/>
    <x v="1013"/>
    <n v="4"/>
    <s v="Female"/>
    <n v="73"/>
    <n v="3"/>
    <x v="0"/>
    <x v="0"/>
    <n v="1"/>
    <s v="Divorced"/>
    <n v="4779"/>
    <n v="12761"/>
    <n v="7"/>
    <s v="Y"/>
    <x v="1"/>
    <n v="14"/>
    <n v="3"/>
    <n v="2"/>
    <n v="80"/>
    <n v="2"/>
    <n v="8"/>
    <n v="3"/>
    <n v="3"/>
    <n v="3"/>
    <n v="2"/>
    <n v="0"/>
    <n v="2"/>
    <n v="0"/>
    <x v="2"/>
  </r>
  <r>
    <n v="31"/>
    <s v="No"/>
    <s v="Travel_Rarely"/>
    <n v="182"/>
    <x v="1"/>
    <n v="8"/>
    <n v="5"/>
    <x v="0"/>
    <n v="1"/>
    <x v="1014"/>
    <n v="1"/>
    <s v="Female"/>
    <n v="93"/>
    <n v="3"/>
    <x v="3"/>
    <x v="7"/>
    <n v="2"/>
    <s v="Single"/>
    <n v="16422"/>
    <n v="8847"/>
    <n v="3"/>
    <s v="Y"/>
    <x v="1"/>
    <n v="11"/>
    <n v="3"/>
    <n v="3"/>
    <n v="80"/>
    <n v="0"/>
    <n v="9"/>
    <n v="3"/>
    <n v="4"/>
    <n v="3"/>
    <n v="2"/>
    <n v="1"/>
    <n v="0"/>
    <n v="0"/>
    <x v="2"/>
  </r>
  <r>
    <n v="34"/>
    <s v="No"/>
    <s v="Travel_Frequently"/>
    <n v="560"/>
    <x v="1"/>
    <n v="1"/>
    <n v="4"/>
    <x v="1"/>
    <n v="1"/>
    <x v="1015"/>
    <n v="4"/>
    <s v="Male"/>
    <n v="91"/>
    <n v="3"/>
    <x v="1"/>
    <x v="1"/>
    <n v="1"/>
    <s v="Divorced"/>
    <n v="2996"/>
    <n v="20284"/>
    <n v="5"/>
    <s v="Y"/>
    <x v="1"/>
    <n v="14"/>
    <n v="3"/>
    <n v="3"/>
    <n v="80"/>
    <n v="2"/>
    <n v="10"/>
    <n v="2"/>
    <n v="3"/>
    <n v="4"/>
    <n v="3"/>
    <n v="1"/>
    <n v="3"/>
    <n v="0"/>
    <x v="2"/>
  </r>
  <r>
    <n v="31"/>
    <s v="Yes"/>
    <s v="Travel_Rarely"/>
    <n v="202"/>
    <x v="1"/>
    <n v="8"/>
    <n v="3"/>
    <x v="0"/>
    <n v="1"/>
    <x v="1016"/>
    <n v="1"/>
    <s v="Female"/>
    <n v="34"/>
    <n v="2"/>
    <x v="1"/>
    <x v="1"/>
    <n v="2"/>
    <s v="Single"/>
    <n v="1261"/>
    <n v="22262"/>
    <n v="1"/>
    <s v="Y"/>
    <x v="1"/>
    <n v="12"/>
    <n v="3"/>
    <n v="3"/>
    <n v="80"/>
    <n v="0"/>
    <n v="1"/>
    <n v="3"/>
    <n v="4"/>
    <n v="1"/>
    <n v="0"/>
    <n v="0"/>
    <n v="0"/>
    <n v="1"/>
    <x v="2"/>
  </r>
  <r>
    <n v="27"/>
    <s v="No"/>
    <s v="Travel_Rarely"/>
    <n v="1377"/>
    <x v="1"/>
    <n v="11"/>
    <n v="1"/>
    <x v="0"/>
    <n v="1"/>
    <x v="1017"/>
    <n v="2"/>
    <s v="Male"/>
    <n v="91"/>
    <n v="3"/>
    <x v="1"/>
    <x v="2"/>
    <n v="1"/>
    <s v="Married"/>
    <n v="2099"/>
    <n v="7679"/>
    <n v="0"/>
    <s v="Y"/>
    <x v="1"/>
    <n v="14"/>
    <n v="3"/>
    <n v="2"/>
    <n v="80"/>
    <n v="0"/>
    <n v="6"/>
    <n v="3"/>
    <n v="4"/>
    <n v="5"/>
    <n v="0"/>
    <n v="1"/>
    <n v="4"/>
    <n v="0"/>
    <x v="2"/>
  </r>
  <r>
    <n v="36"/>
    <s v="No"/>
    <s v="Travel_Rarely"/>
    <n v="172"/>
    <x v="1"/>
    <n v="4"/>
    <n v="4"/>
    <x v="0"/>
    <n v="1"/>
    <x v="1018"/>
    <n v="1"/>
    <s v="Male"/>
    <n v="37"/>
    <n v="2"/>
    <x v="0"/>
    <x v="2"/>
    <n v="4"/>
    <s v="Single"/>
    <n v="5810"/>
    <n v="22604"/>
    <n v="1"/>
    <s v="Y"/>
    <x v="1"/>
    <n v="16"/>
    <n v="3"/>
    <n v="3"/>
    <n v="80"/>
    <n v="0"/>
    <n v="10"/>
    <n v="2"/>
    <n v="2"/>
    <n v="10"/>
    <n v="4"/>
    <n v="1"/>
    <n v="8"/>
    <n v="0"/>
    <x v="0"/>
  </r>
  <r>
    <n v="36"/>
    <s v="No"/>
    <s v="Travel_Rarely"/>
    <n v="329"/>
    <x v="0"/>
    <n v="16"/>
    <n v="4"/>
    <x v="3"/>
    <n v="1"/>
    <x v="1019"/>
    <n v="3"/>
    <s v="Female"/>
    <n v="98"/>
    <n v="2"/>
    <x v="0"/>
    <x v="0"/>
    <n v="1"/>
    <s v="Married"/>
    <n v="5647"/>
    <n v="13494"/>
    <n v="4"/>
    <s v="Y"/>
    <x v="1"/>
    <n v="13"/>
    <n v="3"/>
    <n v="1"/>
    <n v="80"/>
    <n v="2"/>
    <n v="11"/>
    <n v="3"/>
    <n v="2"/>
    <n v="3"/>
    <n v="2"/>
    <n v="0"/>
    <n v="2"/>
    <n v="0"/>
    <x v="0"/>
  </r>
  <r>
    <n v="47"/>
    <s v="No"/>
    <s v="Travel_Rarely"/>
    <n v="465"/>
    <x v="1"/>
    <n v="1"/>
    <n v="3"/>
    <x v="4"/>
    <n v="1"/>
    <x v="1020"/>
    <n v="1"/>
    <s v="Male"/>
    <n v="74"/>
    <n v="3"/>
    <x v="1"/>
    <x v="1"/>
    <n v="4"/>
    <s v="Married"/>
    <n v="3420"/>
    <n v="10205"/>
    <n v="7"/>
    <s v="Y"/>
    <x v="1"/>
    <n v="12"/>
    <n v="3"/>
    <n v="3"/>
    <n v="80"/>
    <n v="1"/>
    <n v="17"/>
    <n v="2"/>
    <n v="2"/>
    <n v="6"/>
    <n v="5"/>
    <n v="1"/>
    <n v="2"/>
    <n v="0"/>
    <x v="1"/>
  </r>
  <r>
    <n v="25"/>
    <s v="Yes"/>
    <s v="Travel_Rarely"/>
    <n v="383"/>
    <x v="0"/>
    <n v="9"/>
    <n v="2"/>
    <x v="0"/>
    <n v="1"/>
    <x v="1021"/>
    <n v="1"/>
    <s v="Male"/>
    <n v="68"/>
    <n v="2"/>
    <x v="1"/>
    <x v="6"/>
    <n v="1"/>
    <s v="Married"/>
    <n v="4400"/>
    <n v="15182"/>
    <n v="3"/>
    <s v="Y"/>
    <x v="1"/>
    <n v="12"/>
    <n v="3"/>
    <n v="1"/>
    <n v="80"/>
    <n v="0"/>
    <n v="6"/>
    <n v="2"/>
    <n v="3"/>
    <n v="3"/>
    <n v="2"/>
    <n v="2"/>
    <n v="2"/>
    <n v="1"/>
    <x v="4"/>
  </r>
  <r>
    <n v="37"/>
    <s v="No"/>
    <s v="Non-Travel"/>
    <n v="1413"/>
    <x v="1"/>
    <n v="5"/>
    <n v="2"/>
    <x v="4"/>
    <n v="1"/>
    <x v="1022"/>
    <n v="3"/>
    <s v="Male"/>
    <n v="84"/>
    <n v="4"/>
    <x v="1"/>
    <x v="2"/>
    <n v="3"/>
    <s v="Single"/>
    <n v="3500"/>
    <n v="25470"/>
    <n v="0"/>
    <s v="Y"/>
    <x v="1"/>
    <n v="14"/>
    <n v="3"/>
    <n v="1"/>
    <n v="80"/>
    <n v="0"/>
    <n v="7"/>
    <n v="2"/>
    <n v="1"/>
    <n v="6"/>
    <n v="5"/>
    <n v="1"/>
    <n v="3"/>
    <n v="0"/>
    <x v="0"/>
  </r>
  <r>
    <n v="56"/>
    <s v="No"/>
    <s v="Travel_Rarely"/>
    <n v="1255"/>
    <x v="1"/>
    <n v="1"/>
    <n v="2"/>
    <x v="0"/>
    <n v="1"/>
    <x v="1023"/>
    <n v="1"/>
    <s v="Female"/>
    <n v="90"/>
    <n v="3"/>
    <x v="1"/>
    <x v="1"/>
    <n v="1"/>
    <s v="Married"/>
    <n v="2066"/>
    <n v="10494"/>
    <n v="2"/>
    <s v="Y"/>
    <x v="1"/>
    <n v="22"/>
    <n v="4"/>
    <n v="4"/>
    <n v="80"/>
    <n v="1"/>
    <n v="5"/>
    <n v="3"/>
    <n v="4"/>
    <n v="3"/>
    <n v="2"/>
    <n v="1"/>
    <n v="0"/>
    <n v="0"/>
    <x v="3"/>
  </r>
  <r>
    <n v="47"/>
    <s v="No"/>
    <s v="Travel_Rarely"/>
    <n v="359"/>
    <x v="1"/>
    <n v="2"/>
    <n v="4"/>
    <x v="2"/>
    <n v="1"/>
    <x v="1024"/>
    <n v="1"/>
    <s v="Female"/>
    <n v="82"/>
    <n v="3"/>
    <x v="3"/>
    <x v="7"/>
    <n v="3"/>
    <s v="Married"/>
    <n v="17169"/>
    <n v="26703"/>
    <n v="3"/>
    <s v="Y"/>
    <x v="1"/>
    <n v="19"/>
    <n v="3"/>
    <n v="2"/>
    <n v="80"/>
    <n v="2"/>
    <n v="26"/>
    <n v="2"/>
    <n v="4"/>
    <n v="20"/>
    <n v="17"/>
    <n v="5"/>
    <n v="6"/>
    <n v="0"/>
    <x v="1"/>
  </r>
  <r>
    <n v="24"/>
    <s v="No"/>
    <s v="Travel_Rarely"/>
    <n v="1476"/>
    <x v="0"/>
    <n v="4"/>
    <n v="1"/>
    <x v="2"/>
    <n v="1"/>
    <x v="1025"/>
    <n v="4"/>
    <s v="Female"/>
    <n v="42"/>
    <n v="3"/>
    <x v="0"/>
    <x v="0"/>
    <n v="3"/>
    <s v="Married"/>
    <n v="4162"/>
    <n v="15211"/>
    <n v="1"/>
    <s v="Y"/>
    <x v="0"/>
    <n v="12"/>
    <n v="3"/>
    <n v="3"/>
    <n v="80"/>
    <n v="2"/>
    <n v="5"/>
    <n v="3"/>
    <n v="3"/>
    <n v="5"/>
    <n v="4"/>
    <n v="0"/>
    <n v="3"/>
    <n v="0"/>
    <x v="4"/>
  </r>
  <r>
    <n v="32"/>
    <s v="No"/>
    <s v="Travel_Rarely"/>
    <n v="601"/>
    <x v="0"/>
    <n v="7"/>
    <n v="5"/>
    <x v="3"/>
    <n v="1"/>
    <x v="1026"/>
    <n v="4"/>
    <s v="Male"/>
    <n v="97"/>
    <n v="3"/>
    <x v="0"/>
    <x v="0"/>
    <n v="4"/>
    <s v="Married"/>
    <n v="9204"/>
    <n v="23343"/>
    <n v="4"/>
    <s v="Y"/>
    <x v="1"/>
    <n v="12"/>
    <n v="3"/>
    <n v="3"/>
    <n v="80"/>
    <n v="1"/>
    <n v="7"/>
    <n v="3"/>
    <n v="2"/>
    <n v="4"/>
    <n v="3"/>
    <n v="0"/>
    <n v="3"/>
    <n v="0"/>
    <x v="2"/>
  </r>
  <r>
    <n v="34"/>
    <s v="No"/>
    <s v="Travel_Rarely"/>
    <n v="401"/>
    <x v="1"/>
    <n v="1"/>
    <n v="3"/>
    <x v="0"/>
    <n v="1"/>
    <x v="1027"/>
    <n v="4"/>
    <s v="Female"/>
    <n v="86"/>
    <n v="2"/>
    <x v="1"/>
    <x v="2"/>
    <n v="2"/>
    <s v="Married"/>
    <n v="3294"/>
    <n v="3708"/>
    <n v="5"/>
    <s v="Y"/>
    <x v="1"/>
    <n v="17"/>
    <n v="3"/>
    <n v="1"/>
    <n v="80"/>
    <n v="1"/>
    <n v="7"/>
    <n v="2"/>
    <n v="2"/>
    <n v="5"/>
    <n v="4"/>
    <n v="0"/>
    <n v="2"/>
    <n v="0"/>
    <x v="2"/>
  </r>
  <r>
    <n v="41"/>
    <s v="No"/>
    <s v="Travel_Rarely"/>
    <n v="1283"/>
    <x v="1"/>
    <n v="5"/>
    <n v="5"/>
    <x v="2"/>
    <n v="1"/>
    <x v="1028"/>
    <n v="2"/>
    <s v="Male"/>
    <n v="90"/>
    <n v="4"/>
    <x v="1"/>
    <x v="1"/>
    <n v="3"/>
    <s v="Married"/>
    <n v="2127"/>
    <n v="5561"/>
    <n v="2"/>
    <s v="Y"/>
    <x v="0"/>
    <n v="12"/>
    <n v="3"/>
    <n v="1"/>
    <n v="80"/>
    <n v="0"/>
    <n v="7"/>
    <n v="5"/>
    <n v="2"/>
    <n v="4"/>
    <n v="2"/>
    <n v="0"/>
    <n v="3"/>
    <n v="0"/>
    <x v="0"/>
  </r>
  <r>
    <n v="40"/>
    <s v="No"/>
    <s v="Non-Travel"/>
    <n v="663"/>
    <x v="1"/>
    <n v="9"/>
    <n v="4"/>
    <x v="1"/>
    <n v="1"/>
    <x v="1029"/>
    <n v="3"/>
    <s v="Male"/>
    <n v="81"/>
    <n v="3"/>
    <x v="0"/>
    <x v="2"/>
    <n v="3"/>
    <s v="Divorced"/>
    <n v="3975"/>
    <n v="23099"/>
    <n v="3"/>
    <s v="Y"/>
    <x v="1"/>
    <n v="11"/>
    <n v="3"/>
    <n v="3"/>
    <n v="80"/>
    <n v="2"/>
    <n v="11"/>
    <n v="2"/>
    <n v="4"/>
    <n v="8"/>
    <n v="7"/>
    <n v="0"/>
    <n v="7"/>
    <n v="0"/>
    <x v="0"/>
  </r>
  <r>
    <n v="31"/>
    <s v="No"/>
    <s v="Travel_Rarely"/>
    <n v="326"/>
    <x v="0"/>
    <n v="8"/>
    <n v="2"/>
    <x v="0"/>
    <n v="1"/>
    <x v="1030"/>
    <n v="1"/>
    <s v="Male"/>
    <n v="31"/>
    <n v="3"/>
    <x v="2"/>
    <x v="0"/>
    <n v="4"/>
    <s v="Divorced"/>
    <n v="10793"/>
    <n v="8386"/>
    <n v="1"/>
    <s v="Y"/>
    <x v="1"/>
    <n v="18"/>
    <n v="3"/>
    <n v="1"/>
    <n v="80"/>
    <n v="1"/>
    <n v="13"/>
    <n v="5"/>
    <n v="3"/>
    <n v="13"/>
    <n v="7"/>
    <n v="9"/>
    <n v="9"/>
    <n v="0"/>
    <x v="2"/>
  </r>
  <r>
    <n v="46"/>
    <s v="Yes"/>
    <s v="Travel_Rarely"/>
    <n v="377"/>
    <x v="0"/>
    <n v="9"/>
    <n v="3"/>
    <x v="3"/>
    <n v="1"/>
    <x v="1031"/>
    <n v="1"/>
    <s v="Male"/>
    <n v="52"/>
    <n v="3"/>
    <x v="2"/>
    <x v="0"/>
    <n v="4"/>
    <s v="Divorced"/>
    <n v="10096"/>
    <n v="15986"/>
    <n v="4"/>
    <s v="Y"/>
    <x v="1"/>
    <n v="11"/>
    <n v="3"/>
    <n v="1"/>
    <n v="80"/>
    <n v="1"/>
    <n v="28"/>
    <n v="1"/>
    <n v="4"/>
    <n v="7"/>
    <n v="7"/>
    <n v="4"/>
    <n v="3"/>
    <n v="1"/>
    <x v="1"/>
  </r>
  <r>
    <n v="39"/>
    <s v="Yes"/>
    <s v="Non-Travel"/>
    <n v="592"/>
    <x v="1"/>
    <n v="2"/>
    <n v="3"/>
    <x v="0"/>
    <n v="1"/>
    <x v="1032"/>
    <n v="1"/>
    <s v="Female"/>
    <n v="54"/>
    <n v="2"/>
    <x v="1"/>
    <x v="2"/>
    <n v="1"/>
    <s v="Single"/>
    <n v="3646"/>
    <n v="17181"/>
    <n v="2"/>
    <s v="Y"/>
    <x v="0"/>
    <n v="23"/>
    <n v="4"/>
    <n v="2"/>
    <n v="80"/>
    <n v="0"/>
    <n v="11"/>
    <n v="2"/>
    <n v="4"/>
    <n v="1"/>
    <n v="0"/>
    <n v="0"/>
    <n v="0"/>
    <n v="1"/>
    <x v="0"/>
  </r>
  <r>
    <n v="31"/>
    <s v="Yes"/>
    <s v="Travel_Frequently"/>
    <n v="1445"/>
    <x v="1"/>
    <n v="1"/>
    <n v="5"/>
    <x v="0"/>
    <n v="1"/>
    <x v="1033"/>
    <n v="3"/>
    <s v="Female"/>
    <n v="100"/>
    <n v="4"/>
    <x v="2"/>
    <x v="3"/>
    <n v="2"/>
    <s v="Single"/>
    <n v="7446"/>
    <n v="8931"/>
    <n v="1"/>
    <s v="Y"/>
    <x v="1"/>
    <n v="11"/>
    <n v="3"/>
    <n v="1"/>
    <n v="80"/>
    <n v="0"/>
    <n v="10"/>
    <n v="2"/>
    <n v="3"/>
    <n v="10"/>
    <n v="8"/>
    <n v="4"/>
    <n v="7"/>
    <n v="1"/>
    <x v="2"/>
  </r>
  <r>
    <n v="45"/>
    <s v="No"/>
    <s v="Travel_Rarely"/>
    <n v="1038"/>
    <x v="1"/>
    <n v="20"/>
    <n v="3"/>
    <x v="2"/>
    <n v="1"/>
    <x v="1034"/>
    <n v="2"/>
    <s v="Male"/>
    <n v="95"/>
    <n v="1"/>
    <x v="2"/>
    <x v="4"/>
    <n v="1"/>
    <s v="Divorced"/>
    <n v="10851"/>
    <n v="19863"/>
    <n v="2"/>
    <s v="Y"/>
    <x v="0"/>
    <n v="18"/>
    <n v="3"/>
    <n v="2"/>
    <n v="80"/>
    <n v="1"/>
    <n v="24"/>
    <n v="2"/>
    <n v="3"/>
    <n v="7"/>
    <n v="7"/>
    <n v="0"/>
    <n v="7"/>
    <n v="0"/>
    <x v="0"/>
  </r>
  <r>
    <n v="31"/>
    <s v="No"/>
    <s v="Travel_Rarely"/>
    <n v="1398"/>
    <x v="2"/>
    <n v="8"/>
    <n v="2"/>
    <x v="2"/>
    <n v="1"/>
    <x v="1035"/>
    <n v="4"/>
    <s v="Female"/>
    <n v="96"/>
    <n v="4"/>
    <x v="1"/>
    <x v="8"/>
    <n v="2"/>
    <s v="Single"/>
    <n v="2109"/>
    <n v="24609"/>
    <n v="9"/>
    <s v="Y"/>
    <x v="1"/>
    <n v="18"/>
    <n v="3"/>
    <n v="4"/>
    <n v="80"/>
    <n v="0"/>
    <n v="8"/>
    <n v="3"/>
    <n v="3"/>
    <n v="3"/>
    <n v="2"/>
    <n v="0"/>
    <n v="2"/>
    <n v="0"/>
    <x v="2"/>
  </r>
  <r>
    <n v="31"/>
    <s v="Yes"/>
    <s v="Travel_Frequently"/>
    <n v="523"/>
    <x v="1"/>
    <n v="2"/>
    <n v="3"/>
    <x v="0"/>
    <n v="1"/>
    <x v="1036"/>
    <n v="2"/>
    <s v="Male"/>
    <n v="94"/>
    <n v="3"/>
    <x v="1"/>
    <x v="2"/>
    <n v="4"/>
    <s v="Married"/>
    <n v="3722"/>
    <n v="21081"/>
    <n v="6"/>
    <s v="Y"/>
    <x v="0"/>
    <n v="13"/>
    <n v="3"/>
    <n v="3"/>
    <n v="80"/>
    <n v="1"/>
    <n v="7"/>
    <n v="2"/>
    <n v="1"/>
    <n v="2"/>
    <n v="2"/>
    <n v="2"/>
    <n v="2"/>
    <n v="1"/>
    <x v="2"/>
  </r>
  <r>
    <n v="45"/>
    <s v="No"/>
    <s v="Travel_Rarely"/>
    <n v="1448"/>
    <x v="1"/>
    <n v="29"/>
    <n v="3"/>
    <x v="4"/>
    <n v="1"/>
    <x v="1037"/>
    <n v="2"/>
    <s v="Male"/>
    <n v="55"/>
    <n v="3"/>
    <x v="2"/>
    <x v="3"/>
    <n v="4"/>
    <s v="Married"/>
    <n v="9380"/>
    <n v="14720"/>
    <n v="4"/>
    <s v="Y"/>
    <x v="0"/>
    <n v="18"/>
    <n v="3"/>
    <n v="4"/>
    <n v="80"/>
    <n v="2"/>
    <n v="10"/>
    <n v="4"/>
    <n v="4"/>
    <n v="3"/>
    <n v="1"/>
    <n v="1"/>
    <n v="2"/>
    <n v="0"/>
    <x v="0"/>
  </r>
  <r>
    <n v="48"/>
    <s v="No"/>
    <s v="Travel_Rarely"/>
    <n v="1221"/>
    <x v="0"/>
    <n v="7"/>
    <n v="3"/>
    <x v="3"/>
    <n v="1"/>
    <x v="1038"/>
    <n v="3"/>
    <s v="Male"/>
    <n v="96"/>
    <n v="3"/>
    <x v="0"/>
    <x v="0"/>
    <n v="1"/>
    <s v="Divorced"/>
    <n v="5486"/>
    <n v="24795"/>
    <n v="4"/>
    <s v="Y"/>
    <x v="1"/>
    <n v="11"/>
    <n v="3"/>
    <n v="1"/>
    <n v="80"/>
    <n v="3"/>
    <n v="15"/>
    <n v="3"/>
    <n v="3"/>
    <n v="2"/>
    <n v="2"/>
    <n v="2"/>
    <n v="2"/>
    <n v="0"/>
    <x v="1"/>
  </r>
  <r>
    <n v="34"/>
    <s v="Yes"/>
    <s v="Travel_Rarely"/>
    <n v="1107"/>
    <x v="2"/>
    <n v="9"/>
    <n v="4"/>
    <x v="4"/>
    <n v="1"/>
    <x v="1039"/>
    <n v="1"/>
    <s v="Female"/>
    <n v="52"/>
    <n v="3"/>
    <x v="1"/>
    <x v="8"/>
    <n v="3"/>
    <s v="Married"/>
    <n v="2742"/>
    <n v="3072"/>
    <n v="1"/>
    <s v="Y"/>
    <x v="1"/>
    <n v="15"/>
    <n v="3"/>
    <n v="4"/>
    <n v="80"/>
    <n v="0"/>
    <n v="2"/>
    <n v="0"/>
    <n v="3"/>
    <n v="2"/>
    <n v="2"/>
    <n v="2"/>
    <n v="2"/>
    <n v="1"/>
    <x v="2"/>
  </r>
  <r>
    <n v="40"/>
    <s v="No"/>
    <s v="Non-Travel"/>
    <n v="218"/>
    <x v="1"/>
    <n v="8"/>
    <n v="1"/>
    <x v="2"/>
    <n v="1"/>
    <x v="1040"/>
    <n v="4"/>
    <s v="Male"/>
    <n v="55"/>
    <n v="2"/>
    <x v="2"/>
    <x v="7"/>
    <n v="2"/>
    <s v="Divorced"/>
    <n v="13757"/>
    <n v="25178"/>
    <n v="2"/>
    <s v="Y"/>
    <x v="1"/>
    <n v="11"/>
    <n v="3"/>
    <n v="3"/>
    <n v="80"/>
    <n v="1"/>
    <n v="16"/>
    <n v="5"/>
    <n v="3"/>
    <n v="9"/>
    <n v="8"/>
    <n v="4"/>
    <n v="8"/>
    <n v="0"/>
    <x v="0"/>
  </r>
  <r>
    <n v="28"/>
    <s v="No"/>
    <s v="Travel_Rarely"/>
    <n v="866"/>
    <x v="0"/>
    <n v="5"/>
    <n v="3"/>
    <x v="2"/>
    <n v="1"/>
    <x v="1041"/>
    <n v="4"/>
    <s v="Male"/>
    <n v="84"/>
    <n v="3"/>
    <x v="0"/>
    <x v="0"/>
    <n v="1"/>
    <s v="Single"/>
    <n v="8463"/>
    <n v="23490"/>
    <n v="0"/>
    <s v="Y"/>
    <x v="1"/>
    <n v="18"/>
    <n v="3"/>
    <n v="4"/>
    <n v="80"/>
    <n v="0"/>
    <n v="6"/>
    <n v="4"/>
    <n v="3"/>
    <n v="5"/>
    <n v="4"/>
    <n v="1"/>
    <n v="3"/>
    <n v="0"/>
    <x v="2"/>
  </r>
  <r>
    <n v="44"/>
    <s v="No"/>
    <s v="Non-Travel"/>
    <n v="981"/>
    <x v="1"/>
    <n v="5"/>
    <n v="3"/>
    <x v="0"/>
    <n v="1"/>
    <x v="1042"/>
    <n v="3"/>
    <s v="Male"/>
    <n v="90"/>
    <n v="2"/>
    <x v="1"/>
    <x v="2"/>
    <n v="3"/>
    <s v="Single"/>
    <n v="3162"/>
    <n v="7973"/>
    <n v="3"/>
    <s v="Y"/>
    <x v="1"/>
    <n v="14"/>
    <n v="3"/>
    <n v="4"/>
    <n v="80"/>
    <n v="0"/>
    <n v="7"/>
    <n v="5"/>
    <n v="3"/>
    <n v="5"/>
    <n v="2"/>
    <n v="0"/>
    <n v="3"/>
    <n v="0"/>
    <x v="0"/>
  </r>
  <r>
    <n v="53"/>
    <s v="No"/>
    <s v="Travel_Rarely"/>
    <n v="447"/>
    <x v="1"/>
    <n v="2"/>
    <n v="3"/>
    <x v="2"/>
    <n v="1"/>
    <x v="1043"/>
    <n v="4"/>
    <s v="Male"/>
    <n v="39"/>
    <n v="4"/>
    <x v="3"/>
    <x v="7"/>
    <n v="2"/>
    <s v="Single"/>
    <n v="16598"/>
    <n v="19764"/>
    <n v="4"/>
    <s v="Y"/>
    <x v="1"/>
    <n v="12"/>
    <n v="3"/>
    <n v="2"/>
    <n v="80"/>
    <n v="0"/>
    <n v="35"/>
    <n v="2"/>
    <n v="2"/>
    <n v="9"/>
    <n v="8"/>
    <n v="8"/>
    <n v="8"/>
    <n v="0"/>
    <x v="1"/>
  </r>
  <r>
    <n v="49"/>
    <s v="No"/>
    <s v="Travel_Rarely"/>
    <n v="1495"/>
    <x v="1"/>
    <n v="5"/>
    <n v="4"/>
    <x v="4"/>
    <n v="1"/>
    <x v="1044"/>
    <n v="1"/>
    <s v="Male"/>
    <n v="96"/>
    <n v="3"/>
    <x v="0"/>
    <x v="4"/>
    <n v="3"/>
    <s v="Married"/>
    <n v="6651"/>
    <n v="21534"/>
    <n v="2"/>
    <s v="Y"/>
    <x v="1"/>
    <n v="14"/>
    <n v="3"/>
    <n v="2"/>
    <n v="80"/>
    <n v="1"/>
    <n v="20"/>
    <n v="0"/>
    <n v="2"/>
    <n v="3"/>
    <n v="2"/>
    <n v="1"/>
    <n v="2"/>
    <n v="0"/>
    <x v="1"/>
  </r>
  <r>
    <n v="40"/>
    <s v="No"/>
    <s v="Travel_Rarely"/>
    <n v="896"/>
    <x v="1"/>
    <n v="2"/>
    <n v="3"/>
    <x v="2"/>
    <n v="1"/>
    <x v="1045"/>
    <n v="3"/>
    <s v="Male"/>
    <n v="68"/>
    <n v="3"/>
    <x v="1"/>
    <x v="1"/>
    <n v="3"/>
    <s v="Divorced"/>
    <n v="2345"/>
    <n v="8045"/>
    <n v="2"/>
    <s v="Y"/>
    <x v="1"/>
    <n v="14"/>
    <n v="3"/>
    <n v="3"/>
    <n v="80"/>
    <n v="1"/>
    <n v="8"/>
    <n v="3"/>
    <n v="4"/>
    <n v="3"/>
    <n v="1"/>
    <n v="1"/>
    <n v="2"/>
    <n v="0"/>
    <x v="0"/>
  </r>
  <r>
    <n v="44"/>
    <s v="No"/>
    <s v="Travel_Rarely"/>
    <n v="1467"/>
    <x v="1"/>
    <n v="20"/>
    <n v="3"/>
    <x v="0"/>
    <n v="1"/>
    <x v="1046"/>
    <n v="4"/>
    <s v="Male"/>
    <n v="49"/>
    <n v="3"/>
    <x v="1"/>
    <x v="1"/>
    <n v="2"/>
    <s v="Single"/>
    <n v="3420"/>
    <n v="21158"/>
    <n v="1"/>
    <s v="Y"/>
    <x v="1"/>
    <n v="13"/>
    <n v="3"/>
    <n v="3"/>
    <n v="80"/>
    <n v="0"/>
    <n v="6"/>
    <n v="3"/>
    <n v="2"/>
    <n v="5"/>
    <n v="2"/>
    <n v="1"/>
    <n v="3"/>
    <n v="0"/>
    <x v="0"/>
  </r>
  <r>
    <n v="33"/>
    <s v="No"/>
    <s v="Travel_Frequently"/>
    <n v="430"/>
    <x v="0"/>
    <n v="7"/>
    <n v="3"/>
    <x v="2"/>
    <n v="1"/>
    <x v="1047"/>
    <n v="4"/>
    <s v="Male"/>
    <n v="54"/>
    <n v="3"/>
    <x v="0"/>
    <x v="0"/>
    <n v="1"/>
    <s v="Married"/>
    <n v="4373"/>
    <n v="17456"/>
    <n v="0"/>
    <s v="Y"/>
    <x v="1"/>
    <n v="14"/>
    <n v="3"/>
    <n v="1"/>
    <n v="80"/>
    <n v="2"/>
    <n v="5"/>
    <n v="2"/>
    <n v="3"/>
    <n v="4"/>
    <n v="3"/>
    <n v="0"/>
    <n v="3"/>
    <n v="0"/>
    <x v="2"/>
  </r>
  <r>
    <n v="34"/>
    <s v="No"/>
    <s v="Travel_Rarely"/>
    <n v="1326"/>
    <x v="0"/>
    <n v="3"/>
    <n v="3"/>
    <x v="1"/>
    <n v="1"/>
    <x v="1048"/>
    <n v="4"/>
    <s v="Male"/>
    <n v="81"/>
    <n v="1"/>
    <x v="0"/>
    <x v="0"/>
    <n v="1"/>
    <s v="Single"/>
    <n v="4759"/>
    <n v="15891"/>
    <n v="3"/>
    <s v="Y"/>
    <x v="1"/>
    <n v="18"/>
    <n v="3"/>
    <n v="4"/>
    <n v="80"/>
    <n v="0"/>
    <n v="15"/>
    <n v="2"/>
    <n v="3"/>
    <n v="13"/>
    <n v="9"/>
    <n v="3"/>
    <n v="12"/>
    <n v="0"/>
    <x v="2"/>
  </r>
  <r>
    <n v="30"/>
    <s v="No"/>
    <s v="Travel_Rarely"/>
    <n v="1358"/>
    <x v="0"/>
    <n v="16"/>
    <n v="1"/>
    <x v="0"/>
    <n v="1"/>
    <x v="1049"/>
    <n v="4"/>
    <s v="Male"/>
    <n v="96"/>
    <n v="3"/>
    <x v="0"/>
    <x v="0"/>
    <n v="3"/>
    <s v="Married"/>
    <n v="5301"/>
    <n v="2939"/>
    <n v="8"/>
    <s v="Y"/>
    <x v="1"/>
    <n v="15"/>
    <n v="3"/>
    <n v="3"/>
    <n v="80"/>
    <n v="2"/>
    <n v="4"/>
    <n v="2"/>
    <n v="2"/>
    <n v="2"/>
    <n v="1"/>
    <n v="2"/>
    <n v="2"/>
    <n v="0"/>
    <x v="2"/>
  </r>
  <r>
    <n v="42"/>
    <s v="No"/>
    <s v="Travel_Frequently"/>
    <n v="748"/>
    <x v="1"/>
    <n v="9"/>
    <n v="2"/>
    <x v="2"/>
    <n v="1"/>
    <x v="1050"/>
    <n v="1"/>
    <s v="Female"/>
    <n v="74"/>
    <n v="3"/>
    <x v="1"/>
    <x v="2"/>
    <n v="4"/>
    <s v="Single"/>
    <n v="3673"/>
    <n v="16458"/>
    <n v="1"/>
    <s v="Y"/>
    <x v="1"/>
    <n v="13"/>
    <n v="3"/>
    <n v="3"/>
    <n v="80"/>
    <n v="0"/>
    <n v="12"/>
    <n v="3"/>
    <n v="3"/>
    <n v="12"/>
    <n v="9"/>
    <n v="5"/>
    <n v="8"/>
    <n v="0"/>
    <x v="0"/>
  </r>
  <r>
    <n v="44"/>
    <s v="No"/>
    <s v="Travel_Frequently"/>
    <n v="383"/>
    <x v="0"/>
    <n v="1"/>
    <n v="5"/>
    <x v="3"/>
    <n v="1"/>
    <x v="1051"/>
    <n v="1"/>
    <s v="Female"/>
    <n v="79"/>
    <n v="3"/>
    <x v="0"/>
    <x v="0"/>
    <n v="3"/>
    <s v="Married"/>
    <n v="4768"/>
    <n v="9282"/>
    <n v="7"/>
    <s v="Y"/>
    <x v="1"/>
    <n v="12"/>
    <n v="3"/>
    <n v="3"/>
    <n v="80"/>
    <n v="1"/>
    <n v="11"/>
    <n v="4"/>
    <n v="2"/>
    <n v="1"/>
    <n v="0"/>
    <n v="0"/>
    <n v="0"/>
    <n v="0"/>
    <x v="0"/>
  </r>
  <r>
    <n v="30"/>
    <s v="No"/>
    <s v="Non-Travel"/>
    <n v="990"/>
    <x v="1"/>
    <n v="7"/>
    <n v="3"/>
    <x v="4"/>
    <n v="1"/>
    <x v="1052"/>
    <n v="3"/>
    <s v="Male"/>
    <n v="64"/>
    <n v="3"/>
    <x v="1"/>
    <x v="1"/>
    <n v="3"/>
    <s v="Divorced"/>
    <n v="1274"/>
    <n v="7152"/>
    <n v="1"/>
    <s v="Y"/>
    <x v="1"/>
    <n v="13"/>
    <n v="3"/>
    <n v="2"/>
    <n v="80"/>
    <n v="2"/>
    <n v="1"/>
    <n v="2"/>
    <n v="2"/>
    <n v="1"/>
    <n v="0"/>
    <n v="0"/>
    <n v="0"/>
    <n v="0"/>
    <x v="2"/>
  </r>
  <r>
    <n v="57"/>
    <s v="No"/>
    <s v="Travel_Rarely"/>
    <n v="405"/>
    <x v="1"/>
    <n v="1"/>
    <n v="2"/>
    <x v="0"/>
    <n v="1"/>
    <x v="1053"/>
    <n v="2"/>
    <s v="Male"/>
    <n v="93"/>
    <n v="4"/>
    <x v="0"/>
    <x v="1"/>
    <n v="3"/>
    <s v="Married"/>
    <n v="4900"/>
    <n v="2721"/>
    <n v="0"/>
    <s v="Y"/>
    <x v="1"/>
    <n v="24"/>
    <n v="4"/>
    <n v="1"/>
    <n v="80"/>
    <n v="1"/>
    <n v="13"/>
    <n v="2"/>
    <n v="2"/>
    <n v="12"/>
    <n v="9"/>
    <n v="2"/>
    <n v="8"/>
    <n v="0"/>
    <x v="3"/>
  </r>
  <r>
    <n v="49"/>
    <s v="No"/>
    <s v="Travel_Rarely"/>
    <n v="1490"/>
    <x v="1"/>
    <n v="7"/>
    <n v="4"/>
    <x v="0"/>
    <n v="1"/>
    <x v="1054"/>
    <n v="3"/>
    <s v="Male"/>
    <n v="35"/>
    <n v="3"/>
    <x v="2"/>
    <x v="4"/>
    <n v="2"/>
    <s v="Divorced"/>
    <n v="10466"/>
    <n v="20948"/>
    <n v="3"/>
    <s v="Y"/>
    <x v="1"/>
    <n v="14"/>
    <n v="3"/>
    <n v="2"/>
    <n v="80"/>
    <n v="2"/>
    <n v="29"/>
    <n v="3"/>
    <n v="3"/>
    <n v="8"/>
    <n v="7"/>
    <n v="0"/>
    <n v="7"/>
    <n v="0"/>
    <x v="1"/>
  </r>
  <r>
    <n v="34"/>
    <s v="No"/>
    <s v="Travel_Frequently"/>
    <n v="829"/>
    <x v="1"/>
    <n v="15"/>
    <n v="3"/>
    <x v="2"/>
    <n v="1"/>
    <x v="1055"/>
    <n v="2"/>
    <s v="Male"/>
    <n v="71"/>
    <n v="3"/>
    <x v="3"/>
    <x v="7"/>
    <n v="1"/>
    <s v="Divorced"/>
    <n v="17007"/>
    <n v="11929"/>
    <n v="7"/>
    <s v="Y"/>
    <x v="1"/>
    <n v="14"/>
    <n v="3"/>
    <n v="4"/>
    <n v="80"/>
    <n v="2"/>
    <n v="16"/>
    <n v="3"/>
    <n v="2"/>
    <n v="14"/>
    <n v="8"/>
    <n v="6"/>
    <n v="9"/>
    <n v="0"/>
    <x v="2"/>
  </r>
  <r>
    <n v="28"/>
    <s v="Yes"/>
    <s v="Travel_Frequently"/>
    <n v="1496"/>
    <x v="0"/>
    <n v="1"/>
    <n v="3"/>
    <x v="4"/>
    <n v="1"/>
    <x v="1056"/>
    <n v="1"/>
    <s v="Male"/>
    <n v="92"/>
    <n v="3"/>
    <x v="1"/>
    <x v="6"/>
    <n v="3"/>
    <s v="Married"/>
    <n v="2909"/>
    <n v="15747"/>
    <n v="3"/>
    <s v="Y"/>
    <x v="1"/>
    <n v="15"/>
    <n v="3"/>
    <n v="4"/>
    <n v="80"/>
    <n v="1"/>
    <n v="5"/>
    <n v="3"/>
    <n v="4"/>
    <n v="3"/>
    <n v="2"/>
    <n v="1"/>
    <n v="2"/>
    <n v="1"/>
    <x v="2"/>
  </r>
  <r>
    <n v="29"/>
    <s v="Yes"/>
    <s v="Travel_Frequently"/>
    <n v="115"/>
    <x v="0"/>
    <n v="13"/>
    <n v="3"/>
    <x v="4"/>
    <n v="1"/>
    <x v="1057"/>
    <n v="1"/>
    <s v="Female"/>
    <n v="51"/>
    <n v="3"/>
    <x v="0"/>
    <x v="0"/>
    <n v="2"/>
    <s v="Single"/>
    <n v="5765"/>
    <n v="17485"/>
    <n v="5"/>
    <s v="Y"/>
    <x v="1"/>
    <n v="11"/>
    <n v="3"/>
    <n v="1"/>
    <n v="80"/>
    <n v="0"/>
    <n v="7"/>
    <n v="4"/>
    <n v="1"/>
    <n v="5"/>
    <n v="3"/>
    <n v="0"/>
    <n v="0"/>
    <n v="1"/>
    <x v="2"/>
  </r>
  <r>
    <n v="34"/>
    <s v="Yes"/>
    <s v="Travel_Rarely"/>
    <n v="790"/>
    <x v="0"/>
    <n v="24"/>
    <n v="4"/>
    <x v="2"/>
    <n v="1"/>
    <x v="1058"/>
    <n v="1"/>
    <s v="Female"/>
    <n v="40"/>
    <n v="2"/>
    <x v="0"/>
    <x v="0"/>
    <n v="2"/>
    <s v="Single"/>
    <n v="4599"/>
    <n v="7815"/>
    <n v="0"/>
    <s v="Y"/>
    <x v="0"/>
    <n v="23"/>
    <n v="4"/>
    <n v="3"/>
    <n v="80"/>
    <n v="0"/>
    <n v="16"/>
    <n v="2"/>
    <n v="4"/>
    <n v="15"/>
    <n v="9"/>
    <n v="10"/>
    <n v="10"/>
    <n v="1"/>
    <x v="2"/>
  </r>
  <r>
    <n v="35"/>
    <s v="No"/>
    <s v="Travel_Rarely"/>
    <n v="660"/>
    <x v="0"/>
    <n v="7"/>
    <n v="1"/>
    <x v="0"/>
    <n v="1"/>
    <x v="1059"/>
    <n v="4"/>
    <s v="Male"/>
    <n v="76"/>
    <n v="3"/>
    <x v="1"/>
    <x v="6"/>
    <n v="3"/>
    <s v="Married"/>
    <n v="2404"/>
    <n v="16192"/>
    <n v="1"/>
    <s v="Y"/>
    <x v="1"/>
    <n v="13"/>
    <n v="3"/>
    <n v="1"/>
    <n v="80"/>
    <n v="1"/>
    <n v="1"/>
    <n v="3"/>
    <n v="3"/>
    <n v="1"/>
    <n v="0"/>
    <n v="0"/>
    <n v="0"/>
    <n v="0"/>
    <x v="2"/>
  </r>
  <r>
    <n v="24"/>
    <s v="Yes"/>
    <s v="Travel_Frequently"/>
    <n v="381"/>
    <x v="1"/>
    <n v="9"/>
    <n v="3"/>
    <x v="2"/>
    <n v="1"/>
    <x v="1060"/>
    <n v="2"/>
    <s v="Male"/>
    <n v="89"/>
    <n v="3"/>
    <x v="1"/>
    <x v="2"/>
    <n v="1"/>
    <s v="Single"/>
    <n v="3172"/>
    <n v="16998"/>
    <n v="2"/>
    <s v="Y"/>
    <x v="0"/>
    <n v="11"/>
    <n v="3"/>
    <n v="3"/>
    <n v="80"/>
    <n v="0"/>
    <n v="4"/>
    <n v="2"/>
    <n v="2"/>
    <n v="0"/>
    <n v="0"/>
    <n v="0"/>
    <n v="0"/>
    <n v="1"/>
    <x v="4"/>
  </r>
  <r>
    <n v="24"/>
    <s v="No"/>
    <s v="Non-Travel"/>
    <n v="830"/>
    <x v="0"/>
    <n v="13"/>
    <n v="2"/>
    <x v="0"/>
    <n v="1"/>
    <x v="1061"/>
    <n v="4"/>
    <s v="Female"/>
    <n v="78"/>
    <n v="3"/>
    <x v="1"/>
    <x v="6"/>
    <n v="2"/>
    <s v="Married"/>
    <n v="2033"/>
    <n v="7103"/>
    <n v="1"/>
    <s v="Y"/>
    <x v="1"/>
    <n v="13"/>
    <n v="3"/>
    <n v="3"/>
    <n v="80"/>
    <n v="1"/>
    <n v="1"/>
    <n v="2"/>
    <n v="3"/>
    <n v="1"/>
    <n v="0"/>
    <n v="0"/>
    <n v="0"/>
    <n v="0"/>
    <x v="4"/>
  </r>
  <r>
    <n v="44"/>
    <s v="No"/>
    <s v="Travel_Frequently"/>
    <n v="1193"/>
    <x v="1"/>
    <n v="2"/>
    <n v="1"/>
    <x v="2"/>
    <n v="1"/>
    <x v="1062"/>
    <n v="2"/>
    <s v="Male"/>
    <n v="86"/>
    <n v="3"/>
    <x v="2"/>
    <x v="3"/>
    <n v="3"/>
    <s v="Single"/>
    <n v="10209"/>
    <n v="19719"/>
    <n v="5"/>
    <s v="Y"/>
    <x v="0"/>
    <n v="18"/>
    <n v="3"/>
    <n v="2"/>
    <n v="80"/>
    <n v="0"/>
    <n v="16"/>
    <n v="2"/>
    <n v="2"/>
    <n v="2"/>
    <n v="2"/>
    <n v="2"/>
    <n v="2"/>
    <n v="0"/>
    <x v="0"/>
  </r>
  <r>
    <n v="29"/>
    <s v="No"/>
    <s v="Travel_Rarely"/>
    <n v="1246"/>
    <x v="0"/>
    <n v="19"/>
    <n v="3"/>
    <x v="0"/>
    <n v="1"/>
    <x v="1063"/>
    <n v="3"/>
    <s v="Male"/>
    <n v="77"/>
    <n v="2"/>
    <x v="0"/>
    <x v="0"/>
    <n v="3"/>
    <s v="Divorced"/>
    <n v="8620"/>
    <n v="23757"/>
    <n v="1"/>
    <s v="Y"/>
    <x v="1"/>
    <n v="14"/>
    <n v="3"/>
    <n v="3"/>
    <n v="80"/>
    <n v="2"/>
    <n v="10"/>
    <n v="3"/>
    <n v="3"/>
    <n v="10"/>
    <n v="7"/>
    <n v="0"/>
    <n v="4"/>
    <n v="0"/>
    <x v="2"/>
  </r>
  <r>
    <n v="30"/>
    <s v="No"/>
    <s v="Travel_Rarely"/>
    <n v="330"/>
    <x v="2"/>
    <n v="1"/>
    <n v="3"/>
    <x v="0"/>
    <n v="1"/>
    <x v="1064"/>
    <n v="3"/>
    <s v="Male"/>
    <n v="46"/>
    <n v="3"/>
    <x v="1"/>
    <x v="8"/>
    <n v="3"/>
    <s v="Divorced"/>
    <n v="2064"/>
    <n v="15428"/>
    <n v="0"/>
    <s v="Y"/>
    <x v="1"/>
    <n v="21"/>
    <n v="4"/>
    <n v="1"/>
    <n v="80"/>
    <n v="1"/>
    <n v="6"/>
    <n v="3"/>
    <n v="4"/>
    <n v="5"/>
    <n v="3"/>
    <n v="1"/>
    <n v="3"/>
    <n v="0"/>
    <x v="2"/>
  </r>
  <r>
    <n v="55"/>
    <s v="No"/>
    <s v="Travel_Rarely"/>
    <n v="1229"/>
    <x v="1"/>
    <n v="4"/>
    <n v="4"/>
    <x v="0"/>
    <n v="1"/>
    <x v="1065"/>
    <n v="4"/>
    <s v="Male"/>
    <n v="30"/>
    <n v="3"/>
    <x v="0"/>
    <x v="4"/>
    <n v="3"/>
    <s v="Married"/>
    <n v="4035"/>
    <n v="16143"/>
    <n v="0"/>
    <s v="Y"/>
    <x v="0"/>
    <n v="16"/>
    <n v="3"/>
    <n v="2"/>
    <n v="80"/>
    <n v="0"/>
    <n v="4"/>
    <n v="2"/>
    <n v="3"/>
    <n v="3"/>
    <n v="2"/>
    <n v="1"/>
    <n v="2"/>
    <n v="0"/>
    <x v="1"/>
  </r>
  <r>
    <n v="33"/>
    <s v="No"/>
    <s v="Travel_Rarely"/>
    <n v="1099"/>
    <x v="1"/>
    <n v="4"/>
    <n v="4"/>
    <x v="2"/>
    <n v="1"/>
    <x v="1066"/>
    <n v="1"/>
    <s v="Female"/>
    <n v="82"/>
    <n v="2"/>
    <x v="1"/>
    <x v="2"/>
    <n v="2"/>
    <s v="Married"/>
    <n v="3838"/>
    <n v="8192"/>
    <n v="8"/>
    <s v="Y"/>
    <x v="1"/>
    <n v="11"/>
    <n v="3"/>
    <n v="4"/>
    <n v="80"/>
    <n v="0"/>
    <n v="8"/>
    <n v="5"/>
    <n v="3"/>
    <n v="5"/>
    <n v="4"/>
    <n v="0"/>
    <n v="2"/>
    <n v="0"/>
    <x v="2"/>
  </r>
  <r>
    <n v="47"/>
    <s v="No"/>
    <s v="Travel_Rarely"/>
    <n v="571"/>
    <x v="0"/>
    <n v="14"/>
    <n v="3"/>
    <x v="2"/>
    <n v="1"/>
    <x v="1067"/>
    <n v="3"/>
    <s v="Female"/>
    <n v="78"/>
    <n v="3"/>
    <x v="0"/>
    <x v="0"/>
    <n v="3"/>
    <s v="Married"/>
    <n v="4591"/>
    <n v="24200"/>
    <n v="3"/>
    <s v="Y"/>
    <x v="0"/>
    <n v="17"/>
    <n v="3"/>
    <n v="3"/>
    <n v="80"/>
    <n v="1"/>
    <n v="11"/>
    <n v="4"/>
    <n v="2"/>
    <n v="5"/>
    <n v="4"/>
    <n v="1"/>
    <n v="2"/>
    <n v="0"/>
    <x v="1"/>
  </r>
  <r>
    <n v="28"/>
    <s v="Yes"/>
    <s v="Travel_Frequently"/>
    <n v="289"/>
    <x v="1"/>
    <n v="2"/>
    <n v="2"/>
    <x v="2"/>
    <n v="1"/>
    <x v="1068"/>
    <n v="3"/>
    <s v="Male"/>
    <n v="38"/>
    <n v="2"/>
    <x v="1"/>
    <x v="2"/>
    <n v="1"/>
    <s v="Single"/>
    <n v="2561"/>
    <n v="5355"/>
    <n v="7"/>
    <s v="Y"/>
    <x v="1"/>
    <n v="11"/>
    <n v="3"/>
    <n v="3"/>
    <n v="80"/>
    <n v="0"/>
    <n v="8"/>
    <n v="2"/>
    <n v="2"/>
    <n v="0"/>
    <n v="0"/>
    <n v="0"/>
    <n v="0"/>
    <n v="1"/>
    <x v="2"/>
  </r>
  <r>
    <n v="28"/>
    <s v="No"/>
    <s v="Travel_Rarely"/>
    <n v="1423"/>
    <x v="1"/>
    <n v="1"/>
    <n v="3"/>
    <x v="0"/>
    <n v="1"/>
    <x v="1069"/>
    <n v="1"/>
    <s v="Male"/>
    <n v="72"/>
    <n v="2"/>
    <x v="1"/>
    <x v="1"/>
    <n v="3"/>
    <s v="Divorced"/>
    <n v="1563"/>
    <n v="12530"/>
    <n v="1"/>
    <s v="Y"/>
    <x v="1"/>
    <n v="14"/>
    <n v="3"/>
    <n v="4"/>
    <n v="80"/>
    <n v="1"/>
    <n v="1"/>
    <n v="2"/>
    <n v="1"/>
    <n v="1"/>
    <n v="0"/>
    <n v="0"/>
    <n v="0"/>
    <n v="0"/>
    <x v="2"/>
  </r>
  <r>
    <n v="28"/>
    <s v="No"/>
    <s v="Travel_Frequently"/>
    <n v="467"/>
    <x v="0"/>
    <n v="7"/>
    <n v="3"/>
    <x v="0"/>
    <n v="1"/>
    <x v="1070"/>
    <n v="3"/>
    <s v="Male"/>
    <n v="55"/>
    <n v="3"/>
    <x v="0"/>
    <x v="0"/>
    <n v="1"/>
    <s v="Single"/>
    <n v="4898"/>
    <n v="11827"/>
    <n v="0"/>
    <s v="Y"/>
    <x v="1"/>
    <n v="14"/>
    <n v="3"/>
    <n v="4"/>
    <n v="80"/>
    <n v="0"/>
    <n v="5"/>
    <n v="5"/>
    <n v="3"/>
    <n v="4"/>
    <n v="2"/>
    <n v="1"/>
    <n v="3"/>
    <n v="0"/>
    <x v="2"/>
  </r>
  <r>
    <n v="49"/>
    <s v="No"/>
    <s v="Travel_Rarely"/>
    <n v="271"/>
    <x v="1"/>
    <n v="3"/>
    <n v="2"/>
    <x v="2"/>
    <n v="1"/>
    <x v="1071"/>
    <n v="3"/>
    <s v="Female"/>
    <n v="43"/>
    <n v="2"/>
    <x v="0"/>
    <x v="2"/>
    <n v="1"/>
    <s v="Married"/>
    <n v="4789"/>
    <n v="23070"/>
    <n v="4"/>
    <s v="Y"/>
    <x v="1"/>
    <n v="25"/>
    <n v="4"/>
    <n v="1"/>
    <n v="80"/>
    <n v="1"/>
    <n v="10"/>
    <n v="3"/>
    <n v="3"/>
    <n v="3"/>
    <n v="2"/>
    <n v="1"/>
    <n v="2"/>
    <n v="0"/>
    <x v="1"/>
  </r>
  <r>
    <n v="29"/>
    <s v="No"/>
    <s v="Travel_Frequently"/>
    <n v="410"/>
    <x v="1"/>
    <n v="2"/>
    <n v="1"/>
    <x v="0"/>
    <n v="1"/>
    <x v="1072"/>
    <n v="4"/>
    <s v="Female"/>
    <n v="97"/>
    <n v="3"/>
    <x v="1"/>
    <x v="2"/>
    <n v="2"/>
    <s v="Married"/>
    <n v="3180"/>
    <n v="4668"/>
    <n v="0"/>
    <s v="Y"/>
    <x v="1"/>
    <n v="13"/>
    <n v="3"/>
    <n v="3"/>
    <n v="80"/>
    <n v="3"/>
    <n v="4"/>
    <n v="3"/>
    <n v="3"/>
    <n v="3"/>
    <n v="2"/>
    <n v="0"/>
    <n v="2"/>
    <n v="0"/>
    <x v="2"/>
  </r>
  <r>
    <n v="28"/>
    <s v="No"/>
    <s v="Travel_Rarely"/>
    <n v="1083"/>
    <x v="1"/>
    <n v="29"/>
    <n v="1"/>
    <x v="0"/>
    <n v="1"/>
    <x v="1073"/>
    <n v="3"/>
    <s v="Male"/>
    <n v="96"/>
    <n v="1"/>
    <x v="0"/>
    <x v="3"/>
    <n v="2"/>
    <s v="Married"/>
    <n v="6549"/>
    <n v="3173"/>
    <n v="1"/>
    <s v="Y"/>
    <x v="1"/>
    <n v="14"/>
    <n v="3"/>
    <n v="2"/>
    <n v="80"/>
    <n v="2"/>
    <n v="8"/>
    <n v="2"/>
    <n v="2"/>
    <n v="8"/>
    <n v="6"/>
    <n v="1"/>
    <n v="7"/>
    <n v="0"/>
    <x v="2"/>
  </r>
  <r>
    <n v="33"/>
    <s v="No"/>
    <s v="Travel_Rarely"/>
    <n v="516"/>
    <x v="1"/>
    <n v="8"/>
    <n v="5"/>
    <x v="0"/>
    <n v="1"/>
    <x v="1074"/>
    <n v="4"/>
    <s v="Male"/>
    <n v="69"/>
    <n v="3"/>
    <x v="0"/>
    <x v="4"/>
    <n v="3"/>
    <s v="Single"/>
    <n v="6388"/>
    <n v="22049"/>
    <n v="2"/>
    <s v="Y"/>
    <x v="0"/>
    <n v="17"/>
    <n v="3"/>
    <n v="1"/>
    <n v="80"/>
    <n v="0"/>
    <n v="14"/>
    <n v="6"/>
    <n v="3"/>
    <n v="0"/>
    <n v="0"/>
    <n v="0"/>
    <n v="0"/>
    <n v="0"/>
    <x v="2"/>
  </r>
  <r>
    <n v="32"/>
    <s v="No"/>
    <s v="Travel_Rarely"/>
    <n v="495"/>
    <x v="1"/>
    <n v="10"/>
    <n v="3"/>
    <x v="2"/>
    <n v="1"/>
    <x v="1075"/>
    <n v="3"/>
    <s v="Male"/>
    <n v="64"/>
    <n v="3"/>
    <x v="2"/>
    <x v="5"/>
    <n v="4"/>
    <s v="Single"/>
    <n v="11244"/>
    <n v="21072"/>
    <n v="2"/>
    <s v="Y"/>
    <x v="1"/>
    <n v="25"/>
    <n v="4"/>
    <n v="2"/>
    <n v="80"/>
    <n v="0"/>
    <n v="10"/>
    <n v="5"/>
    <n v="4"/>
    <n v="5"/>
    <n v="2"/>
    <n v="0"/>
    <n v="0"/>
    <n v="0"/>
    <x v="2"/>
  </r>
  <r>
    <n v="54"/>
    <s v="No"/>
    <s v="Travel_Frequently"/>
    <n v="1050"/>
    <x v="1"/>
    <n v="11"/>
    <n v="4"/>
    <x v="2"/>
    <n v="1"/>
    <x v="1076"/>
    <n v="2"/>
    <s v="Female"/>
    <n v="87"/>
    <n v="3"/>
    <x v="3"/>
    <x v="5"/>
    <n v="4"/>
    <s v="Divorced"/>
    <n v="16032"/>
    <n v="24456"/>
    <n v="3"/>
    <s v="Y"/>
    <x v="1"/>
    <n v="20"/>
    <n v="4"/>
    <n v="1"/>
    <n v="80"/>
    <n v="1"/>
    <n v="26"/>
    <n v="2"/>
    <n v="3"/>
    <n v="14"/>
    <n v="9"/>
    <n v="1"/>
    <n v="12"/>
    <n v="0"/>
    <x v="1"/>
  </r>
  <r>
    <n v="29"/>
    <s v="Yes"/>
    <s v="Travel_Rarely"/>
    <n v="224"/>
    <x v="1"/>
    <n v="1"/>
    <n v="4"/>
    <x v="4"/>
    <n v="1"/>
    <x v="1077"/>
    <n v="1"/>
    <s v="Male"/>
    <n v="100"/>
    <n v="2"/>
    <x v="1"/>
    <x v="1"/>
    <n v="1"/>
    <s v="Single"/>
    <n v="2362"/>
    <n v="7568"/>
    <n v="6"/>
    <s v="Y"/>
    <x v="1"/>
    <n v="13"/>
    <n v="3"/>
    <n v="3"/>
    <n v="80"/>
    <n v="0"/>
    <n v="11"/>
    <n v="2"/>
    <n v="1"/>
    <n v="9"/>
    <n v="7"/>
    <n v="0"/>
    <n v="7"/>
    <n v="1"/>
    <x v="2"/>
  </r>
  <r>
    <n v="44"/>
    <s v="No"/>
    <s v="Travel_Rarely"/>
    <n v="136"/>
    <x v="1"/>
    <n v="28"/>
    <n v="3"/>
    <x v="0"/>
    <n v="1"/>
    <x v="1078"/>
    <n v="4"/>
    <s v="Male"/>
    <n v="32"/>
    <n v="3"/>
    <x v="3"/>
    <x v="7"/>
    <n v="1"/>
    <s v="Married"/>
    <n v="16328"/>
    <n v="22074"/>
    <n v="3"/>
    <s v="Y"/>
    <x v="1"/>
    <n v="13"/>
    <n v="3"/>
    <n v="3"/>
    <n v="80"/>
    <n v="1"/>
    <n v="24"/>
    <n v="1"/>
    <n v="4"/>
    <n v="20"/>
    <n v="6"/>
    <n v="14"/>
    <n v="17"/>
    <n v="0"/>
    <x v="0"/>
  </r>
  <r>
    <n v="39"/>
    <s v="No"/>
    <s v="Travel_Rarely"/>
    <n v="1089"/>
    <x v="1"/>
    <n v="6"/>
    <n v="3"/>
    <x v="0"/>
    <n v="1"/>
    <x v="1079"/>
    <n v="2"/>
    <s v="Female"/>
    <n v="32"/>
    <n v="3"/>
    <x v="2"/>
    <x v="3"/>
    <n v="2"/>
    <s v="Single"/>
    <n v="8376"/>
    <n v="9150"/>
    <n v="4"/>
    <s v="Y"/>
    <x v="1"/>
    <n v="18"/>
    <n v="3"/>
    <n v="4"/>
    <n v="80"/>
    <n v="0"/>
    <n v="9"/>
    <n v="3"/>
    <n v="3"/>
    <n v="2"/>
    <n v="0"/>
    <n v="2"/>
    <n v="2"/>
    <n v="0"/>
    <x v="0"/>
  </r>
  <r>
    <n v="46"/>
    <s v="No"/>
    <s v="Travel_Rarely"/>
    <n v="228"/>
    <x v="0"/>
    <n v="3"/>
    <n v="3"/>
    <x v="0"/>
    <n v="1"/>
    <x v="1080"/>
    <n v="3"/>
    <s v="Female"/>
    <n v="51"/>
    <n v="3"/>
    <x v="3"/>
    <x v="5"/>
    <n v="2"/>
    <s v="Married"/>
    <n v="16606"/>
    <n v="11380"/>
    <n v="8"/>
    <s v="Y"/>
    <x v="1"/>
    <n v="12"/>
    <n v="3"/>
    <n v="4"/>
    <n v="80"/>
    <n v="1"/>
    <n v="23"/>
    <n v="2"/>
    <n v="4"/>
    <n v="13"/>
    <n v="12"/>
    <n v="5"/>
    <n v="1"/>
    <n v="0"/>
    <x v="1"/>
  </r>
  <r>
    <n v="35"/>
    <s v="No"/>
    <s v="Travel_Rarely"/>
    <n v="1029"/>
    <x v="1"/>
    <n v="16"/>
    <n v="3"/>
    <x v="0"/>
    <n v="1"/>
    <x v="1081"/>
    <n v="4"/>
    <s v="Female"/>
    <n v="91"/>
    <n v="2"/>
    <x v="2"/>
    <x v="4"/>
    <n v="2"/>
    <s v="Single"/>
    <n v="8606"/>
    <n v="21195"/>
    <n v="1"/>
    <s v="Y"/>
    <x v="1"/>
    <n v="19"/>
    <n v="3"/>
    <n v="4"/>
    <n v="80"/>
    <n v="0"/>
    <n v="11"/>
    <n v="3"/>
    <n v="1"/>
    <n v="11"/>
    <n v="8"/>
    <n v="3"/>
    <n v="3"/>
    <n v="0"/>
    <x v="2"/>
  </r>
  <r>
    <n v="23"/>
    <s v="No"/>
    <s v="Travel_Rarely"/>
    <n v="507"/>
    <x v="1"/>
    <n v="20"/>
    <n v="1"/>
    <x v="0"/>
    <n v="1"/>
    <x v="1082"/>
    <n v="1"/>
    <s v="Male"/>
    <n v="97"/>
    <n v="3"/>
    <x v="0"/>
    <x v="2"/>
    <n v="3"/>
    <s v="Single"/>
    <n v="2272"/>
    <n v="24812"/>
    <n v="0"/>
    <s v="Y"/>
    <x v="1"/>
    <n v="14"/>
    <n v="3"/>
    <n v="2"/>
    <n v="80"/>
    <n v="0"/>
    <n v="5"/>
    <n v="2"/>
    <n v="3"/>
    <n v="4"/>
    <n v="3"/>
    <n v="1"/>
    <n v="2"/>
    <n v="0"/>
    <x v="4"/>
  </r>
  <r>
    <n v="40"/>
    <s v="Yes"/>
    <s v="Travel_Rarely"/>
    <n v="676"/>
    <x v="1"/>
    <n v="9"/>
    <n v="4"/>
    <x v="0"/>
    <n v="1"/>
    <x v="1083"/>
    <n v="4"/>
    <s v="Male"/>
    <n v="86"/>
    <n v="3"/>
    <x v="1"/>
    <x v="2"/>
    <n v="1"/>
    <s v="Single"/>
    <n v="2018"/>
    <n v="21831"/>
    <n v="3"/>
    <s v="Y"/>
    <x v="1"/>
    <n v="14"/>
    <n v="3"/>
    <n v="2"/>
    <n v="80"/>
    <n v="0"/>
    <n v="15"/>
    <n v="3"/>
    <n v="1"/>
    <n v="5"/>
    <n v="4"/>
    <n v="1"/>
    <n v="0"/>
    <n v="1"/>
    <x v="0"/>
  </r>
  <r>
    <n v="34"/>
    <s v="No"/>
    <s v="Travel_Rarely"/>
    <n v="971"/>
    <x v="0"/>
    <n v="1"/>
    <n v="3"/>
    <x v="4"/>
    <n v="1"/>
    <x v="1084"/>
    <n v="4"/>
    <s v="Male"/>
    <n v="64"/>
    <n v="2"/>
    <x v="2"/>
    <x v="0"/>
    <n v="3"/>
    <s v="Married"/>
    <n v="7083"/>
    <n v="12288"/>
    <n v="1"/>
    <s v="Y"/>
    <x v="0"/>
    <n v="14"/>
    <n v="3"/>
    <n v="4"/>
    <n v="80"/>
    <n v="0"/>
    <n v="10"/>
    <n v="3"/>
    <n v="3"/>
    <n v="10"/>
    <n v="9"/>
    <n v="8"/>
    <n v="6"/>
    <n v="0"/>
    <x v="2"/>
  </r>
  <r>
    <n v="31"/>
    <s v="Yes"/>
    <s v="Travel_Frequently"/>
    <n v="561"/>
    <x v="1"/>
    <n v="3"/>
    <n v="3"/>
    <x v="0"/>
    <n v="1"/>
    <x v="1085"/>
    <n v="4"/>
    <s v="Female"/>
    <n v="33"/>
    <n v="3"/>
    <x v="1"/>
    <x v="1"/>
    <n v="3"/>
    <s v="Single"/>
    <n v="4084"/>
    <n v="4156"/>
    <n v="1"/>
    <s v="Y"/>
    <x v="1"/>
    <n v="12"/>
    <n v="3"/>
    <n v="1"/>
    <n v="80"/>
    <n v="0"/>
    <n v="7"/>
    <n v="2"/>
    <n v="1"/>
    <n v="7"/>
    <n v="2"/>
    <n v="7"/>
    <n v="7"/>
    <n v="1"/>
    <x v="2"/>
  </r>
  <r>
    <n v="50"/>
    <s v="No"/>
    <s v="Travel_Frequently"/>
    <n v="333"/>
    <x v="1"/>
    <n v="22"/>
    <n v="5"/>
    <x v="2"/>
    <n v="1"/>
    <x v="1086"/>
    <n v="3"/>
    <s v="Male"/>
    <n v="88"/>
    <n v="1"/>
    <x v="3"/>
    <x v="7"/>
    <n v="4"/>
    <s v="Single"/>
    <n v="14411"/>
    <n v="24450"/>
    <n v="1"/>
    <s v="Y"/>
    <x v="0"/>
    <n v="13"/>
    <n v="3"/>
    <n v="4"/>
    <n v="80"/>
    <n v="0"/>
    <n v="32"/>
    <n v="2"/>
    <n v="3"/>
    <n v="32"/>
    <n v="6"/>
    <n v="13"/>
    <n v="9"/>
    <n v="0"/>
    <x v="1"/>
  </r>
  <r>
    <n v="34"/>
    <s v="No"/>
    <s v="Travel_Rarely"/>
    <n v="1440"/>
    <x v="0"/>
    <n v="7"/>
    <n v="2"/>
    <x v="4"/>
    <n v="1"/>
    <x v="1087"/>
    <n v="2"/>
    <s v="Male"/>
    <n v="55"/>
    <n v="3"/>
    <x v="1"/>
    <x v="6"/>
    <n v="3"/>
    <s v="Married"/>
    <n v="2308"/>
    <n v="4944"/>
    <n v="0"/>
    <s v="Y"/>
    <x v="0"/>
    <n v="25"/>
    <n v="4"/>
    <n v="2"/>
    <n v="80"/>
    <n v="1"/>
    <n v="12"/>
    <n v="4"/>
    <n v="3"/>
    <n v="11"/>
    <n v="10"/>
    <n v="5"/>
    <n v="7"/>
    <n v="0"/>
    <x v="2"/>
  </r>
  <r>
    <n v="42"/>
    <s v="No"/>
    <s v="Travel_Rarely"/>
    <n v="1210"/>
    <x v="1"/>
    <n v="2"/>
    <n v="3"/>
    <x v="2"/>
    <n v="1"/>
    <x v="1088"/>
    <n v="3"/>
    <s v="Male"/>
    <n v="68"/>
    <n v="2"/>
    <x v="1"/>
    <x v="2"/>
    <n v="2"/>
    <s v="Married"/>
    <n v="4841"/>
    <n v="24052"/>
    <n v="4"/>
    <s v="Y"/>
    <x v="1"/>
    <n v="14"/>
    <n v="3"/>
    <n v="2"/>
    <n v="80"/>
    <n v="1"/>
    <n v="4"/>
    <n v="3"/>
    <n v="3"/>
    <n v="1"/>
    <n v="0"/>
    <n v="0"/>
    <n v="0"/>
    <n v="0"/>
    <x v="0"/>
  </r>
  <r>
    <n v="37"/>
    <s v="No"/>
    <s v="Travel_Rarely"/>
    <n v="674"/>
    <x v="1"/>
    <n v="13"/>
    <n v="3"/>
    <x v="2"/>
    <n v="1"/>
    <x v="1089"/>
    <n v="1"/>
    <s v="Male"/>
    <n v="47"/>
    <n v="3"/>
    <x v="0"/>
    <x v="1"/>
    <n v="4"/>
    <s v="Married"/>
    <n v="4285"/>
    <n v="3031"/>
    <n v="1"/>
    <s v="Y"/>
    <x v="1"/>
    <n v="17"/>
    <n v="3"/>
    <n v="1"/>
    <n v="80"/>
    <n v="0"/>
    <n v="10"/>
    <n v="2"/>
    <n v="3"/>
    <n v="10"/>
    <n v="8"/>
    <n v="3"/>
    <n v="7"/>
    <n v="0"/>
    <x v="0"/>
  </r>
  <r>
    <n v="29"/>
    <s v="No"/>
    <s v="Travel_Rarely"/>
    <n v="441"/>
    <x v="1"/>
    <n v="8"/>
    <n v="1"/>
    <x v="1"/>
    <n v="1"/>
    <x v="1090"/>
    <n v="3"/>
    <s v="Female"/>
    <n v="39"/>
    <n v="1"/>
    <x v="0"/>
    <x v="4"/>
    <n v="1"/>
    <s v="Married"/>
    <n v="9715"/>
    <n v="7288"/>
    <n v="3"/>
    <s v="Y"/>
    <x v="1"/>
    <n v="13"/>
    <n v="3"/>
    <n v="3"/>
    <n v="80"/>
    <n v="1"/>
    <n v="9"/>
    <n v="3"/>
    <n v="3"/>
    <n v="7"/>
    <n v="7"/>
    <n v="0"/>
    <n v="7"/>
    <n v="0"/>
    <x v="2"/>
  </r>
  <r>
    <n v="33"/>
    <s v="No"/>
    <s v="Travel_Rarely"/>
    <n v="575"/>
    <x v="1"/>
    <n v="25"/>
    <n v="3"/>
    <x v="0"/>
    <n v="1"/>
    <x v="1091"/>
    <n v="4"/>
    <s v="Male"/>
    <n v="44"/>
    <n v="2"/>
    <x v="0"/>
    <x v="3"/>
    <n v="2"/>
    <s v="Single"/>
    <n v="4320"/>
    <n v="24152"/>
    <n v="1"/>
    <s v="Y"/>
    <x v="1"/>
    <n v="13"/>
    <n v="3"/>
    <n v="4"/>
    <n v="80"/>
    <n v="0"/>
    <n v="5"/>
    <n v="2"/>
    <n v="3"/>
    <n v="5"/>
    <n v="3"/>
    <n v="0"/>
    <n v="2"/>
    <n v="0"/>
    <x v="2"/>
  </r>
  <r>
    <n v="45"/>
    <s v="No"/>
    <s v="Travel_Rarely"/>
    <n v="950"/>
    <x v="1"/>
    <n v="28"/>
    <n v="3"/>
    <x v="4"/>
    <n v="1"/>
    <x v="1092"/>
    <n v="4"/>
    <s v="Male"/>
    <n v="97"/>
    <n v="3"/>
    <x v="1"/>
    <x v="1"/>
    <n v="4"/>
    <s v="Married"/>
    <n v="2132"/>
    <n v="4585"/>
    <n v="4"/>
    <s v="Y"/>
    <x v="1"/>
    <n v="20"/>
    <n v="4"/>
    <n v="4"/>
    <n v="80"/>
    <n v="1"/>
    <n v="8"/>
    <n v="3"/>
    <n v="3"/>
    <n v="5"/>
    <n v="4"/>
    <n v="0"/>
    <n v="3"/>
    <n v="0"/>
    <x v="0"/>
  </r>
  <r>
    <n v="42"/>
    <s v="No"/>
    <s v="Travel_Frequently"/>
    <n v="288"/>
    <x v="1"/>
    <n v="2"/>
    <n v="3"/>
    <x v="0"/>
    <n v="1"/>
    <x v="1093"/>
    <n v="4"/>
    <s v="Male"/>
    <n v="40"/>
    <n v="3"/>
    <x v="2"/>
    <x v="4"/>
    <n v="4"/>
    <s v="Married"/>
    <n v="10124"/>
    <n v="18611"/>
    <n v="2"/>
    <s v="Y"/>
    <x v="0"/>
    <n v="14"/>
    <n v="3"/>
    <n v="3"/>
    <n v="80"/>
    <n v="1"/>
    <n v="24"/>
    <n v="3"/>
    <n v="1"/>
    <n v="20"/>
    <n v="8"/>
    <n v="13"/>
    <n v="9"/>
    <n v="0"/>
    <x v="0"/>
  </r>
  <r>
    <n v="40"/>
    <s v="No"/>
    <s v="Travel_Rarely"/>
    <n v="1342"/>
    <x v="0"/>
    <n v="9"/>
    <n v="2"/>
    <x v="2"/>
    <n v="1"/>
    <x v="1094"/>
    <n v="1"/>
    <s v="Male"/>
    <n v="47"/>
    <n v="3"/>
    <x v="0"/>
    <x v="0"/>
    <n v="1"/>
    <s v="Married"/>
    <n v="5473"/>
    <n v="19345"/>
    <n v="0"/>
    <s v="Y"/>
    <x v="1"/>
    <n v="12"/>
    <n v="3"/>
    <n v="4"/>
    <n v="80"/>
    <n v="0"/>
    <n v="9"/>
    <n v="5"/>
    <n v="4"/>
    <n v="8"/>
    <n v="4"/>
    <n v="7"/>
    <n v="1"/>
    <n v="0"/>
    <x v="0"/>
  </r>
  <r>
    <n v="33"/>
    <s v="No"/>
    <s v="Travel_Rarely"/>
    <n v="589"/>
    <x v="1"/>
    <n v="28"/>
    <n v="4"/>
    <x v="0"/>
    <n v="1"/>
    <x v="1095"/>
    <n v="2"/>
    <s v="Male"/>
    <n v="79"/>
    <n v="3"/>
    <x v="0"/>
    <x v="2"/>
    <n v="3"/>
    <s v="Married"/>
    <n v="5207"/>
    <n v="22949"/>
    <n v="1"/>
    <s v="Y"/>
    <x v="0"/>
    <n v="12"/>
    <n v="3"/>
    <n v="2"/>
    <n v="80"/>
    <n v="1"/>
    <n v="15"/>
    <n v="3"/>
    <n v="3"/>
    <n v="15"/>
    <n v="14"/>
    <n v="5"/>
    <n v="7"/>
    <n v="0"/>
    <x v="2"/>
  </r>
  <r>
    <n v="40"/>
    <s v="No"/>
    <s v="Travel_Rarely"/>
    <n v="898"/>
    <x v="2"/>
    <n v="6"/>
    <n v="2"/>
    <x v="2"/>
    <n v="1"/>
    <x v="1096"/>
    <n v="3"/>
    <s v="Male"/>
    <n v="38"/>
    <n v="3"/>
    <x v="3"/>
    <x v="5"/>
    <n v="4"/>
    <s v="Single"/>
    <n v="16437"/>
    <n v="17381"/>
    <n v="1"/>
    <s v="Y"/>
    <x v="0"/>
    <n v="21"/>
    <n v="4"/>
    <n v="4"/>
    <n v="80"/>
    <n v="0"/>
    <n v="21"/>
    <n v="2"/>
    <n v="3"/>
    <n v="21"/>
    <n v="7"/>
    <n v="7"/>
    <n v="7"/>
    <n v="0"/>
    <x v="0"/>
  </r>
  <r>
    <n v="24"/>
    <s v="No"/>
    <s v="Travel_Rarely"/>
    <n v="350"/>
    <x v="1"/>
    <n v="21"/>
    <n v="2"/>
    <x v="4"/>
    <n v="1"/>
    <x v="1097"/>
    <n v="3"/>
    <s v="Male"/>
    <n v="57"/>
    <n v="2"/>
    <x v="1"/>
    <x v="2"/>
    <n v="1"/>
    <s v="Divorced"/>
    <n v="2296"/>
    <n v="10036"/>
    <n v="0"/>
    <s v="Y"/>
    <x v="1"/>
    <n v="14"/>
    <n v="3"/>
    <n v="2"/>
    <n v="80"/>
    <n v="3"/>
    <n v="2"/>
    <n v="3"/>
    <n v="3"/>
    <n v="1"/>
    <n v="1"/>
    <n v="0"/>
    <n v="0"/>
    <n v="0"/>
    <x v="4"/>
  </r>
  <r>
    <n v="40"/>
    <s v="No"/>
    <s v="Non-Travel"/>
    <n v="1142"/>
    <x v="1"/>
    <n v="8"/>
    <n v="2"/>
    <x v="0"/>
    <n v="1"/>
    <x v="1098"/>
    <n v="4"/>
    <s v="Male"/>
    <n v="72"/>
    <n v="3"/>
    <x v="0"/>
    <x v="4"/>
    <n v="4"/>
    <s v="Divorced"/>
    <n v="4069"/>
    <n v="8841"/>
    <n v="3"/>
    <s v="Y"/>
    <x v="0"/>
    <n v="18"/>
    <n v="3"/>
    <n v="3"/>
    <n v="80"/>
    <n v="0"/>
    <n v="8"/>
    <n v="2"/>
    <n v="3"/>
    <n v="2"/>
    <n v="2"/>
    <n v="2"/>
    <n v="2"/>
    <n v="0"/>
    <x v="0"/>
  </r>
  <r>
    <n v="45"/>
    <s v="No"/>
    <s v="Travel_Rarely"/>
    <n v="538"/>
    <x v="1"/>
    <n v="1"/>
    <n v="4"/>
    <x v="4"/>
    <n v="1"/>
    <x v="1099"/>
    <n v="1"/>
    <s v="Male"/>
    <n v="66"/>
    <n v="3"/>
    <x v="2"/>
    <x v="4"/>
    <n v="2"/>
    <s v="Divorced"/>
    <n v="7441"/>
    <n v="20933"/>
    <n v="1"/>
    <s v="Y"/>
    <x v="1"/>
    <n v="12"/>
    <n v="3"/>
    <n v="1"/>
    <n v="80"/>
    <n v="3"/>
    <n v="10"/>
    <n v="4"/>
    <n v="3"/>
    <n v="10"/>
    <n v="8"/>
    <n v="7"/>
    <n v="7"/>
    <n v="0"/>
    <x v="0"/>
  </r>
  <r>
    <n v="35"/>
    <s v="No"/>
    <s v="Travel_Rarely"/>
    <n v="1402"/>
    <x v="0"/>
    <n v="28"/>
    <n v="4"/>
    <x v="0"/>
    <n v="1"/>
    <x v="1100"/>
    <n v="2"/>
    <s v="Female"/>
    <n v="98"/>
    <n v="2"/>
    <x v="1"/>
    <x v="6"/>
    <n v="3"/>
    <s v="Married"/>
    <n v="2430"/>
    <n v="26204"/>
    <n v="0"/>
    <s v="Y"/>
    <x v="1"/>
    <n v="23"/>
    <n v="4"/>
    <n v="1"/>
    <n v="80"/>
    <n v="2"/>
    <n v="6"/>
    <n v="5"/>
    <n v="3"/>
    <n v="5"/>
    <n v="3"/>
    <n v="4"/>
    <n v="2"/>
    <n v="0"/>
    <x v="2"/>
  </r>
  <r>
    <n v="32"/>
    <s v="No"/>
    <s v="Travel_Rarely"/>
    <n v="824"/>
    <x v="1"/>
    <n v="5"/>
    <n v="2"/>
    <x v="0"/>
    <n v="1"/>
    <x v="1101"/>
    <n v="4"/>
    <s v="Female"/>
    <n v="67"/>
    <n v="2"/>
    <x v="0"/>
    <x v="1"/>
    <n v="2"/>
    <s v="Married"/>
    <n v="5878"/>
    <n v="15624"/>
    <n v="3"/>
    <s v="Y"/>
    <x v="1"/>
    <n v="12"/>
    <n v="3"/>
    <n v="1"/>
    <n v="80"/>
    <n v="1"/>
    <n v="12"/>
    <n v="2"/>
    <n v="3"/>
    <n v="7"/>
    <n v="1"/>
    <n v="2"/>
    <n v="5"/>
    <n v="0"/>
    <x v="2"/>
  </r>
  <r>
    <n v="36"/>
    <s v="No"/>
    <s v="Travel_Rarely"/>
    <n v="1157"/>
    <x v="0"/>
    <n v="2"/>
    <n v="4"/>
    <x v="0"/>
    <n v="1"/>
    <x v="1102"/>
    <n v="3"/>
    <s v="Male"/>
    <n v="70"/>
    <n v="3"/>
    <x v="1"/>
    <x v="6"/>
    <n v="4"/>
    <s v="Single"/>
    <n v="2644"/>
    <n v="17001"/>
    <n v="3"/>
    <s v="Y"/>
    <x v="0"/>
    <n v="21"/>
    <n v="4"/>
    <n v="4"/>
    <n v="80"/>
    <n v="0"/>
    <n v="7"/>
    <n v="3"/>
    <n v="2"/>
    <n v="3"/>
    <n v="2"/>
    <n v="1"/>
    <n v="2"/>
    <n v="0"/>
    <x v="0"/>
  </r>
  <r>
    <n v="48"/>
    <s v="No"/>
    <s v="Travel_Rarely"/>
    <n v="492"/>
    <x v="0"/>
    <n v="16"/>
    <n v="4"/>
    <x v="0"/>
    <n v="1"/>
    <x v="1103"/>
    <n v="3"/>
    <s v="Female"/>
    <n v="96"/>
    <n v="3"/>
    <x v="0"/>
    <x v="0"/>
    <n v="3"/>
    <s v="Divorced"/>
    <n v="6439"/>
    <n v="13693"/>
    <n v="8"/>
    <s v="Y"/>
    <x v="1"/>
    <n v="14"/>
    <n v="3"/>
    <n v="3"/>
    <n v="80"/>
    <n v="1"/>
    <n v="18"/>
    <n v="2"/>
    <n v="3"/>
    <n v="8"/>
    <n v="7"/>
    <n v="7"/>
    <n v="7"/>
    <n v="0"/>
    <x v="1"/>
  </r>
  <r>
    <n v="29"/>
    <s v="No"/>
    <s v="Travel_Rarely"/>
    <n v="598"/>
    <x v="1"/>
    <n v="9"/>
    <n v="3"/>
    <x v="0"/>
    <n v="1"/>
    <x v="1104"/>
    <n v="3"/>
    <s v="Male"/>
    <n v="91"/>
    <n v="4"/>
    <x v="1"/>
    <x v="1"/>
    <n v="3"/>
    <s v="Married"/>
    <n v="2451"/>
    <n v="22376"/>
    <n v="6"/>
    <s v="Y"/>
    <x v="1"/>
    <n v="18"/>
    <n v="3"/>
    <n v="1"/>
    <n v="80"/>
    <n v="2"/>
    <n v="5"/>
    <n v="2"/>
    <n v="2"/>
    <n v="1"/>
    <n v="0"/>
    <n v="0"/>
    <n v="0"/>
    <n v="0"/>
    <x v="2"/>
  </r>
  <r>
    <n v="33"/>
    <s v="No"/>
    <s v="Travel_Rarely"/>
    <n v="1242"/>
    <x v="0"/>
    <n v="8"/>
    <n v="4"/>
    <x v="0"/>
    <n v="1"/>
    <x v="1105"/>
    <n v="1"/>
    <s v="Male"/>
    <n v="46"/>
    <n v="3"/>
    <x v="0"/>
    <x v="0"/>
    <n v="1"/>
    <s v="Married"/>
    <n v="6392"/>
    <n v="10589"/>
    <n v="2"/>
    <s v="Y"/>
    <x v="1"/>
    <n v="13"/>
    <n v="3"/>
    <n v="4"/>
    <n v="80"/>
    <n v="1"/>
    <n v="8"/>
    <n v="6"/>
    <n v="1"/>
    <n v="2"/>
    <n v="2"/>
    <n v="2"/>
    <n v="2"/>
    <n v="0"/>
    <x v="2"/>
  </r>
  <r>
    <n v="30"/>
    <s v="Yes"/>
    <s v="Travel_Rarely"/>
    <n v="740"/>
    <x v="0"/>
    <n v="1"/>
    <n v="3"/>
    <x v="0"/>
    <n v="1"/>
    <x v="1106"/>
    <n v="2"/>
    <s v="Male"/>
    <n v="64"/>
    <n v="2"/>
    <x v="0"/>
    <x v="0"/>
    <n v="1"/>
    <s v="Married"/>
    <n v="9714"/>
    <n v="5323"/>
    <n v="1"/>
    <s v="Y"/>
    <x v="1"/>
    <n v="11"/>
    <n v="3"/>
    <n v="4"/>
    <n v="80"/>
    <n v="1"/>
    <n v="10"/>
    <n v="4"/>
    <n v="3"/>
    <n v="10"/>
    <n v="8"/>
    <n v="6"/>
    <n v="7"/>
    <n v="1"/>
    <x v="2"/>
  </r>
  <r>
    <n v="38"/>
    <s v="No"/>
    <s v="Travel_Frequently"/>
    <n v="888"/>
    <x v="2"/>
    <n v="10"/>
    <n v="4"/>
    <x v="5"/>
    <n v="1"/>
    <x v="1107"/>
    <n v="3"/>
    <s v="Male"/>
    <n v="71"/>
    <n v="3"/>
    <x v="0"/>
    <x v="8"/>
    <n v="3"/>
    <s v="Married"/>
    <n v="6077"/>
    <n v="14814"/>
    <n v="3"/>
    <s v="Y"/>
    <x v="1"/>
    <n v="11"/>
    <n v="3"/>
    <n v="3"/>
    <n v="80"/>
    <n v="0"/>
    <n v="10"/>
    <n v="2"/>
    <n v="3"/>
    <n v="6"/>
    <n v="3"/>
    <n v="1"/>
    <n v="2"/>
    <n v="0"/>
    <x v="0"/>
  </r>
  <r>
    <n v="35"/>
    <s v="No"/>
    <s v="Travel_Rarely"/>
    <n v="992"/>
    <x v="1"/>
    <n v="1"/>
    <n v="3"/>
    <x v="2"/>
    <n v="1"/>
    <x v="1108"/>
    <n v="4"/>
    <s v="Male"/>
    <n v="68"/>
    <n v="2"/>
    <x v="1"/>
    <x v="2"/>
    <n v="1"/>
    <s v="Single"/>
    <n v="2450"/>
    <n v="21731"/>
    <n v="1"/>
    <s v="Y"/>
    <x v="1"/>
    <n v="19"/>
    <n v="3"/>
    <n v="2"/>
    <n v="80"/>
    <n v="0"/>
    <n v="3"/>
    <n v="3"/>
    <n v="3"/>
    <n v="3"/>
    <n v="0"/>
    <n v="1"/>
    <n v="2"/>
    <n v="0"/>
    <x v="2"/>
  </r>
  <r>
    <n v="30"/>
    <s v="No"/>
    <s v="Travel_Rarely"/>
    <n v="1288"/>
    <x v="0"/>
    <n v="29"/>
    <n v="4"/>
    <x v="4"/>
    <n v="1"/>
    <x v="1109"/>
    <n v="3"/>
    <s v="Male"/>
    <n v="33"/>
    <n v="3"/>
    <x v="2"/>
    <x v="0"/>
    <n v="2"/>
    <s v="Married"/>
    <n v="9250"/>
    <n v="17799"/>
    <n v="3"/>
    <s v="Y"/>
    <x v="1"/>
    <n v="12"/>
    <n v="3"/>
    <n v="2"/>
    <n v="80"/>
    <n v="1"/>
    <n v="9"/>
    <n v="3"/>
    <n v="3"/>
    <n v="4"/>
    <n v="2"/>
    <n v="1"/>
    <n v="3"/>
    <n v="0"/>
    <x v="2"/>
  </r>
  <r>
    <n v="35"/>
    <s v="Yes"/>
    <s v="Travel_Rarely"/>
    <n v="104"/>
    <x v="1"/>
    <n v="2"/>
    <n v="3"/>
    <x v="0"/>
    <n v="1"/>
    <x v="1110"/>
    <n v="1"/>
    <s v="Female"/>
    <n v="69"/>
    <n v="3"/>
    <x v="1"/>
    <x v="2"/>
    <n v="1"/>
    <s v="Divorced"/>
    <n v="2074"/>
    <n v="26619"/>
    <n v="1"/>
    <s v="Y"/>
    <x v="0"/>
    <n v="12"/>
    <n v="3"/>
    <n v="4"/>
    <n v="80"/>
    <n v="1"/>
    <n v="1"/>
    <n v="2"/>
    <n v="3"/>
    <n v="1"/>
    <n v="0"/>
    <n v="0"/>
    <n v="0"/>
    <n v="1"/>
    <x v="2"/>
  </r>
  <r>
    <n v="53"/>
    <s v="Yes"/>
    <s v="Travel_Rarely"/>
    <n v="607"/>
    <x v="1"/>
    <n v="2"/>
    <n v="5"/>
    <x v="4"/>
    <n v="1"/>
    <x v="1111"/>
    <n v="3"/>
    <s v="Female"/>
    <n v="78"/>
    <n v="2"/>
    <x v="2"/>
    <x v="3"/>
    <n v="4"/>
    <s v="Married"/>
    <n v="10169"/>
    <n v="14618"/>
    <n v="0"/>
    <s v="Y"/>
    <x v="1"/>
    <n v="16"/>
    <n v="3"/>
    <n v="2"/>
    <n v="80"/>
    <n v="1"/>
    <n v="34"/>
    <n v="4"/>
    <n v="3"/>
    <n v="33"/>
    <n v="7"/>
    <n v="1"/>
    <n v="9"/>
    <n v="1"/>
    <x v="1"/>
  </r>
  <r>
    <n v="38"/>
    <s v="Yes"/>
    <s v="Travel_Rarely"/>
    <n v="903"/>
    <x v="1"/>
    <n v="2"/>
    <n v="3"/>
    <x v="2"/>
    <n v="1"/>
    <x v="1112"/>
    <n v="3"/>
    <s v="Male"/>
    <n v="81"/>
    <n v="3"/>
    <x v="0"/>
    <x v="3"/>
    <n v="2"/>
    <s v="Married"/>
    <n v="4855"/>
    <n v="7653"/>
    <n v="4"/>
    <s v="Y"/>
    <x v="1"/>
    <n v="11"/>
    <n v="3"/>
    <n v="1"/>
    <n v="80"/>
    <n v="2"/>
    <n v="7"/>
    <n v="2"/>
    <n v="3"/>
    <n v="5"/>
    <n v="2"/>
    <n v="1"/>
    <n v="4"/>
    <n v="1"/>
    <x v="0"/>
  </r>
  <r>
    <n v="32"/>
    <s v="No"/>
    <s v="Non-Travel"/>
    <n v="1200"/>
    <x v="1"/>
    <n v="1"/>
    <n v="4"/>
    <x v="4"/>
    <n v="1"/>
    <x v="1113"/>
    <n v="4"/>
    <s v="Male"/>
    <n v="62"/>
    <n v="3"/>
    <x v="0"/>
    <x v="1"/>
    <n v="1"/>
    <s v="Married"/>
    <n v="4087"/>
    <n v="25174"/>
    <n v="4"/>
    <s v="Y"/>
    <x v="1"/>
    <n v="14"/>
    <n v="3"/>
    <n v="2"/>
    <n v="80"/>
    <n v="1"/>
    <n v="9"/>
    <n v="3"/>
    <n v="2"/>
    <n v="6"/>
    <n v="5"/>
    <n v="1"/>
    <n v="2"/>
    <n v="0"/>
    <x v="2"/>
  </r>
  <r>
    <n v="48"/>
    <s v="No"/>
    <s v="Travel_Rarely"/>
    <n v="1108"/>
    <x v="1"/>
    <n v="15"/>
    <n v="4"/>
    <x v="1"/>
    <n v="1"/>
    <x v="1114"/>
    <n v="3"/>
    <s v="Female"/>
    <n v="65"/>
    <n v="3"/>
    <x v="1"/>
    <x v="1"/>
    <n v="1"/>
    <s v="Married"/>
    <n v="2367"/>
    <n v="16530"/>
    <n v="8"/>
    <s v="Y"/>
    <x v="1"/>
    <n v="12"/>
    <n v="3"/>
    <n v="4"/>
    <n v="80"/>
    <n v="1"/>
    <n v="10"/>
    <n v="3"/>
    <n v="2"/>
    <n v="8"/>
    <n v="2"/>
    <n v="7"/>
    <n v="6"/>
    <n v="0"/>
    <x v="1"/>
  </r>
  <r>
    <n v="34"/>
    <s v="No"/>
    <s v="Travel_Rarely"/>
    <n v="479"/>
    <x v="1"/>
    <n v="7"/>
    <n v="4"/>
    <x v="2"/>
    <n v="1"/>
    <x v="1115"/>
    <n v="1"/>
    <s v="Male"/>
    <n v="35"/>
    <n v="3"/>
    <x v="1"/>
    <x v="1"/>
    <n v="4"/>
    <s v="Single"/>
    <n v="2972"/>
    <n v="22061"/>
    <n v="1"/>
    <s v="Y"/>
    <x v="1"/>
    <n v="13"/>
    <n v="3"/>
    <n v="3"/>
    <n v="80"/>
    <n v="0"/>
    <n v="1"/>
    <n v="4"/>
    <n v="1"/>
    <n v="1"/>
    <n v="0"/>
    <n v="0"/>
    <n v="0"/>
    <n v="0"/>
    <x v="2"/>
  </r>
  <r>
    <n v="55"/>
    <s v="No"/>
    <s v="Travel_Rarely"/>
    <n v="685"/>
    <x v="0"/>
    <n v="26"/>
    <n v="5"/>
    <x v="3"/>
    <n v="1"/>
    <x v="1116"/>
    <n v="3"/>
    <s v="Male"/>
    <n v="60"/>
    <n v="2"/>
    <x v="4"/>
    <x v="5"/>
    <n v="4"/>
    <s v="Married"/>
    <n v="19586"/>
    <n v="23037"/>
    <n v="1"/>
    <s v="Y"/>
    <x v="1"/>
    <n v="21"/>
    <n v="4"/>
    <n v="3"/>
    <n v="80"/>
    <n v="1"/>
    <n v="36"/>
    <n v="3"/>
    <n v="3"/>
    <n v="36"/>
    <n v="6"/>
    <n v="2"/>
    <n v="13"/>
    <n v="0"/>
    <x v="1"/>
  </r>
  <r>
    <n v="34"/>
    <s v="No"/>
    <s v="Travel_Rarely"/>
    <n v="1351"/>
    <x v="1"/>
    <n v="1"/>
    <n v="4"/>
    <x v="0"/>
    <n v="1"/>
    <x v="1117"/>
    <n v="2"/>
    <s v="Male"/>
    <n v="45"/>
    <n v="3"/>
    <x v="0"/>
    <x v="1"/>
    <n v="4"/>
    <s v="Married"/>
    <n v="5484"/>
    <n v="13008"/>
    <n v="9"/>
    <s v="Y"/>
    <x v="1"/>
    <n v="17"/>
    <n v="3"/>
    <n v="2"/>
    <n v="80"/>
    <n v="1"/>
    <n v="9"/>
    <n v="3"/>
    <n v="2"/>
    <n v="2"/>
    <n v="2"/>
    <n v="2"/>
    <n v="1"/>
    <n v="0"/>
    <x v="2"/>
  </r>
  <r>
    <n v="26"/>
    <s v="No"/>
    <s v="Travel_Rarely"/>
    <n v="474"/>
    <x v="1"/>
    <n v="3"/>
    <n v="3"/>
    <x v="0"/>
    <n v="1"/>
    <x v="1118"/>
    <n v="1"/>
    <s v="Female"/>
    <n v="89"/>
    <n v="3"/>
    <x v="1"/>
    <x v="1"/>
    <n v="4"/>
    <s v="Married"/>
    <n v="2061"/>
    <n v="11133"/>
    <n v="1"/>
    <s v="Y"/>
    <x v="1"/>
    <n v="21"/>
    <n v="4"/>
    <n v="1"/>
    <n v="80"/>
    <n v="0"/>
    <n v="1"/>
    <n v="5"/>
    <n v="3"/>
    <n v="1"/>
    <n v="0"/>
    <n v="0"/>
    <n v="0"/>
    <n v="0"/>
    <x v="2"/>
  </r>
  <r>
    <n v="38"/>
    <s v="No"/>
    <s v="Travel_Rarely"/>
    <n v="1245"/>
    <x v="0"/>
    <n v="14"/>
    <n v="3"/>
    <x v="0"/>
    <n v="1"/>
    <x v="1119"/>
    <n v="3"/>
    <s v="Male"/>
    <n v="80"/>
    <n v="3"/>
    <x v="0"/>
    <x v="0"/>
    <n v="2"/>
    <s v="Married"/>
    <n v="9924"/>
    <n v="12355"/>
    <n v="0"/>
    <s v="Y"/>
    <x v="1"/>
    <n v="11"/>
    <n v="3"/>
    <n v="4"/>
    <n v="80"/>
    <n v="1"/>
    <n v="10"/>
    <n v="3"/>
    <n v="3"/>
    <n v="9"/>
    <n v="8"/>
    <n v="7"/>
    <n v="7"/>
    <n v="0"/>
    <x v="0"/>
  </r>
  <r>
    <n v="38"/>
    <s v="No"/>
    <s v="Travel_Rarely"/>
    <n v="437"/>
    <x v="0"/>
    <n v="16"/>
    <n v="3"/>
    <x v="0"/>
    <n v="1"/>
    <x v="1120"/>
    <n v="2"/>
    <s v="Female"/>
    <n v="90"/>
    <n v="3"/>
    <x v="0"/>
    <x v="0"/>
    <n v="2"/>
    <s v="Single"/>
    <n v="4198"/>
    <n v="16379"/>
    <n v="2"/>
    <s v="Y"/>
    <x v="1"/>
    <n v="12"/>
    <n v="3"/>
    <n v="2"/>
    <n v="80"/>
    <n v="0"/>
    <n v="8"/>
    <n v="5"/>
    <n v="4"/>
    <n v="3"/>
    <n v="2"/>
    <n v="1"/>
    <n v="2"/>
    <n v="0"/>
    <x v="0"/>
  </r>
  <r>
    <n v="36"/>
    <s v="No"/>
    <s v="Travel_Rarely"/>
    <n v="884"/>
    <x v="0"/>
    <n v="1"/>
    <n v="4"/>
    <x v="0"/>
    <n v="1"/>
    <x v="1121"/>
    <n v="2"/>
    <s v="Female"/>
    <n v="73"/>
    <n v="3"/>
    <x v="0"/>
    <x v="0"/>
    <n v="3"/>
    <s v="Single"/>
    <n v="6815"/>
    <n v="21447"/>
    <n v="6"/>
    <s v="Y"/>
    <x v="1"/>
    <n v="13"/>
    <n v="3"/>
    <n v="1"/>
    <n v="80"/>
    <n v="0"/>
    <n v="15"/>
    <n v="5"/>
    <n v="3"/>
    <n v="1"/>
    <n v="0"/>
    <n v="0"/>
    <n v="0"/>
    <n v="0"/>
    <x v="0"/>
  </r>
  <r>
    <n v="29"/>
    <s v="No"/>
    <s v="Travel_Rarely"/>
    <n v="1370"/>
    <x v="1"/>
    <n v="3"/>
    <n v="1"/>
    <x v="2"/>
    <n v="1"/>
    <x v="1122"/>
    <n v="2"/>
    <s v="Male"/>
    <n v="87"/>
    <n v="3"/>
    <x v="1"/>
    <x v="2"/>
    <n v="1"/>
    <s v="Single"/>
    <n v="4723"/>
    <n v="16213"/>
    <n v="1"/>
    <s v="Y"/>
    <x v="0"/>
    <n v="18"/>
    <n v="3"/>
    <n v="4"/>
    <n v="80"/>
    <n v="0"/>
    <n v="10"/>
    <n v="3"/>
    <n v="3"/>
    <n v="10"/>
    <n v="9"/>
    <n v="1"/>
    <n v="5"/>
    <n v="0"/>
    <x v="2"/>
  </r>
  <r>
    <n v="35"/>
    <s v="No"/>
    <s v="Travel_Rarely"/>
    <n v="670"/>
    <x v="1"/>
    <n v="10"/>
    <n v="4"/>
    <x v="2"/>
    <n v="1"/>
    <x v="1123"/>
    <n v="1"/>
    <s v="Female"/>
    <n v="51"/>
    <n v="3"/>
    <x v="0"/>
    <x v="4"/>
    <n v="3"/>
    <s v="Single"/>
    <n v="6142"/>
    <n v="4223"/>
    <n v="3"/>
    <s v="Y"/>
    <x v="0"/>
    <n v="16"/>
    <n v="3"/>
    <n v="3"/>
    <n v="80"/>
    <n v="0"/>
    <n v="10"/>
    <n v="4"/>
    <n v="3"/>
    <n v="5"/>
    <n v="2"/>
    <n v="0"/>
    <n v="4"/>
    <n v="0"/>
    <x v="2"/>
  </r>
  <r>
    <n v="39"/>
    <s v="No"/>
    <s v="Travel_Rarely"/>
    <n v="1462"/>
    <x v="0"/>
    <n v="6"/>
    <n v="3"/>
    <x v="2"/>
    <n v="1"/>
    <x v="1124"/>
    <n v="4"/>
    <s v="Male"/>
    <n v="38"/>
    <n v="4"/>
    <x v="2"/>
    <x v="0"/>
    <n v="3"/>
    <s v="Married"/>
    <n v="8237"/>
    <n v="4658"/>
    <n v="2"/>
    <s v="Y"/>
    <x v="1"/>
    <n v="11"/>
    <n v="3"/>
    <n v="1"/>
    <n v="80"/>
    <n v="1"/>
    <n v="11"/>
    <n v="3"/>
    <n v="3"/>
    <n v="7"/>
    <n v="6"/>
    <n v="7"/>
    <n v="6"/>
    <n v="0"/>
    <x v="0"/>
  </r>
  <r>
    <n v="29"/>
    <s v="No"/>
    <s v="Travel_Frequently"/>
    <n v="995"/>
    <x v="1"/>
    <n v="2"/>
    <n v="1"/>
    <x v="0"/>
    <n v="1"/>
    <x v="1125"/>
    <n v="1"/>
    <s v="Male"/>
    <n v="87"/>
    <n v="3"/>
    <x v="0"/>
    <x v="4"/>
    <n v="4"/>
    <s v="Divorced"/>
    <n v="8853"/>
    <n v="24483"/>
    <n v="1"/>
    <s v="Y"/>
    <x v="1"/>
    <n v="19"/>
    <n v="3"/>
    <n v="4"/>
    <n v="80"/>
    <n v="1"/>
    <n v="6"/>
    <n v="0"/>
    <n v="4"/>
    <n v="6"/>
    <n v="4"/>
    <n v="1"/>
    <n v="3"/>
    <n v="0"/>
    <x v="2"/>
  </r>
  <r>
    <n v="50"/>
    <s v="No"/>
    <s v="Travel_Rarely"/>
    <n v="264"/>
    <x v="0"/>
    <n v="9"/>
    <n v="3"/>
    <x v="3"/>
    <n v="1"/>
    <x v="1126"/>
    <n v="3"/>
    <s v="Male"/>
    <n v="59"/>
    <n v="3"/>
    <x v="4"/>
    <x v="5"/>
    <n v="3"/>
    <s v="Married"/>
    <n v="19331"/>
    <n v="19519"/>
    <n v="4"/>
    <s v="Y"/>
    <x v="0"/>
    <n v="16"/>
    <n v="3"/>
    <n v="3"/>
    <n v="80"/>
    <n v="1"/>
    <n v="27"/>
    <n v="2"/>
    <n v="3"/>
    <n v="1"/>
    <n v="0"/>
    <n v="0"/>
    <n v="0"/>
    <n v="0"/>
    <x v="1"/>
  </r>
  <r>
    <n v="23"/>
    <s v="No"/>
    <s v="Travel_Rarely"/>
    <n v="977"/>
    <x v="1"/>
    <n v="10"/>
    <n v="3"/>
    <x v="4"/>
    <n v="1"/>
    <x v="1127"/>
    <n v="4"/>
    <s v="Male"/>
    <n v="45"/>
    <n v="4"/>
    <x v="1"/>
    <x v="1"/>
    <n v="3"/>
    <s v="Married"/>
    <n v="2073"/>
    <n v="12826"/>
    <n v="2"/>
    <s v="Y"/>
    <x v="1"/>
    <n v="16"/>
    <n v="3"/>
    <n v="4"/>
    <n v="80"/>
    <n v="1"/>
    <n v="4"/>
    <n v="2"/>
    <n v="3"/>
    <n v="2"/>
    <n v="2"/>
    <n v="2"/>
    <n v="2"/>
    <n v="0"/>
    <x v="4"/>
  </r>
  <r>
    <n v="36"/>
    <s v="No"/>
    <s v="Travel_Frequently"/>
    <n v="1302"/>
    <x v="1"/>
    <n v="6"/>
    <n v="4"/>
    <x v="0"/>
    <n v="1"/>
    <x v="1128"/>
    <n v="1"/>
    <s v="Male"/>
    <n v="80"/>
    <n v="4"/>
    <x v="0"/>
    <x v="2"/>
    <n v="1"/>
    <s v="Married"/>
    <n v="5562"/>
    <n v="19711"/>
    <n v="3"/>
    <s v="Y"/>
    <x v="0"/>
    <n v="13"/>
    <n v="3"/>
    <n v="4"/>
    <n v="80"/>
    <n v="1"/>
    <n v="9"/>
    <n v="3"/>
    <n v="3"/>
    <n v="3"/>
    <n v="2"/>
    <n v="0"/>
    <n v="2"/>
    <n v="0"/>
    <x v="0"/>
  </r>
  <r>
    <n v="42"/>
    <s v="No"/>
    <s v="Travel_Rarely"/>
    <n v="1059"/>
    <x v="1"/>
    <n v="9"/>
    <n v="2"/>
    <x v="1"/>
    <n v="1"/>
    <x v="1129"/>
    <n v="4"/>
    <s v="Male"/>
    <n v="93"/>
    <n v="2"/>
    <x v="4"/>
    <x v="5"/>
    <n v="4"/>
    <s v="Single"/>
    <n v="19613"/>
    <n v="26362"/>
    <n v="8"/>
    <s v="Y"/>
    <x v="1"/>
    <n v="22"/>
    <n v="4"/>
    <n v="4"/>
    <n v="80"/>
    <n v="0"/>
    <n v="24"/>
    <n v="2"/>
    <n v="3"/>
    <n v="1"/>
    <n v="0"/>
    <n v="0"/>
    <n v="1"/>
    <n v="0"/>
    <x v="0"/>
  </r>
  <r>
    <n v="35"/>
    <s v="No"/>
    <s v="Travel_Rarely"/>
    <n v="750"/>
    <x v="1"/>
    <n v="28"/>
    <n v="3"/>
    <x v="0"/>
    <n v="1"/>
    <x v="1130"/>
    <n v="2"/>
    <s v="Male"/>
    <n v="46"/>
    <n v="4"/>
    <x v="0"/>
    <x v="2"/>
    <n v="3"/>
    <s v="Married"/>
    <n v="3407"/>
    <n v="25348"/>
    <n v="1"/>
    <s v="Y"/>
    <x v="1"/>
    <n v="17"/>
    <n v="3"/>
    <n v="4"/>
    <n v="80"/>
    <n v="2"/>
    <n v="10"/>
    <n v="3"/>
    <n v="2"/>
    <n v="10"/>
    <n v="9"/>
    <n v="6"/>
    <n v="8"/>
    <n v="0"/>
    <x v="2"/>
  </r>
  <r>
    <n v="34"/>
    <s v="No"/>
    <s v="Travel_Frequently"/>
    <n v="653"/>
    <x v="1"/>
    <n v="10"/>
    <n v="4"/>
    <x v="4"/>
    <n v="1"/>
    <x v="1131"/>
    <n v="4"/>
    <s v="Male"/>
    <n v="92"/>
    <n v="2"/>
    <x v="0"/>
    <x v="4"/>
    <n v="3"/>
    <s v="Married"/>
    <n v="5063"/>
    <n v="15332"/>
    <n v="1"/>
    <s v="Y"/>
    <x v="1"/>
    <n v="14"/>
    <n v="3"/>
    <n v="2"/>
    <n v="80"/>
    <n v="1"/>
    <n v="8"/>
    <n v="3"/>
    <n v="2"/>
    <n v="8"/>
    <n v="2"/>
    <n v="7"/>
    <n v="7"/>
    <n v="0"/>
    <x v="2"/>
  </r>
  <r>
    <n v="40"/>
    <s v="No"/>
    <s v="Travel_Rarely"/>
    <n v="118"/>
    <x v="0"/>
    <n v="14"/>
    <n v="2"/>
    <x v="0"/>
    <n v="1"/>
    <x v="1132"/>
    <n v="4"/>
    <s v="Female"/>
    <n v="84"/>
    <n v="3"/>
    <x v="0"/>
    <x v="0"/>
    <n v="1"/>
    <s v="Married"/>
    <n v="4639"/>
    <n v="11262"/>
    <n v="1"/>
    <s v="Y"/>
    <x v="1"/>
    <n v="15"/>
    <n v="3"/>
    <n v="3"/>
    <n v="80"/>
    <n v="1"/>
    <n v="5"/>
    <n v="2"/>
    <n v="3"/>
    <n v="5"/>
    <n v="4"/>
    <n v="1"/>
    <n v="2"/>
    <n v="0"/>
    <x v="0"/>
  </r>
  <r>
    <n v="43"/>
    <s v="No"/>
    <s v="Travel_Rarely"/>
    <n v="990"/>
    <x v="1"/>
    <n v="27"/>
    <n v="3"/>
    <x v="4"/>
    <n v="1"/>
    <x v="1133"/>
    <n v="4"/>
    <s v="Male"/>
    <n v="87"/>
    <n v="4"/>
    <x v="1"/>
    <x v="2"/>
    <n v="2"/>
    <s v="Divorced"/>
    <n v="4876"/>
    <n v="5855"/>
    <n v="5"/>
    <s v="Y"/>
    <x v="1"/>
    <n v="12"/>
    <n v="3"/>
    <n v="3"/>
    <n v="80"/>
    <n v="1"/>
    <n v="8"/>
    <n v="0"/>
    <n v="3"/>
    <n v="6"/>
    <n v="4"/>
    <n v="0"/>
    <n v="2"/>
    <n v="0"/>
    <x v="0"/>
  </r>
  <r>
    <n v="35"/>
    <s v="No"/>
    <s v="Travel_Rarely"/>
    <n v="1349"/>
    <x v="1"/>
    <n v="7"/>
    <n v="2"/>
    <x v="0"/>
    <n v="1"/>
    <x v="1134"/>
    <n v="3"/>
    <s v="Male"/>
    <n v="63"/>
    <n v="2"/>
    <x v="1"/>
    <x v="2"/>
    <n v="4"/>
    <s v="Married"/>
    <n v="2690"/>
    <n v="7713"/>
    <n v="1"/>
    <s v="Y"/>
    <x v="1"/>
    <n v="18"/>
    <n v="3"/>
    <n v="4"/>
    <n v="80"/>
    <n v="1"/>
    <n v="1"/>
    <n v="5"/>
    <n v="2"/>
    <n v="1"/>
    <n v="0"/>
    <n v="0"/>
    <n v="1"/>
    <n v="0"/>
    <x v="2"/>
  </r>
  <r>
    <n v="46"/>
    <s v="No"/>
    <s v="Travel_Rarely"/>
    <n v="563"/>
    <x v="0"/>
    <n v="1"/>
    <n v="4"/>
    <x v="0"/>
    <n v="1"/>
    <x v="1135"/>
    <n v="4"/>
    <s v="Male"/>
    <n v="56"/>
    <n v="4"/>
    <x v="3"/>
    <x v="5"/>
    <n v="1"/>
    <s v="Single"/>
    <n v="17567"/>
    <n v="3156"/>
    <n v="1"/>
    <s v="Y"/>
    <x v="1"/>
    <n v="15"/>
    <n v="3"/>
    <n v="2"/>
    <n v="80"/>
    <n v="0"/>
    <n v="27"/>
    <n v="5"/>
    <n v="1"/>
    <n v="26"/>
    <n v="0"/>
    <n v="0"/>
    <n v="12"/>
    <n v="0"/>
    <x v="1"/>
  </r>
  <r>
    <n v="28"/>
    <s v="Yes"/>
    <s v="Travel_Rarely"/>
    <n v="329"/>
    <x v="1"/>
    <n v="24"/>
    <n v="3"/>
    <x v="2"/>
    <n v="1"/>
    <x v="1136"/>
    <n v="3"/>
    <s v="Male"/>
    <n v="51"/>
    <n v="3"/>
    <x v="1"/>
    <x v="2"/>
    <n v="2"/>
    <s v="Married"/>
    <n v="2408"/>
    <n v="7324"/>
    <n v="1"/>
    <s v="Y"/>
    <x v="0"/>
    <n v="17"/>
    <n v="3"/>
    <n v="3"/>
    <n v="80"/>
    <n v="3"/>
    <n v="1"/>
    <n v="3"/>
    <n v="3"/>
    <n v="1"/>
    <n v="1"/>
    <n v="0"/>
    <n v="0"/>
    <n v="1"/>
    <x v="2"/>
  </r>
  <r>
    <n v="22"/>
    <s v="No"/>
    <s v="Non-Travel"/>
    <n v="457"/>
    <x v="1"/>
    <n v="26"/>
    <n v="2"/>
    <x v="1"/>
    <n v="1"/>
    <x v="1137"/>
    <n v="2"/>
    <s v="Female"/>
    <n v="85"/>
    <n v="2"/>
    <x v="1"/>
    <x v="1"/>
    <n v="3"/>
    <s v="Married"/>
    <n v="2814"/>
    <n v="10293"/>
    <n v="1"/>
    <s v="Y"/>
    <x v="0"/>
    <n v="14"/>
    <n v="3"/>
    <n v="2"/>
    <n v="80"/>
    <n v="0"/>
    <n v="4"/>
    <n v="2"/>
    <n v="2"/>
    <n v="4"/>
    <n v="2"/>
    <n v="1"/>
    <n v="3"/>
    <n v="0"/>
    <x v="4"/>
  </r>
  <r>
    <n v="50"/>
    <s v="No"/>
    <s v="Travel_Frequently"/>
    <n v="1234"/>
    <x v="1"/>
    <n v="20"/>
    <n v="5"/>
    <x v="2"/>
    <n v="1"/>
    <x v="1138"/>
    <n v="2"/>
    <s v="Male"/>
    <n v="41"/>
    <n v="3"/>
    <x v="3"/>
    <x v="4"/>
    <n v="3"/>
    <s v="Married"/>
    <n v="11245"/>
    <n v="20689"/>
    <n v="2"/>
    <s v="Y"/>
    <x v="0"/>
    <n v="15"/>
    <n v="3"/>
    <n v="3"/>
    <n v="80"/>
    <n v="1"/>
    <n v="32"/>
    <n v="3"/>
    <n v="3"/>
    <n v="30"/>
    <n v="8"/>
    <n v="12"/>
    <n v="13"/>
    <n v="0"/>
    <x v="1"/>
  </r>
  <r>
    <n v="32"/>
    <s v="No"/>
    <s v="Travel_Rarely"/>
    <n v="634"/>
    <x v="1"/>
    <n v="5"/>
    <n v="4"/>
    <x v="1"/>
    <n v="1"/>
    <x v="1139"/>
    <n v="2"/>
    <s v="Female"/>
    <n v="35"/>
    <n v="4"/>
    <x v="1"/>
    <x v="1"/>
    <n v="4"/>
    <s v="Married"/>
    <n v="3312"/>
    <n v="18783"/>
    <n v="3"/>
    <s v="Y"/>
    <x v="1"/>
    <n v="17"/>
    <n v="3"/>
    <n v="4"/>
    <n v="80"/>
    <n v="2"/>
    <n v="6"/>
    <n v="3"/>
    <n v="3"/>
    <n v="3"/>
    <n v="2"/>
    <n v="0"/>
    <n v="2"/>
    <n v="0"/>
    <x v="2"/>
  </r>
  <r>
    <n v="44"/>
    <s v="No"/>
    <s v="Travel_Rarely"/>
    <n v="1313"/>
    <x v="1"/>
    <n v="7"/>
    <n v="3"/>
    <x v="2"/>
    <n v="1"/>
    <x v="1140"/>
    <n v="2"/>
    <s v="Female"/>
    <n v="31"/>
    <n v="3"/>
    <x v="4"/>
    <x v="7"/>
    <n v="4"/>
    <s v="Divorced"/>
    <n v="19049"/>
    <n v="3549"/>
    <n v="0"/>
    <s v="Y"/>
    <x v="0"/>
    <n v="14"/>
    <n v="3"/>
    <n v="4"/>
    <n v="80"/>
    <n v="1"/>
    <n v="23"/>
    <n v="4"/>
    <n v="2"/>
    <n v="22"/>
    <n v="7"/>
    <n v="1"/>
    <n v="10"/>
    <n v="0"/>
    <x v="0"/>
  </r>
  <r>
    <n v="30"/>
    <s v="No"/>
    <s v="Travel_Rarely"/>
    <n v="241"/>
    <x v="1"/>
    <n v="7"/>
    <n v="3"/>
    <x v="2"/>
    <n v="1"/>
    <x v="1141"/>
    <n v="2"/>
    <s v="Male"/>
    <n v="48"/>
    <n v="2"/>
    <x v="1"/>
    <x v="1"/>
    <n v="2"/>
    <s v="Married"/>
    <n v="2141"/>
    <n v="5348"/>
    <n v="1"/>
    <s v="Y"/>
    <x v="1"/>
    <n v="12"/>
    <n v="3"/>
    <n v="2"/>
    <n v="80"/>
    <n v="1"/>
    <n v="6"/>
    <n v="3"/>
    <n v="2"/>
    <n v="6"/>
    <n v="4"/>
    <n v="1"/>
    <n v="1"/>
    <n v="0"/>
    <x v="2"/>
  </r>
  <r>
    <n v="45"/>
    <s v="No"/>
    <s v="Travel_Rarely"/>
    <n v="1015"/>
    <x v="1"/>
    <n v="5"/>
    <n v="5"/>
    <x v="2"/>
    <n v="1"/>
    <x v="1142"/>
    <n v="3"/>
    <s v="Female"/>
    <n v="50"/>
    <n v="1"/>
    <x v="0"/>
    <x v="2"/>
    <n v="1"/>
    <s v="Single"/>
    <n v="5769"/>
    <n v="23447"/>
    <n v="1"/>
    <s v="Y"/>
    <x v="0"/>
    <n v="14"/>
    <n v="3"/>
    <n v="1"/>
    <n v="80"/>
    <n v="0"/>
    <n v="10"/>
    <n v="3"/>
    <n v="3"/>
    <n v="10"/>
    <n v="7"/>
    <n v="1"/>
    <n v="4"/>
    <n v="0"/>
    <x v="0"/>
  </r>
  <r>
    <n v="45"/>
    <s v="No"/>
    <s v="Non-Travel"/>
    <n v="336"/>
    <x v="0"/>
    <n v="26"/>
    <n v="3"/>
    <x v="3"/>
    <n v="1"/>
    <x v="1143"/>
    <n v="1"/>
    <s v="Male"/>
    <n v="52"/>
    <n v="2"/>
    <x v="0"/>
    <x v="0"/>
    <n v="1"/>
    <s v="Married"/>
    <n v="4385"/>
    <n v="24162"/>
    <n v="1"/>
    <s v="Y"/>
    <x v="1"/>
    <n v="15"/>
    <n v="3"/>
    <n v="1"/>
    <n v="80"/>
    <n v="1"/>
    <n v="10"/>
    <n v="2"/>
    <n v="3"/>
    <n v="10"/>
    <n v="7"/>
    <n v="4"/>
    <n v="5"/>
    <n v="0"/>
    <x v="0"/>
  </r>
  <r>
    <n v="31"/>
    <s v="No"/>
    <s v="Travel_Frequently"/>
    <n v="715"/>
    <x v="0"/>
    <n v="2"/>
    <n v="4"/>
    <x v="1"/>
    <n v="1"/>
    <x v="1144"/>
    <n v="4"/>
    <s v="Male"/>
    <n v="54"/>
    <n v="3"/>
    <x v="0"/>
    <x v="0"/>
    <n v="1"/>
    <s v="Single"/>
    <n v="5332"/>
    <n v="21602"/>
    <n v="7"/>
    <s v="Y"/>
    <x v="1"/>
    <n v="13"/>
    <n v="3"/>
    <n v="4"/>
    <n v="80"/>
    <n v="0"/>
    <n v="10"/>
    <n v="3"/>
    <n v="3"/>
    <n v="5"/>
    <n v="2"/>
    <n v="0"/>
    <n v="3"/>
    <n v="0"/>
    <x v="2"/>
  </r>
  <r>
    <n v="36"/>
    <s v="No"/>
    <s v="Travel_Rarely"/>
    <n v="559"/>
    <x v="1"/>
    <n v="12"/>
    <n v="4"/>
    <x v="0"/>
    <n v="1"/>
    <x v="1145"/>
    <n v="3"/>
    <s v="Female"/>
    <n v="76"/>
    <n v="3"/>
    <x v="0"/>
    <x v="3"/>
    <n v="3"/>
    <s v="Married"/>
    <n v="4663"/>
    <n v="12421"/>
    <n v="9"/>
    <s v="Y"/>
    <x v="0"/>
    <n v="12"/>
    <n v="3"/>
    <n v="2"/>
    <n v="80"/>
    <n v="2"/>
    <n v="7"/>
    <n v="2"/>
    <n v="3"/>
    <n v="3"/>
    <n v="2"/>
    <n v="1"/>
    <n v="1"/>
    <n v="0"/>
    <x v="0"/>
  </r>
  <r>
    <n v="34"/>
    <s v="No"/>
    <s v="Travel_Frequently"/>
    <n v="426"/>
    <x v="1"/>
    <n v="10"/>
    <n v="4"/>
    <x v="0"/>
    <n v="1"/>
    <x v="1146"/>
    <n v="3"/>
    <s v="Male"/>
    <n v="42"/>
    <n v="4"/>
    <x v="0"/>
    <x v="3"/>
    <n v="4"/>
    <s v="Divorced"/>
    <n v="4724"/>
    <n v="17000"/>
    <n v="1"/>
    <s v="Y"/>
    <x v="1"/>
    <n v="13"/>
    <n v="3"/>
    <n v="1"/>
    <n v="80"/>
    <n v="1"/>
    <n v="9"/>
    <n v="3"/>
    <n v="3"/>
    <n v="9"/>
    <n v="7"/>
    <n v="7"/>
    <n v="2"/>
    <n v="0"/>
    <x v="2"/>
  </r>
  <r>
    <n v="49"/>
    <s v="No"/>
    <s v="Travel_Rarely"/>
    <n v="722"/>
    <x v="1"/>
    <n v="25"/>
    <n v="4"/>
    <x v="0"/>
    <n v="1"/>
    <x v="1147"/>
    <n v="3"/>
    <s v="Female"/>
    <n v="84"/>
    <n v="3"/>
    <x v="1"/>
    <x v="2"/>
    <n v="1"/>
    <s v="Married"/>
    <n v="3211"/>
    <n v="22102"/>
    <n v="1"/>
    <s v="Y"/>
    <x v="1"/>
    <n v="14"/>
    <n v="3"/>
    <n v="4"/>
    <n v="80"/>
    <n v="1"/>
    <n v="10"/>
    <n v="3"/>
    <n v="2"/>
    <n v="9"/>
    <n v="6"/>
    <n v="1"/>
    <n v="4"/>
    <n v="0"/>
    <x v="1"/>
  </r>
  <r>
    <n v="39"/>
    <s v="No"/>
    <s v="Travel_Rarely"/>
    <n v="1387"/>
    <x v="1"/>
    <n v="10"/>
    <n v="5"/>
    <x v="2"/>
    <n v="1"/>
    <x v="1148"/>
    <n v="2"/>
    <s v="Male"/>
    <n v="76"/>
    <n v="3"/>
    <x v="0"/>
    <x v="3"/>
    <n v="1"/>
    <s v="Married"/>
    <n v="5377"/>
    <n v="3835"/>
    <n v="2"/>
    <s v="Y"/>
    <x v="1"/>
    <n v="13"/>
    <n v="3"/>
    <n v="4"/>
    <n v="80"/>
    <n v="3"/>
    <n v="10"/>
    <n v="3"/>
    <n v="3"/>
    <n v="7"/>
    <n v="7"/>
    <n v="7"/>
    <n v="7"/>
    <n v="0"/>
    <x v="0"/>
  </r>
  <r>
    <n v="27"/>
    <s v="No"/>
    <s v="Travel_Rarely"/>
    <n v="1302"/>
    <x v="1"/>
    <n v="19"/>
    <n v="3"/>
    <x v="1"/>
    <n v="1"/>
    <x v="1149"/>
    <n v="4"/>
    <s v="Male"/>
    <n v="67"/>
    <n v="2"/>
    <x v="1"/>
    <x v="2"/>
    <n v="1"/>
    <s v="Divorced"/>
    <n v="4066"/>
    <n v="16290"/>
    <n v="1"/>
    <s v="Y"/>
    <x v="1"/>
    <n v="11"/>
    <n v="3"/>
    <n v="1"/>
    <n v="80"/>
    <n v="2"/>
    <n v="7"/>
    <n v="3"/>
    <n v="3"/>
    <n v="7"/>
    <n v="7"/>
    <n v="0"/>
    <n v="7"/>
    <n v="0"/>
    <x v="2"/>
  </r>
  <r>
    <n v="35"/>
    <s v="No"/>
    <s v="Travel_Rarely"/>
    <n v="819"/>
    <x v="1"/>
    <n v="18"/>
    <n v="5"/>
    <x v="0"/>
    <n v="1"/>
    <x v="1150"/>
    <n v="2"/>
    <s v="Male"/>
    <n v="48"/>
    <n v="4"/>
    <x v="0"/>
    <x v="1"/>
    <n v="1"/>
    <s v="Married"/>
    <n v="5208"/>
    <n v="26312"/>
    <n v="1"/>
    <s v="Y"/>
    <x v="1"/>
    <n v="11"/>
    <n v="3"/>
    <n v="4"/>
    <n v="80"/>
    <n v="0"/>
    <n v="16"/>
    <n v="2"/>
    <n v="3"/>
    <n v="16"/>
    <n v="15"/>
    <n v="1"/>
    <n v="10"/>
    <n v="0"/>
    <x v="2"/>
  </r>
  <r>
    <n v="28"/>
    <s v="No"/>
    <s v="Travel_Rarely"/>
    <n v="580"/>
    <x v="1"/>
    <n v="27"/>
    <n v="3"/>
    <x v="2"/>
    <n v="1"/>
    <x v="1151"/>
    <n v="2"/>
    <s v="Female"/>
    <n v="39"/>
    <n v="1"/>
    <x v="0"/>
    <x v="3"/>
    <n v="1"/>
    <s v="Divorced"/>
    <n v="4877"/>
    <n v="20460"/>
    <n v="0"/>
    <s v="Y"/>
    <x v="1"/>
    <n v="21"/>
    <n v="4"/>
    <n v="2"/>
    <n v="80"/>
    <n v="1"/>
    <n v="6"/>
    <n v="5"/>
    <n v="2"/>
    <n v="5"/>
    <n v="3"/>
    <n v="0"/>
    <n v="0"/>
    <n v="0"/>
    <x v="2"/>
  </r>
  <r>
    <n v="21"/>
    <s v="No"/>
    <s v="Travel_Rarely"/>
    <n v="546"/>
    <x v="1"/>
    <n v="5"/>
    <n v="1"/>
    <x v="2"/>
    <n v="1"/>
    <x v="1152"/>
    <n v="3"/>
    <s v="Male"/>
    <n v="97"/>
    <n v="3"/>
    <x v="1"/>
    <x v="1"/>
    <n v="4"/>
    <s v="Single"/>
    <n v="3117"/>
    <n v="26009"/>
    <n v="1"/>
    <s v="Y"/>
    <x v="1"/>
    <n v="18"/>
    <n v="3"/>
    <n v="3"/>
    <n v="80"/>
    <n v="0"/>
    <n v="3"/>
    <n v="2"/>
    <n v="3"/>
    <n v="2"/>
    <n v="2"/>
    <n v="2"/>
    <n v="2"/>
    <n v="0"/>
    <x v="4"/>
  </r>
  <r>
    <n v="18"/>
    <s v="Yes"/>
    <s v="Travel_Frequently"/>
    <n v="544"/>
    <x v="0"/>
    <n v="3"/>
    <n v="2"/>
    <x v="2"/>
    <n v="1"/>
    <x v="1153"/>
    <n v="2"/>
    <s v="Female"/>
    <n v="70"/>
    <n v="3"/>
    <x v="1"/>
    <x v="6"/>
    <n v="4"/>
    <s v="Single"/>
    <n v="1569"/>
    <n v="18420"/>
    <n v="1"/>
    <s v="Y"/>
    <x v="0"/>
    <n v="12"/>
    <n v="3"/>
    <n v="3"/>
    <n v="80"/>
    <n v="0"/>
    <n v="0"/>
    <n v="2"/>
    <n v="4"/>
    <n v="0"/>
    <n v="0"/>
    <n v="0"/>
    <n v="0"/>
    <n v="1"/>
    <x v="4"/>
  </r>
  <r>
    <n v="47"/>
    <s v="No"/>
    <s v="Travel_Rarely"/>
    <n v="1176"/>
    <x v="2"/>
    <n v="26"/>
    <n v="4"/>
    <x v="0"/>
    <n v="1"/>
    <x v="1154"/>
    <n v="4"/>
    <s v="Female"/>
    <n v="98"/>
    <n v="3"/>
    <x v="4"/>
    <x v="5"/>
    <n v="3"/>
    <s v="Married"/>
    <n v="19658"/>
    <n v="5220"/>
    <n v="3"/>
    <s v="Y"/>
    <x v="1"/>
    <n v="11"/>
    <n v="3"/>
    <n v="3"/>
    <n v="80"/>
    <n v="1"/>
    <n v="27"/>
    <n v="2"/>
    <n v="3"/>
    <n v="5"/>
    <n v="2"/>
    <n v="1"/>
    <n v="0"/>
    <n v="0"/>
    <x v="1"/>
  </r>
  <r>
    <n v="39"/>
    <s v="No"/>
    <s v="Travel_Rarely"/>
    <n v="170"/>
    <x v="1"/>
    <n v="3"/>
    <n v="2"/>
    <x v="2"/>
    <n v="1"/>
    <x v="1155"/>
    <n v="3"/>
    <s v="Male"/>
    <n v="76"/>
    <n v="2"/>
    <x v="0"/>
    <x v="2"/>
    <n v="3"/>
    <s v="Divorced"/>
    <n v="3069"/>
    <n v="10302"/>
    <n v="0"/>
    <s v="Y"/>
    <x v="1"/>
    <n v="15"/>
    <n v="3"/>
    <n v="4"/>
    <n v="80"/>
    <n v="1"/>
    <n v="11"/>
    <n v="3"/>
    <n v="3"/>
    <n v="10"/>
    <n v="8"/>
    <n v="0"/>
    <n v="7"/>
    <n v="0"/>
    <x v="0"/>
  </r>
  <r>
    <n v="40"/>
    <s v="No"/>
    <s v="Travel_Rarely"/>
    <n v="884"/>
    <x v="1"/>
    <n v="15"/>
    <n v="3"/>
    <x v="0"/>
    <n v="1"/>
    <x v="1156"/>
    <n v="1"/>
    <s v="Female"/>
    <n v="80"/>
    <n v="2"/>
    <x v="2"/>
    <x v="3"/>
    <n v="3"/>
    <s v="Married"/>
    <n v="10435"/>
    <n v="25800"/>
    <n v="1"/>
    <s v="Y"/>
    <x v="1"/>
    <n v="13"/>
    <n v="3"/>
    <n v="4"/>
    <n v="80"/>
    <n v="2"/>
    <n v="18"/>
    <n v="2"/>
    <n v="3"/>
    <n v="18"/>
    <n v="15"/>
    <n v="14"/>
    <n v="12"/>
    <n v="0"/>
    <x v="0"/>
  </r>
  <r>
    <n v="35"/>
    <s v="No"/>
    <s v="Non-Travel"/>
    <n v="208"/>
    <x v="1"/>
    <n v="8"/>
    <n v="4"/>
    <x v="0"/>
    <n v="1"/>
    <x v="1157"/>
    <n v="3"/>
    <s v="Female"/>
    <n v="52"/>
    <n v="3"/>
    <x v="0"/>
    <x v="4"/>
    <n v="3"/>
    <s v="Married"/>
    <n v="4148"/>
    <n v="12250"/>
    <n v="1"/>
    <s v="Y"/>
    <x v="1"/>
    <n v="12"/>
    <n v="3"/>
    <n v="4"/>
    <n v="80"/>
    <n v="1"/>
    <n v="15"/>
    <n v="5"/>
    <n v="3"/>
    <n v="14"/>
    <n v="11"/>
    <n v="2"/>
    <n v="9"/>
    <n v="0"/>
    <x v="2"/>
  </r>
  <r>
    <n v="37"/>
    <s v="No"/>
    <s v="Travel_Rarely"/>
    <n v="671"/>
    <x v="1"/>
    <n v="19"/>
    <n v="3"/>
    <x v="0"/>
    <n v="1"/>
    <x v="1158"/>
    <n v="3"/>
    <s v="Male"/>
    <n v="85"/>
    <n v="3"/>
    <x v="0"/>
    <x v="3"/>
    <n v="3"/>
    <s v="Married"/>
    <n v="5768"/>
    <n v="26493"/>
    <n v="3"/>
    <s v="Y"/>
    <x v="1"/>
    <n v="17"/>
    <n v="3"/>
    <n v="1"/>
    <n v="80"/>
    <n v="3"/>
    <n v="9"/>
    <n v="2"/>
    <n v="2"/>
    <n v="4"/>
    <n v="3"/>
    <n v="0"/>
    <n v="2"/>
    <n v="0"/>
    <x v="0"/>
  </r>
  <r>
    <n v="39"/>
    <s v="No"/>
    <s v="Travel_Frequently"/>
    <n v="711"/>
    <x v="1"/>
    <n v="4"/>
    <n v="3"/>
    <x v="2"/>
    <n v="1"/>
    <x v="1159"/>
    <n v="1"/>
    <s v="Female"/>
    <n v="81"/>
    <n v="3"/>
    <x v="0"/>
    <x v="3"/>
    <n v="3"/>
    <s v="Single"/>
    <n v="5042"/>
    <n v="3140"/>
    <n v="0"/>
    <s v="Y"/>
    <x v="1"/>
    <n v="13"/>
    <n v="3"/>
    <n v="4"/>
    <n v="80"/>
    <n v="0"/>
    <n v="10"/>
    <n v="2"/>
    <n v="1"/>
    <n v="9"/>
    <n v="2"/>
    <n v="3"/>
    <n v="8"/>
    <n v="0"/>
    <x v="0"/>
  </r>
  <r>
    <n v="45"/>
    <s v="No"/>
    <s v="Travel_Rarely"/>
    <n v="1329"/>
    <x v="1"/>
    <n v="2"/>
    <n v="2"/>
    <x v="1"/>
    <n v="1"/>
    <x v="1160"/>
    <n v="4"/>
    <s v="Female"/>
    <n v="59"/>
    <n v="2"/>
    <x v="0"/>
    <x v="3"/>
    <n v="4"/>
    <s v="Divorced"/>
    <n v="5770"/>
    <n v="5388"/>
    <n v="1"/>
    <s v="Y"/>
    <x v="1"/>
    <n v="19"/>
    <n v="3"/>
    <n v="1"/>
    <n v="80"/>
    <n v="2"/>
    <n v="10"/>
    <n v="3"/>
    <n v="3"/>
    <n v="10"/>
    <n v="7"/>
    <n v="3"/>
    <n v="9"/>
    <n v="0"/>
    <x v="0"/>
  </r>
  <r>
    <n v="38"/>
    <s v="No"/>
    <s v="Travel_Rarely"/>
    <n v="397"/>
    <x v="1"/>
    <n v="2"/>
    <n v="2"/>
    <x v="2"/>
    <n v="1"/>
    <x v="1161"/>
    <n v="4"/>
    <s v="Female"/>
    <n v="54"/>
    <n v="2"/>
    <x v="2"/>
    <x v="3"/>
    <n v="3"/>
    <s v="Married"/>
    <n v="7756"/>
    <n v="14199"/>
    <n v="3"/>
    <s v="Y"/>
    <x v="0"/>
    <n v="19"/>
    <n v="3"/>
    <n v="4"/>
    <n v="80"/>
    <n v="1"/>
    <n v="10"/>
    <n v="6"/>
    <n v="4"/>
    <n v="5"/>
    <n v="4"/>
    <n v="0"/>
    <n v="2"/>
    <n v="0"/>
    <x v="0"/>
  </r>
  <r>
    <n v="35"/>
    <s v="Yes"/>
    <s v="Travel_Rarely"/>
    <n v="737"/>
    <x v="0"/>
    <n v="10"/>
    <n v="3"/>
    <x v="2"/>
    <n v="1"/>
    <x v="1162"/>
    <n v="4"/>
    <s v="Male"/>
    <n v="55"/>
    <n v="2"/>
    <x v="2"/>
    <x v="0"/>
    <n v="1"/>
    <s v="Married"/>
    <n v="10306"/>
    <n v="21530"/>
    <n v="9"/>
    <s v="Y"/>
    <x v="1"/>
    <n v="17"/>
    <n v="3"/>
    <n v="3"/>
    <n v="80"/>
    <n v="0"/>
    <n v="15"/>
    <n v="3"/>
    <n v="3"/>
    <n v="13"/>
    <n v="12"/>
    <n v="6"/>
    <n v="0"/>
    <n v="1"/>
    <x v="2"/>
  </r>
  <r>
    <n v="37"/>
    <s v="No"/>
    <s v="Travel_Rarely"/>
    <n v="1470"/>
    <x v="1"/>
    <n v="10"/>
    <n v="3"/>
    <x v="2"/>
    <n v="1"/>
    <x v="1163"/>
    <n v="2"/>
    <s v="Female"/>
    <n v="71"/>
    <n v="3"/>
    <x v="1"/>
    <x v="1"/>
    <n v="2"/>
    <s v="Married"/>
    <n v="3936"/>
    <n v="9953"/>
    <n v="1"/>
    <s v="Y"/>
    <x v="1"/>
    <n v="11"/>
    <n v="3"/>
    <n v="1"/>
    <n v="80"/>
    <n v="1"/>
    <n v="8"/>
    <n v="2"/>
    <n v="1"/>
    <n v="8"/>
    <n v="4"/>
    <n v="7"/>
    <n v="7"/>
    <n v="0"/>
    <x v="0"/>
  </r>
  <r>
    <n v="40"/>
    <s v="No"/>
    <s v="Travel_Rarely"/>
    <n v="448"/>
    <x v="1"/>
    <n v="16"/>
    <n v="3"/>
    <x v="0"/>
    <n v="1"/>
    <x v="1164"/>
    <n v="3"/>
    <s v="Female"/>
    <n v="84"/>
    <n v="3"/>
    <x v="2"/>
    <x v="3"/>
    <n v="4"/>
    <s v="Single"/>
    <n v="7945"/>
    <n v="19948"/>
    <n v="6"/>
    <s v="Y"/>
    <x v="0"/>
    <n v="15"/>
    <n v="3"/>
    <n v="4"/>
    <n v="80"/>
    <n v="0"/>
    <n v="18"/>
    <n v="2"/>
    <n v="2"/>
    <n v="4"/>
    <n v="2"/>
    <n v="3"/>
    <n v="3"/>
    <n v="0"/>
    <x v="0"/>
  </r>
  <r>
    <n v="44"/>
    <s v="No"/>
    <s v="Travel_Frequently"/>
    <n v="602"/>
    <x v="2"/>
    <n v="1"/>
    <n v="5"/>
    <x v="5"/>
    <n v="1"/>
    <x v="1165"/>
    <n v="1"/>
    <s v="Male"/>
    <n v="37"/>
    <n v="3"/>
    <x v="0"/>
    <x v="8"/>
    <n v="4"/>
    <s v="Married"/>
    <n v="5743"/>
    <n v="10503"/>
    <n v="4"/>
    <s v="Y"/>
    <x v="0"/>
    <n v="11"/>
    <n v="3"/>
    <n v="3"/>
    <n v="80"/>
    <n v="0"/>
    <n v="14"/>
    <n v="3"/>
    <n v="3"/>
    <n v="10"/>
    <n v="7"/>
    <n v="0"/>
    <n v="2"/>
    <n v="0"/>
    <x v="0"/>
  </r>
  <r>
    <n v="48"/>
    <s v="No"/>
    <s v="Travel_Frequently"/>
    <n v="365"/>
    <x v="1"/>
    <n v="4"/>
    <n v="5"/>
    <x v="2"/>
    <n v="1"/>
    <x v="1166"/>
    <n v="3"/>
    <s v="Male"/>
    <n v="89"/>
    <n v="2"/>
    <x v="3"/>
    <x v="5"/>
    <n v="4"/>
    <s v="Married"/>
    <n v="15202"/>
    <n v="5602"/>
    <n v="2"/>
    <s v="Y"/>
    <x v="1"/>
    <n v="25"/>
    <n v="4"/>
    <n v="2"/>
    <n v="80"/>
    <n v="1"/>
    <n v="23"/>
    <n v="3"/>
    <n v="3"/>
    <n v="2"/>
    <n v="2"/>
    <n v="2"/>
    <n v="2"/>
    <n v="0"/>
    <x v="1"/>
  </r>
  <r>
    <n v="35"/>
    <s v="Yes"/>
    <s v="Travel_Rarely"/>
    <n v="763"/>
    <x v="0"/>
    <n v="15"/>
    <n v="2"/>
    <x v="2"/>
    <n v="1"/>
    <x v="1167"/>
    <n v="1"/>
    <s v="Male"/>
    <n v="59"/>
    <n v="1"/>
    <x v="0"/>
    <x v="0"/>
    <n v="4"/>
    <s v="Divorced"/>
    <n v="5440"/>
    <n v="22098"/>
    <n v="6"/>
    <s v="Y"/>
    <x v="0"/>
    <n v="14"/>
    <n v="3"/>
    <n v="4"/>
    <n v="80"/>
    <n v="2"/>
    <n v="7"/>
    <n v="2"/>
    <n v="2"/>
    <n v="2"/>
    <n v="2"/>
    <n v="2"/>
    <n v="2"/>
    <n v="1"/>
    <x v="2"/>
  </r>
  <r>
    <n v="24"/>
    <s v="No"/>
    <s v="Travel_Frequently"/>
    <n v="567"/>
    <x v="1"/>
    <n v="2"/>
    <n v="1"/>
    <x v="4"/>
    <n v="1"/>
    <x v="1168"/>
    <n v="1"/>
    <s v="Female"/>
    <n v="32"/>
    <n v="3"/>
    <x v="1"/>
    <x v="1"/>
    <n v="4"/>
    <s v="Single"/>
    <n v="3760"/>
    <n v="17218"/>
    <n v="1"/>
    <s v="Y"/>
    <x v="0"/>
    <n v="13"/>
    <n v="3"/>
    <n v="3"/>
    <n v="80"/>
    <n v="0"/>
    <n v="6"/>
    <n v="2"/>
    <n v="3"/>
    <n v="6"/>
    <n v="3"/>
    <n v="1"/>
    <n v="3"/>
    <n v="0"/>
    <x v="4"/>
  </r>
  <r>
    <n v="27"/>
    <s v="No"/>
    <s v="Travel_Rarely"/>
    <n v="486"/>
    <x v="1"/>
    <n v="8"/>
    <n v="3"/>
    <x v="2"/>
    <n v="1"/>
    <x v="1169"/>
    <n v="2"/>
    <s v="Female"/>
    <n v="86"/>
    <n v="4"/>
    <x v="1"/>
    <x v="1"/>
    <n v="3"/>
    <s v="Married"/>
    <n v="3517"/>
    <n v="22490"/>
    <n v="7"/>
    <s v="Y"/>
    <x v="1"/>
    <n v="17"/>
    <n v="3"/>
    <n v="1"/>
    <n v="80"/>
    <n v="0"/>
    <n v="5"/>
    <n v="0"/>
    <n v="3"/>
    <n v="3"/>
    <n v="2"/>
    <n v="0"/>
    <n v="2"/>
    <n v="0"/>
    <x v="2"/>
  </r>
  <r>
    <n v="27"/>
    <s v="No"/>
    <s v="Travel_Frequently"/>
    <n v="591"/>
    <x v="1"/>
    <n v="2"/>
    <n v="3"/>
    <x v="2"/>
    <n v="1"/>
    <x v="1170"/>
    <n v="4"/>
    <s v="Male"/>
    <n v="87"/>
    <n v="3"/>
    <x v="1"/>
    <x v="1"/>
    <n v="4"/>
    <s v="Single"/>
    <n v="2580"/>
    <n v="6297"/>
    <n v="2"/>
    <s v="Y"/>
    <x v="1"/>
    <n v="13"/>
    <n v="3"/>
    <n v="3"/>
    <n v="80"/>
    <n v="0"/>
    <n v="6"/>
    <n v="0"/>
    <n v="2"/>
    <n v="4"/>
    <n v="2"/>
    <n v="1"/>
    <n v="2"/>
    <n v="0"/>
    <x v="2"/>
  </r>
  <r>
    <n v="40"/>
    <s v="Yes"/>
    <s v="Travel_Rarely"/>
    <n v="1329"/>
    <x v="1"/>
    <n v="7"/>
    <n v="3"/>
    <x v="0"/>
    <n v="1"/>
    <x v="1171"/>
    <n v="1"/>
    <s v="Male"/>
    <n v="73"/>
    <n v="3"/>
    <x v="1"/>
    <x v="2"/>
    <n v="1"/>
    <s v="Single"/>
    <n v="2166"/>
    <n v="3339"/>
    <n v="3"/>
    <s v="Y"/>
    <x v="0"/>
    <n v="14"/>
    <n v="3"/>
    <n v="2"/>
    <n v="80"/>
    <n v="0"/>
    <n v="10"/>
    <n v="3"/>
    <n v="1"/>
    <n v="4"/>
    <n v="2"/>
    <n v="0"/>
    <n v="3"/>
    <n v="1"/>
    <x v="0"/>
  </r>
  <r>
    <n v="29"/>
    <s v="No"/>
    <s v="Travel_Rarely"/>
    <n v="469"/>
    <x v="0"/>
    <n v="10"/>
    <n v="3"/>
    <x v="2"/>
    <n v="1"/>
    <x v="1172"/>
    <n v="3"/>
    <s v="Male"/>
    <n v="42"/>
    <n v="2"/>
    <x v="0"/>
    <x v="0"/>
    <n v="3"/>
    <s v="Single"/>
    <n v="5869"/>
    <n v="23413"/>
    <n v="9"/>
    <s v="Y"/>
    <x v="1"/>
    <n v="11"/>
    <n v="3"/>
    <n v="3"/>
    <n v="80"/>
    <n v="0"/>
    <n v="8"/>
    <n v="2"/>
    <n v="3"/>
    <n v="5"/>
    <n v="2"/>
    <n v="1"/>
    <n v="4"/>
    <n v="0"/>
    <x v="2"/>
  </r>
  <r>
    <n v="36"/>
    <s v="No"/>
    <s v="Travel_Rarely"/>
    <n v="711"/>
    <x v="1"/>
    <n v="5"/>
    <n v="4"/>
    <x v="0"/>
    <n v="1"/>
    <x v="1173"/>
    <n v="2"/>
    <s v="Female"/>
    <n v="42"/>
    <n v="3"/>
    <x v="2"/>
    <x v="4"/>
    <n v="1"/>
    <s v="Married"/>
    <n v="8008"/>
    <n v="22792"/>
    <n v="4"/>
    <s v="Y"/>
    <x v="1"/>
    <n v="12"/>
    <n v="3"/>
    <n v="3"/>
    <n v="80"/>
    <n v="2"/>
    <n v="9"/>
    <n v="6"/>
    <n v="3"/>
    <n v="3"/>
    <n v="2"/>
    <n v="0"/>
    <n v="2"/>
    <n v="0"/>
    <x v="0"/>
  </r>
  <r>
    <n v="25"/>
    <s v="No"/>
    <s v="Travel_Frequently"/>
    <n v="772"/>
    <x v="1"/>
    <n v="2"/>
    <n v="1"/>
    <x v="0"/>
    <n v="1"/>
    <x v="1174"/>
    <n v="4"/>
    <s v="Male"/>
    <n v="77"/>
    <n v="4"/>
    <x v="0"/>
    <x v="3"/>
    <n v="3"/>
    <s v="Divorced"/>
    <n v="5206"/>
    <n v="4973"/>
    <n v="1"/>
    <s v="Y"/>
    <x v="1"/>
    <n v="17"/>
    <n v="3"/>
    <n v="3"/>
    <n v="80"/>
    <n v="2"/>
    <n v="7"/>
    <n v="6"/>
    <n v="3"/>
    <n v="7"/>
    <n v="7"/>
    <n v="0"/>
    <n v="7"/>
    <n v="0"/>
    <x v="4"/>
  </r>
  <r>
    <n v="39"/>
    <s v="No"/>
    <s v="Travel_Rarely"/>
    <n v="492"/>
    <x v="1"/>
    <n v="12"/>
    <n v="3"/>
    <x v="2"/>
    <n v="1"/>
    <x v="1175"/>
    <n v="4"/>
    <s v="Male"/>
    <n v="66"/>
    <n v="3"/>
    <x v="0"/>
    <x v="3"/>
    <n v="2"/>
    <s v="Married"/>
    <n v="5295"/>
    <n v="7693"/>
    <n v="4"/>
    <s v="Y"/>
    <x v="1"/>
    <n v="21"/>
    <n v="4"/>
    <n v="3"/>
    <n v="80"/>
    <n v="0"/>
    <n v="7"/>
    <n v="3"/>
    <n v="3"/>
    <n v="5"/>
    <n v="4"/>
    <n v="1"/>
    <n v="0"/>
    <n v="0"/>
    <x v="0"/>
  </r>
  <r>
    <n v="49"/>
    <s v="No"/>
    <s v="Travel_Rarely"/>
    <n v="301"/>
    <x v="1"/>
    <n v="22"/>
    <n v="4"/>
    <x v="1"/>
    <n v="1"/>
    <x v="1176"/>
    <n v="1"/>
    <s v="Female"/>
    <n v="72"/>
    <n v="3"/>
    <x v="3"/>
    <x v="7"/>
    <n v="2"/>
    <s v="Married"/>
    <n v="16413"/>
    <n v="3498"/>
    <n v="3"/>
    <s v="Y"/>
    <x v="1"/>
    <n v="16"/>
    <n v="3"/>
    <n v="2"/>
    <n v="80"/>
    <n v="2"/>
    <n v="27"/>
    <n v="2"/>
    <n v="3"/>
    <n v="4"/>
    <n v="2"/>
    <n v="1"/>
    <n v="2"/>
    <n v="0"/>
    <x v="1"/>
  </r>
  <r>
    <n v="50"/>
    <s v="No"/>
    <s v="Travel_Rarely"/>
    <n v="813"/>
    <x v="1"/>
    <n v="17"/>
    <n v="5"/>
    <x v="0"/>
    <n v="1"/>
    <x v="1177"/>
    <n v="4"/>
    <s v="Female"/>
    <n v="50"/>
    <n v="2"/>
    <x v="2"/>
    <x v="7"/>
    <n v="1"/>
    <s v="Divorced"/>
    <n v="13269"/>
    <n v="21981"/>
    <n v="5"/>
    <s v="Y"/>
    <x v="1"/>
    <n v="15"/>
    <n v="3"/>
    <n v="3"/>
    <n v="80"/>
    <n v="3"/>
    <n v="19"/>
    <n v="3"/>
    <n v="3"/>
    <n v="14"/>
    <n v="11"/>
    <n v="1"/>
    <n v="11"/>
    <n v="0"/>
    <x v="1"/>
  </r>
  <r>
    <n v="20"/>
    <s v="No"/>
    <s v="Travel_Rarely"/>
    <n v="1141"/>
    <x v="0"/>
    <n v="2"/>
    <n v="3"/>
    <x v="2"/>
    <n v="1"/>
    <x v="1178"/>
    <n v="3"/>
    <s v="Female"/>
    <n v="31"/>
    <n v="3"/>
    <x v="1"/>
    <x v="6"/>
    <n v="3"/>
    <s v="Single"/>
    <n v="2783"/>
    <n v="13251"/>
    <n v="1"/>
    <s v="Y"/>
    <x v="1"/>
    <n v="19"/>
    <n v="3"/>
    <n v="1"/>
    <n v="80"/>
    <n v="0"/>
    <n v="2"/>
    <n v="3"/>
    <n v="3"/>
    <n v="2"/>
    <n v="2"/>
    <n v="2"/>
    <n v="2"/>
    <n v="0"/>
    <x v="4"/>
  </r>
  <r>
    <n v="34"/>
    <s v="No"/>
    <s v="Travel_Rarely"/>
    <n v="1130"/>
    <x v="1"/>
    <n v="3"/>
    <n v="3"/>
    <x v="0"/>
    <n v="1"/>
    <x v="1179"/>
    <n v="4"/>
    <s v="Female"/>
    <n v="66"/>
    <n v="3"/>
    <x v="0"/>
    <x v="1"/>
    <n v="2"/>
    <s v="Divorced"/>
    <n v="5433"/>
    <n v="19332"/>
    <n v="1"/>
    <s v="Y"/>
    <x v="1"/>
    <n v="12"/>
    <n v="3"/>
    <n v="3"/>
    <n v="80"/>
    <n v="1"/>
    <n v="11"/>
    <n v="2"/>
    <n v="3"/>
    <n v="11"/>
    <n v="8"/>
    <n v="7"/>
    <n v="9"/>
    <n v="0"/>
    <x v="2"/>
  </r>
  <r>
    <n v="36"/>
    <s v="No"/>
    <s v="Travel_Rarely"/>
    <n v="311"/>
    <x v="1"/>
    <n v="7"/>
    <n v="3"/>
    <x v="0"/>
    <n v="1"/>
    <x v="1180"/>
    <n v="1"/>
    <s v="Male"/>
    <n v="77"/>
    <n v="3"/>
    <x v="1"/>
    <x v="2"/>
    <n v="2"/>
    <s v="Single"/>
    <n v="2013"/>
    <n v="10950"/>
    <n v="2"/>
    <s v="Y"/>
    <x v="1"/>
    <n v="11"/>
    <n v="3"/>
    <n v="3"/>
    <n v="80"/>
    <n v="0"/>
    <n v="15"/>
    <n v="4"/>
    <n v="3"/>
    <n v="4"/>
    <n v="3"/>
    <n v="1"/>
    <n v="3"/>
    <n v="0"/>
    <x v="0"/>
  </r>
  <r>
    <n v="49"/>
    <s v="No"/>
    <s v="Travel_Rarely"/>
    <n v="465"/>
    <x v="1"/>
    <n v="6"/>
    <n v="1"/>
    <x v="0"/>
    <n v="1"/>
    <x v="1181"/>
    <n v="3"/>
    <s v="Female"/>
    <n v="41"/>
    <n v="2"/>
    <x v="3"/>
    <x v="4"/>
    <n v="3"/>
    <s v="Married"/>
    <n v="13966"/>
    <n v="11652"/>
    <n v="2"/>
    <s v="Y"/>
    <x v="0"/>
    <n v="19"/>
    <n v="3"/>
    <n v="2"/>
    <n v="80"/>
    <n v="1"/>
    <n v="30"/>
    <n v="3"/>
    <n v="3"/>
    <n v="15"/>
    <n v="11"/>
    <n v="2"/>
    <n v="12"/>
    <n v="0"/>
    <x v="1"/>
  </r>
  <r>
    <n v="36"/>
    <s v="No"/>
    <s v="Non-Travel"/>
    <n v="894"/>
    <x v="1"/>
    <n v="1"/>
    <n v="4"/>
    <x v="2"/>
    <n v="1"/>
    <x v="1182"/>
    <n v="4"/>
    <s v="Female"/>
    <n v="33"/>
    <n v="2"/>
    <x v="0"/>
    <x v="3"/>
    <n v="3"/>
    <s v="Married"/>
    <n v="4374"/>
    <n v="15411"/>
    <n v="0"/>
    <s v="Y"/>
    <x v="1"/>
    <n v="15"/>
    <n v="3"/>
    <n v="3"/>
    <n v="80"/>
    <n v="0"/>
    <n v="4"/>
    <n v="6"/>
    <n v="3"/>
    <n v="3"/>
    <n v="2"/>
    <n v="1"/>
    <n v="2"/>
    <n v="0"/>
    <x v="0"/>
  </r>
  <r>
    <n v="36"/>
    <s v="No"/>
    <s v="Travel_Rarely"/>
    <n v="1040"/>
    <x v="1"/>
    <n v="3"/>
    <n v="2"/>
    <x v="0"/>
    <n v="1"/>
    <x v="1183"/>
    <n v="4"/>
    <s v="Male"/>
    <n v="79"/>
    <n v="4"/>
    <x v="0"/>
    <x v="4"/>
    <n v="1"/>
    <s v="Divorced"/>
    <n v="6842"/>
    <n v="26308"/>
    <n v="6"/>
    <s v="Y"/>
    <x v="1"/>
    <n v="20"/>
    <n v="4"/>
    <n v="1"/>
    <n v="80"/>
    <n v="1"/>
    <n v="13"/>
    <n v="3"/>
    <n v="3"/>
    <n v="5"/>
    <n v="4"/>
    <n v="0"/>
    <n v="4"/>
    <n v="0"/>
    <x v="0"/>
  </r>
  <r>
    <n v="54"/>
    <s v="No"/>
    <s v="Travel_Rarely"/>
    <n v="584"/>
    <x v="1"/>
    <n v="22"/>
    <n v="5"/>
    <x v="2"/>
    <n v="1"/>
    <x v="1184"/>
    <n v="2"/>
    <s v="Female"/>
    <n v="91"/>
    <n v="3"/>
    <x v="3"/>
    <x v="5"/>
    <n v="3"/>
    <s v="Married"/>
    <n v="17426"/>
    <n v="18685"/>
    <n v="3"/>
    <s v="Y"/>
    <x v="1"/>
    <n v="25"/>
    <n v="4"/>
    <n v="3"/>
    <n v="80"/>
    <n v="1"/>
    <n v="36"/>
    <n v="6"/>
    <n v="3"/>
    <n v="10"/>
    <n v="8"/>
    <n v="4"/>
    <n v="7"/>
    <n v="0"/>
    <x v="1"/>
  </r>
  <r>
    <n v="43"/>
    <s v="No"/>
    <s v="Travel_Rarely"/>
    <n v="1291"/>
    <x v="1"/>
    <n v="15"/>
    <n v="2"/>
    <x v="0"/>
    <n v="1"/>
    <x v="1185"/>
    <n v="3"/>
    <s v="Male"/>
    <n v="65"/>
    <n v="2"/>
    <x v="3"/>
    <x v="7"/>
    <n v="3"/>
    <s v="Married"/>
    <n v="17603"/>
    <n v="3525"/>
    <n v="1"/>
    <s v="Y"/>
    <x v="1"/>
    <n v="24"/>
    <n v="4"/>
    <n v="1"/>
    <n v="80"/>
    <n v="1"/>
    <n v="14"/>
    <n v="3"/>
    <n v="3"/>
    <n v="14"/>
    <n v="10"/>
    <n v="6"/>
    <n v="11"/>
    <n v="0"/>
    <x v="0"/>
  </r>
  <r>
    <n v="35"/>
    <s v="Yes"/>
    <s v="Travel_Frequently"/>
    <n v="880"/>
    <x v="0"/>
    <n v="12"/>
    <n v="4"/>
    <x v="1"/>
    <n v="1"/>
    <x v="1186"/>
    <n v="4"/>
    <s v="Male"/>
    <n v="36"/>
    <n v="3"/>
    <x v="0"/>
    <x v="0"/>
    <n v="4"/>
    <s v="Single"/>
    <n v="4581"/>
    <n v="10414"/>
    <n v="3"/>
    <s v="Y"/>
    <x v="0"/>
    <n v="24"/>
    <n v="4"/>
    <n v="1"/>
    <n v="80"/>
    <n v="0"/>
    <n v="13"/>
    <n v="2"/>
    <n v="4"/>
    <n v="11"/>
    <n v="9"/>
    <n v="6"/>
    <n v="7"/>
    <n v="1"/>
    <x v="2"/>
  </r>
  <r>
    <n v="38"/>
    <s v="No"/>
    <s v="Travel_Frequently"/>
    <n v="1189"/>
    <x v="1"/>
    <n v="1"/>
    <n v="3"/>
    <x v="0"/>
    <n v="1"/>
    <x v="1187"/>
    <n v="4"/>
    <s v="Male"/>
    <n v="90"/>
    <n v="3"/>
    <x v="0"/>
    <x v="1"/>
    <n v="4"/>
    <s v="Married"/>
    <n v="4735"/>
    <n v="9867"/>
    <n v="7"/>
    <s v="Y"/>
    <x v="1"/>
    <n v="15"/>
    <n v="3"/>
    <n v="4"/>
    <n v="80"/>
    <n v="2"/>
    <n v="19"/>
    <n v="4"/>
    <n v="4"/>
    <n v="13"/>
    <n v="11"/>
    <n v="2"/>
    <n v="9"/>
    <n v="0"/>
    <x v="0"/>
  </r>
  <r>
    <n v="29"/>
    <s v="No"/>
    <s v="Travel_Rarely"/>
    <n v="991"/>
    <x v="0"/>
    <n v="5"/>
    <n v="3"/>
    <x v="2"/>
    <n v="1"/>
    <x v="1188"/>
    <n v="1"/>
    <s v="Male"/>
    <n v="43"/>
    <n v="2"/>
    <x v="0"/>
    <x v="0"/>
    <n v="2"/>
    <s v="Divorced"/>
    <n v="4187"/>
    <n v="3356"/>
    <n v="1"/>
    <s v="Y"/>
    <x v="0"/>
    <n v="13"/>
    <n v="3"/>
    <n v="2"/>
    <n v="80"/>
    <n v="1"/>
    <n v="10"/>
    <n v="3"/>
    <n v="2"/>
    <n v="10"/>
    <n v="0"/>
    <n v="0"/>
    <n v="9"/>
    <n v="0"/>
    <x v="2"/>
  </r>
  <r>
    <n v="33"/>
    <s v="No"/>
    <s v="Travel_Rarely"/>
    <n v="392"/>
    <x v="0"/>
    <n v="2"/>
    <n v="4"/>
    <x v="2"/>
    <n v="1"/>
    <x v="1189"/>
    <n v="4"/>
    <s v="Male"/>
    <n v="93"/>
    <n v="3"/>
    <x v="0"/>
    <x v="0"/>
    <n v="4"/>
    <s v="Divorced"/>
    <n v="5505"/>
    <n v="3921"/>
    <n v="1"/>
    <s v="Y"/>
    <x v="1"/>
    <n v="14"/>
    <n v="3"/>
    <n v="3"/>
    <n v="80"/>
    <n v="2"/>
    <n v="6"/>
    <n v="5"/>
    <n v="3"/>
    <n v="6"/>
    <n v="2"/>
    <n v="0"/>
    <n v="4"/>
    <n v="0"/>
    <x v="2"/>
  </r>
  <r>
    <n v="32"/>
    <s v="No"/>
    <s v="Travel_Rarely"/>
    <n v="977"/>
    <x v="1"/>
    <n v="2"/>
    <n v="3"/>
    <x v="2"/>
    <n v="1"/>
    <x v="1190"/>
    <n v="4"/>
    <s v="Male"/>
    <n v="45"/>
    <n v="3"/>
    <x v="0"/>
    <x v="1"/>
    <n v="2"/>
    <s v="Divorced"/>
    <n v="5470"/>
    <n v="25518"/>
    <n v="0"/>
    <s v="Y"/>
    <x v="1"/>
    <n v="13"/>
    <n v="3"/>
    <n v="3"/>
    <n v="80"/>
    <n v="2"/>
    <n v="10"/>
    <n v="4"/>
    <n v="2"/>
    <n v="9"/>
    <n v="5"/>
    <n v="1"/>
    <n v="6"/>
    <n v="0"/>
    <x v="2"/>
  </r>
  <r>
    <n v="31"/>
    <s v="No"/>
    <s v="Travel_Rarely"/>
    <n v="1112"/>
    <x v="0"/>
    <n v="5"/>
    <n v="4"/>
    <x v="0"/>
    <n v="1"/>
    <x v="1191"/>
    <n v="1"/>
    <s v="Female"/>
    <n v="67"/>
    <n v="3"/>
    <x v="0"/>
    <x v="0"/>
    <n v="4"/>
    <s v="Married"/>
    <n v="5476"/>
    <n v="22589"/>
    <n v="1"/>
    <s v="Y"/>
    <x v="1"/>
    <n v="11"/>
    <n v="3"/>
    <n v="1"/>
    <n v="80"/>
    <n v="2"/>
    <n v="10"/>
    <n v="2"/>
    <n v="3"/>
    <n v="10"/>
    <n v="0"/>
    <n v="0"/>
    <n v="2"/>
    <n v="0"/>
    <x v="2"/>
  </r>
  <r>
    <n v="49"/>
    <s v="No"/>
    <s v="Travel_Rarely"/>
    <n v="464"/>
    <x v="1"/>
    <n v="16"/>
    <n v="3"/>
    <x v="2"/>
    <n v="1"/>
    <x v="1192"/>
    <n v="4"/>
    <s v="Female"/>
    <n v="74"/>
    <n v="3"/>
    <x v="1"/>
    <x v="2"/>
    <n v="1"/>
    <s v="Divorced"/>
    <n v="2587"/>
    <n v="24941"/>
    <n v="4"/>
    <s v="Y"/>
    <x v="0"/>
    <n v="16"/>
    <n v="3"/>
    <n v="2"/>
    <n v="80"/>
    <n v="1"/>
    <n v="17"/>
    <n v="2"/>
    <n v="2"/>
    <n v="2"/>
    <n v="2"/>
    <n v="2"/>
    <n v="2"/>
    <n v="0"/>
    <x v="1"/>
  </r>
  <r>
    <n v="38"/>
    <s v="No"/>
    <s v="Travel_Frequently"/>
    <n v="148"/>
    <x v="1"/>
    <n v="2"/>
    <n v="3"/>
    <x v="2"/>
    <n v="1"/>
    <x v="1193"/>
    <n v="4"/>
    <s v="Female"/>
    <n v="42"/>
    <n v="2"/>
    <x v="1"/>
    <x v="2"/>
    <n v="2"/>
    <s v="Single"/>
    <n v="2440"/>
    <n v="23826"/>
    <n v="1"/>
    <s v="Y"/>
    <x v="1"/>
    <n v="22"/>
    <n v="4"/>
    <n v="2"/>
    <n v="80"/>
    <n v="0"/>
    <n v="4"/>
    <n v="3"/>
    <n v="3"/>
    <n v="4"/>
    <n v="3"/>
    <n v="3"/>
    <n v="3"/>
    <n v="0"/>
    <x v="0"/>
  </r>
  <r>
    <n v="47"/>
    <s v="No"/>
    <s v="Travel_Rarely"/>
    <n v="1225"/>
    <x v="0"/>
    <n v="2"/>
    <n v="4"/>
    <x v="0"/>
    <n v="1"/>
    <x v="1194"/>
    <n v="2"/>
    <s v="Female"/>
    <n v="47"/>
    <n v="4"/>
    <x v="3"/>
    <x v="5"/>
    <n v="2"/>
    <s v="Divorced"/>
    <n v="15972"/>
    <n v="21086"/>
    <n v="6"/>
    <s v="Y"/>
    <x v="1"/>
    <n v="14"/>
    <n v="3"/>
    <n v="3"/>
    <n v="80"/>
    <n v="3"/>
    <n v="29"/>
    <n v="2"/>
    <n v="3"/>
    <n v="3"/>
    <n v="2"/>
    <n v="1"/>
    <n v="2"/>
    <n v="0"/>
    <x v="1"/>
  </r>
  <r>
    <n v="49"/>
    <s v="No"/>
    <s v="Travel_Rarely"/>
    <n v="809"/>
    <x v="1"/>
    <n v="1"/>
    <n v="3"/>
    <x v="0"/>
    <n v="1"/>
    <x v="1195"/>
    <n v="3"/>
    <s v="Male"/>
    <n v="36"/>
    <n v="3"/>
    <x v="3"/>
    <x v="5"/>
    <n v="3"/>
    <s v="Single"/>
    <n v="15379"/>
    <n v="22384"/>
    <n v="4"/>
    <s v="Y"/>
    <x v="1"/>
    <n v="14"/>
    <n v="3"/>
    <n v="1"/>
    <n v="80"/>
    <n v="0"/>
    <n v="23"/>
    <n v="2"/>
    <n v="3"/>
    <n v="8"/>
    <n v="7"/>
    <n v="0"/>
    <n v="0"/>
    <n v="0"/>
    <x v="1"/>
  </r>
  <r>
    <n v="41"/>
    <s v="No"/>
    <s v="Travel_Rarely"/>
    <n v="1206"/>
    <x v="0"/>
    <n v="23"/>
    <n v="2"/>
    <x v="0"/>
    <n v="1"/>
    <x v="1196"/>
    <n v="4"/>
    <s v="Male"/>
    <n v="80"/>
    <n v="3"/>
    <x v="2"/>
    <x v="0"/>
    <n v="3"/>
    <s v="Single"/>
    <n v="7082"/>
    <n v="11591"/>
    <n v="3"/>
    <s v="Y"/>
    <x v="0"/>
    <n v="16"/>
    <n v="3"/>
    <n v="4"/>
    <n v="80"/>
    <n v="0"/>
    <n v="21"/>
    <n v="2"/>
    <n v="3"/>
    <n v="2"/>
    <n v="0"/>
    <n v="0"/>
    <n v="2"/>
    <n v="0"/>
    <x v="0"/>
  </r>
  <r>
    <n v="20"/>
    <s v="No"/>
    <s v="Travel_Rarely"/>
    <n v="727"/>
    <x v="0"/>
    <n v="9"/>
    <n v="1"/>
    <x v="0"/>
    <n v="1"/>
    <x v="1197"/>
    <n v="4"/>
    <s v="Male"/>
    <n v="54"/>
    <n v="3"/>
    <x v="1"/>
    <x v="6"/>
    <n v="1"/>
    <s v="Single"/>
    <n v="2728"/>
    <n v="21082"/>
    <n v="1"/>
    <s v="Y"/>
    <x v="1"/>
    <n v="11"/>
    <n v="3"/>
    <n v="1"/>
    <n v="80"/>
    <n v="0"/>
    <n v="2"/>
    <n v="3"/>
    <n v="3"/>
    <n v="2"/>
    <n v="2"/>
    <n v="0"/>
    <n v="2"/>
    <n v="0"/>
    <x v="4"/>
  </r>
  <r>
    <n v="33"/>
    <s v="No"/>
    <s v="Non-Travel"/>
    <n v="530"/>
    <x v="0"/>
    <n v="16"/>
    <n v="3"/>
    <x v="0"/>
    <n v="1"/>
    <x v="1198"/>
    <n v="3"/>
    <s v="Female"/>
    <n v="36"/>
    <n v="3"/>
    <x v="0"/>
    <x v="0"/>
    <n v="4"/>
    <s v="Divorced"/>
    <n v="5368"/>
    <n v="16130"/>
    <n v="1"/>
    <s v="Y"/>
    <x v="0"/>
    <n v="25"/>
    <n v="4"/>
    <n v="3"/>
    <n v="80"/>
    <n v="1"/>
    <n v="7"/>
    <n v="2"/>
    <n v="3"/>
    <n v="6"/>
    <n v="5"/>
    <n v="1"/>
    <n v="2"/>
    <n v="0"/>
    <x v="2"/>
  </r>
  <r>
    <n v="36"/>
    <s v="No"/>
    <s v="Travel_Rarely"/>
    <n v="1351"/>
    <x v="1"/>
    <n v="26"/>
    <n v="4"/>
    <x v="0"/>
    <n v="1"/>
    <x v="1199"/>
    <n v="1"/>
    <s v="Male"/>
    <n v="80"/>
    <n v="3"/>
    <x v="0"/>
    <x v="4"/>
    <n v="3"/>
    <s v="Married"/>
    <n v="5347"/>
    <n v="7419"/>
    <n v="6"/>
    <s v="Y"/>
    <x v="1"/>
    <n v="14"/>
    <n v="3"/>
    <n v="2"/>
    <n v="80"/>
    <n v="2"/>
    <n v="10"/>
    <n v="2"/>
    <n v="2"/>
    <n v="3"/>
    <n v="2"/>
    <n v="0"/>
    <n v="2"/>
    <n v="0"/>
    <x v="0"/>
  </r>
  <r>
    <n v="44"/>
    <s v="No"/>
    <s v="Travel_Rarely"/>
    <n v="528"/>
    <x v="2"/>
    <n v="1"/>
    <n v="3"/>
    <x v="0"/>
    <n v="1"/>
    <x v="1200"/>
    <n v="3"/>
    <s v="Female"/>
    <n v="44"/>
    <n v="3"/>
    <x v="1"/>
    <x v="8"/>
    <n v="4"/>
    <s v="Divorced"/>
    <n v="3195"/>
    <n v="4167"/>
    <n v="4"/>
    <s v="Y"/>
    <x v="0"/>
    <n v="18"/>
    <n v="3"/>
    <n v="1"/>
    <n v="80"/>
    <n v="3"/>
    <n v="8"/>
    <n v="2"/>
    <n v="3"/>
    <n v="2"/>
    <n v="2"/>
    <n v="2"/>
    <n v="2"/>
    <n v="0"/>
    <x v="0"/>
  </r>
  <r>
    <n v="23"/>
    <s v="Yes"/>
    <s v="Travel_Rarely"/>
    <n v="1320"/>
    <x v="1"/>
    <n v="8"/>
    <n v="1"/>
    <x v="2"/>
    <n v="1"/>
    <x v="1201"/>
    <n v="4"/>
    <s v="Male"/>
    <n v="93"/>
    <n v="2"/>
    <x v="1"/>
    <x v="2"/>
    <n v="3"/>
    <s v="Single"/>
    <n v="3989"/>
    <n v="20586"/>
    <n v="1"/>
    <s v="Y"/>
    <x v="0"/>
    <n v="11"/>
    <n v="3"/>
    <n v="1"/>
    <n v="80"/>
    <n v="0"/>
    <n v="5"/>
    <n v="2"/>
    <n v="3"/>
    <n v="5"/>
    <n v="4"/>
    <n v="1"/>
    <n v="2"/>
    <n v="1"/>
    <x v="4"/>
  </r>
  <r>
    <n v="38"/>
    <s v="No"/>
    <s v="Travel_Rarely"/>
    <n v="1495"/>
    <x v="1"/>
    <n v="4"/>
    <n v="2"/>
    <x v="2"/>
    <n v="1"/>
    <x v="1202"/>
    <n v="4"/>
    <s v="Female"/>
    <n v="87"/>
    <n v="3"/>
    <x v="1"/>
    <x v="2"/>
    <n v="3"/>
    <s v="Married"/>
    <n v="3306"/>
    <n v="26176"/>
    <n v="7"/>
    <s v="Y"/>
    <x v="1"/>
    <n v="19"/>
    <n v="3"/>
    <n v="4"/>
    <n v="80"/>
    <n v="1"/>
    <n v="7"/>
    <n v="5"/>
    <n v="2"/>
    <n v="0"/>
    <n v="0"/>
    <n v="0"/>
    <n v="0"/>
    <n v="0"/>
    <x v="0"/>
  </r>
  <r>
    <n v="53"/>
    <s v="No"/>
    <s v="Travel_Rarely"/>
    <n v="1395"/>
    <x v="1"/>
    <n v="24"/>
    <n v="4"/>
    <x v="2"/>
    <n v="1"/>
    <x v="1203"/>
    <n v="2"/>
    <s v="Male"/>
    <n v="48"/>
    <n v="4"/>
    <x v="2"/>
    <x v="4"/>
    <n v="4"/>
    <s v="Married"/>
    <n v="7005"/>
    <n v="3458"/>
    <n v="3"/>
    <s v="Y"/>
    <x v="1"/>
    <n v="15"/>
    <n v="3"/>
    <n v="3"/>
    <n v="80"/>
    <n v="0"/>
    <n v="11"/>
    <n v="2"/>
    <n v="3"/>
    <n v="4"/>
    <n v="3"/>
    <n v="1"/>
    <n v="2"/>
    <n v="0"/>
    <x v="1"/>
  </r>
  <r>
    <n v="48"/>
    <s v="Yes"/>
    <s v="Travel_Frequently"/>
    <n v="708"/>
    <x v="0"/>
    <n v="7"/>
    <n v="2"/>
    <x v="2"/>
    <n v="1"/>
    <x v="1204"/>
    <n v="4"/>
    <s v="Female"/>
    <n v="95"/>
    <n v="3"/>
    <x v="1"/>
    <x v="6"/>
    <n v="3"/>
    <s v="Married"/>
    <n v="2655"/>
    <n v="11740"/>
    <n v="2"/>
    <s v="Y"/>
    <x v="0"/>
    <n v="11"/>
    <n v="3"/>
    <n v="3"/>
    <n v="80"/>
    <n v="2"/>
    <n v="19"/>
    <n v="3"/>
    <n v="3"/>
    <n v="9"/>
    <n v="7"/>
    <n v="7"/>
    <n v="7"/>
    <n v="1"/>
    <x v="1"/>
  </r>
  <r>
    <n v="32"/>
    <s v="Yes"/>
    <s v="Travel_Rarely"/>
    <n v="1259"/>
    <x v="1"/>
    <n v="2"/>
    <n v="4"/>
    <x v="0"/>
    <n v="1"/>
    <x v="1205"/>
    <n v="4"/>
    <s v="Male"/>
    <n v="95"/>
    <n v="3"/>
    <x v="1"/>
    <x v="2"/>
    <n v="2"/>
    <s v="Single"/>
    <n v="1393"/>
    <n v="24852"/>
    <n v="1"/>
    <s v="Y"/>
    <x v="1"/>
    <n v="12"/>
    <n v="3"/>
    <n v="1"/>
    <n v="80"/>
    <n v="0"/>
    <n v="1"/>
    <n v="2"/>
    <n v="3"/>
    <n v="1"/>
    <n v="0"/>
    <n v="0"/>
    <n v="0"/>
    <n v="1"/>
    <x v="2"/>
  </r>
  <r>
    <n v="26"/>
    <s v="No"/>
    <s v="Non-Travel"/>
    <n v="786"/>
    <x v="1"/>
    <n v="7"/>
    <n v="3"/>
    <x v="2"/>
    <n v="1"/>
    <x v="1206"/>
    <n v="4"/>
    <s v="Male"/>
    <n v="76"/>
    <n v="3"/>
    <x v="1"/>
    <x v="2"/>
    <n v="4"/>
    <s v="Single"/>
    <n v="2570"/>
    <n v="11925"/>
    <n v="1"/>
    <s v="Y"/>
    <x v="1"/>
    <n v="20"/>
    <n v="4"/>
    <n v="3"/>
    <n v="80"/>
    <n v="0"/>
    <n v="7"/>
    <n v="5"/>
    <n v="3"/>
    <n v="7"/>
    <n v="7"/>
    <n v="5"/>
    <n v="7"/>
    <n v="0"/>
    <x v="2"/>
  </r>
  <r>
    <n v="55"/>
    <s v="No"/>
    <s v="Travel_Rarely"/>
    <n v="1441"/>
    <x v="1"/>
    <n v="22"/>
    <n v="3"/>
    <x v="4"/>
    <n v="1"/>
    <x v="1207"/>
    <n v="1"/>
    <s v="Male"/>
    <n v="94"/>
    <n v="2"/>
    <x v="1"/>
    <x v="1"/>
    <n v="2"/>
    <s v="Divorced"/>
    <n v="3537"/>
    <n v="23737"/>
    <n v="5"/>
    <s v="Y"/>
    <x v="1"/>
    <n v="12"/>
    <n v="3"/>
    <n v="4"/>
    <n v="80"/>
    <n v="1"/>
    <n v="8"/>
    <n v="1"/>
    <n v="3"/>
    <n v="4"/>
    <n v="2"/>
    <n v="1"/>
    <n v="2"/>
    <n v="0"/>
    <x v="1"/>
  </r>
  <r>
    <n v="34"/>
    <s v="No"/>
    <s v="Travel_Rarely"/>
    <n v="1157"/>
    <x v="1"/>
    <n v="5"/>
    <n v="2"/>
    <x v="2"/>
    <n v="1"/>
    <x v="1208"/>
    <n v="2"/>
    <s v="Male"/>
    <n v="57"/>
    <n v="2"/>
    <x v="0"/>
    <x v="2"/>
    <n v="4"/>
    <s v="Married"/>
    <n v="3986"/>
    <n v="11912"/>
    <n v="1"/>
    <s v="Y"/>
    <x v="1"/>
    <n v="14"/>
    <n v="3"/>
    <n v="3"/>
    <n v="80"/>
    <n v="1"/>
    <n v="15"/>
    <n v="3"/>
    <n v="4"/>
    <n v="15"/>
    <n v="10"/>
    <n v="4"/>
    <n v="13"/>
    <n v="0"/>
    <x v="2"/>
  </r>
  <r>
    <n v="60"/>
    <s v="No"/>
    <s v="Travel_Rarely"/>
    <n v="370"/>
    <x v="1"/>
    <n v="1"/>
    <n v="4"/>
    <x v="2"/>
    <n v="1"/>
    <x v="1209"/>
    <n v="3"/>
    <s v="Male"/>
    <n v="92"/>
    <n v="1"/>
    <x v="2"/>
    <x v="4"/>
    <n v="4"/>
    <s v="Divorced"/>
    <n v="10883"/>
    <n v="20467"/>
    <n v="3"/>
    <s v="Y"/>
    <x v="1"/>
    <n v="20"/>
    <n v="4"/>
    <n v="3"/>
    <n v="80"/>
    <n v="1"/>
    <n v="19"/>
    <n v="2"/>
    <n v="4"/>
    <n v="1"/>
    <n v="0"/>
    <n v="0"/>
    <n v="0"/>
    <n v="0"/>
    <x v="3"/>
  </r>
  <r>
    <n v="33"/>
    <s v="No"/>
    <s v="Travel_Rarely"/>
    <n v="267"/>
    <x v="1"/>
    <n v="21"/>
    <n v="3"/>
    <x v="2"/>
    <n v="1"/>
    <x v="1210"/>
    <n v="2"/>
    <s v="Male"/>
    <n v="79"/>
    <n v="4"/>
    <x v="1"/>
    <x v="2"/>
    <n v="2"/>
    <s v="Married"/>
    <n v="2028"/>
    <n v="13637"/>
    <n v="1"/>
    <s v="Y"/>
    <x v="1"/>
    <n v="18"/>
    <n v="3"/>
    <n v="4"/>
    <n v="80"/>
    <n v="3"/>
    <n v="14"/>
    <n v="6"/>
    <n v="3"/>
    <n v="14"/>
    <n v="11"/>
    <n v="2"/>
    <n v="13"/>
    <n v="0"/>
    <x v="2"/>
  </r>
  <r>
    <n v="37"/>
    <s v="No"/>
    <s v="Travel_Frequently"/>
    <n v="1278"/>
    <x v="0"/>
    <n v="1"/>
    <n v="4"/>
    <x v="2"/>
    <n v="1"/>
    <x v="1211"/>
    <n v="3"/>
    <s v="Male"/>
    <n v="31"/>
    <n v="1"/>
    <x v="0"/>
    <x v="0"/>
    <n v="4"/>
    <s v="Divorced"/>
    <n v="9525"/>
    <n v="7677"/>
    <n v="1"/>
    <s v="Y"/>
    <x v="1"/>
    <n v="14"/>
    <n v="3"/>
    <n v="3"/>
    <n v="80"/>
    <n v="2"/>
    <n v="6"/>
    <n v="2"/>
    <n v="2"/>
    <n v="6"/>
    <n v="3"/>
    <n v="1"/>
    <n v="3"/>
    <n v="0"/>
    <x v="0"/>
  </r>
  <r>
    <n v="34"/>
    <s v="No"/>
    <s v="Travel_Rarely"/>
    <n v="678"/>
    <x v="1"/>
    <n v="19"/>
    <n v="3"/>
    <x v="0"/>
    <n v="1"/>
    <x v="1212"/>
    <n v="2"/>
    <s v="Female"/>
    <n v="35"/>
    <n v="2"/>
    <x v="1"/>
    <x v="1"/>
    <n v="4"/>
    <s v="Married"/>
    <n v="2929"/>
    <n v="20338"/>
    <n v="1"/>
    <s v="Y"/>
    <x v="1"/>
    <n v="12"/>
    <n v="3"/>
    <n v="2"/>
    <n v="80"/>
    <n v="0"/>
    <n v="10"/>
    <n v="3"/>
    <n v="3"/>
    <n v="10"/>
    <n v="9"/>
    <n v="8"/>
    <n v="7"/>
    <n v="0"/>
    <x v="2"/>
  </r>
  <r>
    <n v="23"/>
    <s v="Yes"/>
    <s v="Travel_Rarely"/>
    <n v="427"/>
    <x v="0"/>
    <n v="7"/>
    <n v="3"/>
    <x v="0"/>
    <n v="1"/>
    <x v="1213"/>
    <n v="3"/>
    <s v="Male"/>
    <n v="99"/>
    <n v="3"/>
    <x v="1"/>
    <x v="6"/>
    <n v="4"/>
    <s v="Divorced"/>
    <n v="2275"/>
    <n v="25103"/>
    <n v="1"/>
    <s v="Y"/>
    <x v="0"/>
    <n v="21"/>
    <n v="4"/>
    <n v="2"/>
    <n v="80"/>
    <n v="1"/>
    <n v="3"/>
    <n v="2"/>
    <n v="3"/>
    <n v="3"/>
    <n v="2"/>
    <n v="0"/>
    <n v="2"/>
    <n v="1"/>
    <x v="4"/>
  </r>
  <r>
    <n v="44"/>
    <s v="No"/>
    <s v="Travel_Rarely"/>
    <n v="921"/>
    <x v="1"/>
    <n v="2"/>
    <n v="3"/>
    <x v="0"/>
    <n v="1"/>
    <x v="1214"/>
    <n v="3"/>
    <s v="Female"/>
    <n v="96"/>
    <n v="4"/>
    <x v="2"/>
    <x v="4"/>
    <n v="4"/>
    <s v="Married"/>
    <n v="7879"/>
    <n v="14810"/>
    <n v="1"/>
    <s v="Y"/>
    <x v="0"/>
    <n v="19"/>
    <n v="3"/>
    <n v="2"/>
    <n v="80"/>
    <n v="1"/>
    <n v="9"/>
    <n v="2"/>
    <n v="3"/>
    <n v="8"/>
    <n v="7"/>
    <n v="6"/>
    <n v="7"/>
    <n v="0"/>
    <x v="0"/>
  </r>
  <r>
    <n v="35"/>
    <s v="No"/>
    <s v="Travel_Frequently"/>
    <n v="146"/>
    <x v="1"/>
    <n v="2"/>
    <n v="4"/>
    <x v="2"/>
    <n v="1"/>
    <x v="1215"/>
    <n v="1"/>
    <s v="Male"/>
    <n v="79"/>
    <n v="2"/>
    <x v="1"/>
    <x v="1"/>
    <n v="4"/>
    <s v="Single"/>
    <n v="4930"/>
    <n v="13970"/>
    <n v="0"/>
    <s v="Y"/>
    <x v="0"/>
    <n v="14"/>
    <n v="3"/>
    <n v="3"/>
    <n v="80"/>
    <n v="0"/>
    <n v="6"/>
    <n v="2"/>
    <n v="4"/>
    <n v="5"/>
    <n v="4"/>
    <n v="1"/>
    <n v="4"/>
    <n v="0"/>
    <x v="2"/>
  </r>
  <r>
    <n v="43"/>
    <s v="No"/>
    <s v="Travel_Rarely"/>
    <n v="1179"/>
    <x v="0"/>
    <n v="2"/>
    <n v="3"/>
    <x v="2"/>
    <n v="1"/>
    <x v="1216"/>
    <n v="4"/>
    <s v="Male"/>
    <n v="73"/>
    <n v="3"/>
    <x v="0"/>
    <x v="0"/>
    <n v="4"/>
    <s v="Married"/>
    <n v="7847"/>
    <n v="6069"/>
    <n v="1"/>
    <s v="Y"/>
    <x v="0"/>
    <n v="17"/>
    <n v="3"/>
    <n v="1"/>
    <n v="80"/>
    <n v="1"/>
    <n v="10"/>
    <n v="3"/>
    <n v="3"/>
    <n v="10"/>
    <n v="9"/>
    <n v="8"/>
    <n v="8"/>
    <n v="0"/>
    <x v="0"/>
  </r>
  <r>
    <n v="24"/>
    <s v="No"/>
    <s v="Travel_Rarely"/>
    <n v="581"/>
    <x v="1"/>
    <n v="9"/>
    <n v="3"/>
    <x v="2"/>
    <n v="1"/>
    <x v="1217"/>
    <n v="3"/>
    <s v="Male"/>
    <n v="62"/>
    <n v="4"/>
    <x v="1"/>
    <x v="1"/>
    <n v="3"/>
    <s v="Married"/>
    <n v="4401"/>
    <n v="17616"/>
    <n v="1"/>
    <s v="Y"/>
    <x v="1"/>
    <n v="16"/>
    <n v="3"/>
    <n v="4"/>
    <n v="80"/>
    <n v="1"/>
    <n v="5"/>
    <n v="1"/>
    <n v="3"/>
    <n v="5"/>
    <n v="3"/>
    <n v="0"/>
    <n v="4"/>
    <n v="0"/>
    <x v="4"/>
  </r>
  <r>
    <n v="41"/>
    <s v="No"/>
    <s v="Travel_Rarely"/>
    <n v="918"/>
    <x v="0"/>
    <n v="6"/>
    <n v="3"/>
    <x v="3"/>
    <n v="1"/>
    <x v="1218"/>
    <n v="4"/>
    <s v="Male"/>
    <n v="35"/>
    <n v="3"/>
    <x v="2"/>
    <x v="0"/>
    <n v="3"/>
    <s v="Single"/>
    <n v="9241"/>
    <n v="15869"/>
    <n v="1"/>
    <s v="Y"/>
    <x v="1"/>
    <n v="12"/>
    <n v="3"/>
    <n v="2"/>
    <n v="80"/>
    <n v="0"/>
    <n v="10"/>
    <n v="3"/>
    <n v="3"/>
    <n v="10"/>
    <n v="8"/>
    <n v="8"/>
    <n v="7"/>
    <n v="0"/>
    <x v="0"/>
  </r>
  <r>
    <n v="29"/>
    <s v="No"/>
    <s v="Travel_Rarely"/>
    <n v="1082"/>
    <x v="1"/>
    <n v="9"/>
    <n v="4"/>
    <x v="2"/>
    <n v="1"/>
    <x v="1219"/>
    <n v="4"/>
    <s v="Female"/>
    <n v="43"/>
    <n v="3"/>
    <x v="1"/>
    <x v="2"/>
    <n v="3"/>
    <s v="Married"/>
    <n v="2974"/>
    <n v="25412"/>
    <n v="9"/>
    <s v="Y"/>
    <x v="1"/>
    <n v="17"/>
    <n v="3"/>
    <n v="3"/>
    <n v="80"/>
    <n v="1"/>
    <n v="9"/>
    <n v="2"/>
    <n v="3"/>
    <n v="5"/>
    <n v="3"/>
    <n v="1"/>
    <n v="2"/>
    <n v="0"/>
    <x v="2"/>
  </r>
  <r>
    <n v="36"/>
    <s v="No"/>
    <s v="Travel_Rarely"/>
    <n v="530"/>
    <x v="0"/>
    <n v="2"/>
    <n v="4"/>
    <x v="0"/>
    <n v="1"/>
    <x v="1220"/>
    <n v="3"/>
    <s v="Female"/>
    <n v="51"/>
    <n v="3"/>
    <x v="0"/>
    <x v="6"/>
    <n v="4"/>
    <s v="Single"/>
    <n v="4502"/>
    <n v="7439"/>
    <n v="3"/>
    <s v="Y"/>
    <x v="1"/>
    <n v="15"/>
    <n v="3"/>
    <n v="3"/>
    <n v="80"/>
    <n v="0"/>
    <n v="17"/>
    <n v="2"/>
    <n v="2"/>
    <n v="13"/>
    <n v="7"/>
    <n v="6"/>
    <n v="7"/>
    <n v="0"/>
    <x v="0"/>
  </r>
  <r>
    <n v="45"/>
    <s v="No"/>
    <s v="Non-Travel"/>
    <n v="1238"/>
    <x v="1"/>
    <n v="1"/>
    <n v="1"/>
    <x v="0"/>
    <n v="1"/>
    <x v="1221"/>
    <n v="3"/>
    <s v="Male"/>
    <n v="74"/>
    <n v="2"/>
    <x v="2"/>
    <x v="4"/>
    <n v="3"/>
    <s v="Married"/>
    <n v="10748"/>
    <n v="3395"/>
    <n v="3"/>
    <s v="Y"/>
    <x v="1"/>
    <n v="23"/>
    <n v="4"/>
    <n v="4"/>
    <n v="80"/>
    <n v="1"/>
    <n v="25"/>
    <n v="3"/>
    <n v="2"/>
    <n v="23"/>
    <n v="15"/>
    <n v="14"/>
    <n v="4"/>
    <n v="0"/>
    <x v="0"/>
  </r>
  <r>
    <n v="24"/>
    <s v="Yes"/>
    <s v="Travel_Rarely"/>
    <n v="240"/>
    <x v="2"/>
    <n v="22"/>
    <n v="1"/>
    <x v="5"/>
    <n v="1"/>
    <x v="1222"/>
    <n v="4"/>
    <s v="Male"/>
    <n v="58"/>
    <n v="1"/>
    <x v="1"/>
    <x v="8"/>
    <n v="3"/>
    <s v="Married"/>
    <n v="1555"/>
    <n v="11585"/>
    <n v="1"/>
    <s v="Y"/>
    <x v="1"/>
    <n v="11"/>
    <n v="3"/>
    <n v="3"/>
    <n v="80"/>
    <n v="1"/>
    <n v="1"/>
    <n v="2"/>
    <n v="3"/>
    <n v="1"/>
    <n v="0"/>
    <n v="0"/>
    <n v="0"/>
    <n v="1"/>
    <x v="4"/>
  </r>
  <r>
    <n v="47"/>
    <s v="Yes"/>
    <s v="Travel_Frequently"/>
    <n v="1093"/>
    <x v="0"/>
    <n v="9"/>
    <n v="3"/>
    <x v="0"/>
    <n v="1"/>
    <x v="1223"/>
    <n v="3"/>
    <s v="Male"/>
    <n v="82"/>
    <n v="1"/>
    <x v="3"/>
    <x v="0"/>
    <n v="3"/>
    <s v="Married"/>
    <n v="12936"/>
    <n v="24164"/>
    <n v="7"/>
    <s v="Y"/>
    <x v="1"/>
    <n v="11"/>
    <n v="3"/>
    <n v="3"/>
    <n v="80"/>
    <n v="0"/>
    <n v="25"/>
    <n v="3"/>
    <n v="1"/>
    <n v="23"/>
    <n v="5"/>
    <n v="14"/>
    <n v="10"/>
    <n v="1"/>
    <x v="1"/>
  </r>
  <r>
    <n v="26"/>
    <s v="No"/>
    <s v="Travel_Rarely"/>
    <n v="390"/>
    <x v="1"/>
    <n v="17"/>
    <n v="4"/>
    <x v="2"/>
    <n v="1"/>
    <x v="1224"/>
    <n v="4"/>
    <s v="Male"/>
    <n v="62"/>
    <n v="1"/>
    <x v="1"/>
    <x v="2"/>
    <n v="3"/>
    <s v="Married"/>
    <n v="2305"/>
    <n v="6217"/>
    <n v="1"/>
    <s v="Y"/>
    <x v="1"/>
    <n v="15"/>
    <n v="3"/>
    <n v="3"/>
    <n v="80"/>
    <n v="3"/>
    <n v="3"/>
    <n v="3"/>
    <n v="4"/>
    <n v="3"/>
    <n v="2"/>
    <n v="0"/>
    <n v="2"/>
    <n v="0"/>
    <x v="2"/>
  </r>
  <r>
    <n v="45"/>
    <s v="No"/>
    <s v="Travel_Rarely"/>
    <n v="1005"/>
    <x v="1"/>
    <n v="28"/>
    <n v="2"/>
    <x v="4"/>
    <n v="1"/>
    <x v="1225"/>
    <n v="4"/>
    <s v="Female"/>
    <n v="48"/>
    <n v="2"/>
    <x v="3"/>
    <x v="7"/>
    <n v="2"/>
    <s v="Single"/>
    <n v="16704"/>
    <n v="17119"/>
    <n v="1"/>
    <s v="Y"/>
    <x v="1"/>
    <n v="11"/>
    <n v="3"/>
    <n v="3"/>
    <n v="80"/>
    <n v="0"/>
    <n v="21"/>
    <n v="2"/>
    <n v="3"/>
    <n v="21"/>
    <n v="6"/>
    <n v="8"/>
    <n v="6"/>
    <n v="0"/>
    <x v="0"/>
  </r>
  <r>
    <n v="32"/>
    <s v="No"/>
    <s v="Travel_Frequently"/>
    <n v="585"/>
    <x v="1"/>
    <n v="10"/>
    <n v="3"/>
    <x v="0"/>
    <n v="1"/>
    <x v="1226"/>
    <n v="1"/>
    <s v="Male"/>
    <n v="56"/>
    <n v="3"/>
    <x v="1"/>
    <x v="1"/>
    <n v="3"/>
    <s v="Married"/>
    <n v="3433"/>
    <n v="17360"/>
    <n v="6"/>
    <s v="Y"/>
    <x v="1"/>
    <n v="13"/>
    <n v="3"/>
    <n v="1"/>
    <n v="80"/>
    <n v="1"/>
    <n v="10"/>
    <n v="3"/>
    <n v="2"/>
    <n v="5"/>
    <n v="2"/>
    <n v="1"/>
    <n v="3"/>
    <n v="0"/>
    <x v="2"/>
  </r>
  <r>
    <n v="31"/>
    <s v="No"/>
    <s v="Travel_Rarely"/>
    <n v="741"/>
    <x v="1"/>
    <n v="2"/>
    <n v="4"/>
    <x v="0"/>
    <n v="1"/>
    <x v="1227"/>
    <n v="2"/>
    <s v="Male"/>
    <n v="69"/>
    <n v="3"/>
    <x v="1"/>
    <x v="2"/>
    <n v="3"/>
    <s v="Married"/>
    <n v="3477"/>
    <n v="18103"/>
    <n v="1"/>
    <s v="Y"/>
    <x v="1"/>
    <n v="14"/>
    <n v="3"/>
    <n v="4"/>
    <n v="80"/>
    <n v="1"/>
    <n v="6"/>
    <n v="2"/>
    <n v="4"/>
    <n v="5"/>
    <n v="2"/>
    <n v="0"/>
    <n v="3"/>
    <n v="0"/>
    <x v="2"/>
  </r>
  <r>
    <n v="41"/>
    <s v="No"/>
    <s v="Non-Travel"/>
    <n v="552"/>
    <x v="2"/>
    <n v="4"/>
    <n v="3"/>
    <x v="5"/>
    <n v="1"/>
    <x v="1228"/>
    <n v="3"/>
    <s v="Male"/>
    <n v="60"/>
    <n v="1"/>
    <x v="0"/>
    <x v="8"/>
    <n v="2"/>
    <s v="Married"/>
    <n v="6430"/>
    <n v="20794"/>
    <n v="6"/>
    <s v="Y"/>
    <x v="1"/>
    <n v="19"/>
    <n v="3"/>
    <n v="2"/>
    <n v="80"/>
    <n v="1"/>
    <n v="10"/>
    <n v="4"/>
    <n v="3"/>
    <n v="3"/>
    <n v="2"/>
    <n v="1"/>
    <n v="2"/>
    <n v="0"/>
    <x v="0"/>
  </r>
  <r>
    <n v="40"/>
    <s v="No"/>
    <s v="Travel_Rarely"/>
    <n v="369"/>
    <x v="1"/>
    <n v="8"/>
    <n v="2"/>
    <x v="0"/>
    <n v="1"/>
    <x v="1229"/>
    <n v="2"/>
    <s v="Female"/>
    <n v="92"/>
    <n v="3"/>
    <x v="0"/>
    <x v="3"/>
    <n v="1"/>
    <s v="Married"/>
    <n v="6516"/>
    <n v="5041"/>
    <n v="2"/>
    <s v="Y"/>
    <x v="0"/>
    <n v="16"/>
    <n v="3"/>
    <n v="2"/>
    <n v="80"/>
    <n v="1"/>
    <n v="18"/>
    <n v="3"/>
    <n v="3"/>
    <n v="1"/>
    <n v="0"/>
    <n v="0"/>
    <n v="0"/>
    <n v="0"/>
    <x v="0"/>
  </r>
  <r>
    <n v="24"/>
    <s v="No"/>
    <s v="Travel_Rarely"/>
    <n v="506"/>
    <x v="1"/>
    <n v="29"/>
    <n v="1"/>
    <x v="2"/>
    <n v="1"/>
    <x v="1230"/>
    <n v="2"/>
    <s v="Male"/>
    <n v="91"/>
    <n v="3"/>
    <x v="1"/>
    <x v="2"/>
    <n v="1"/>
    <s v="Divorced"/>
    <n v="3907"/>
    <n v="3622"/>
    <n v="1"/>
    <s v="Y"/>
    <x v="1"/>
    <n v="13"/>
    <n v="3"/>
    <n v="2"/>
    <n v="80"/>
    <n v="3"/>
    <n v="6"/>
    <n v="2"/>
    <n v="4"/>
    <n v="6"/>
    <n v="2"/>
    <n v="1"/>
    <n v="2"/>
    <n v="0"/>
    <x v="4"/>
  </r>
  <r>
    <n v="46"/>
    <s v="No"/>
    <s v="Travel_Rarely"/>
    <n v="717"/>
    <x v="1"/>
    <n v="13"/>
    <n v="4"/>
    <x v="0"/>
    <n v="1"/>
    <x v="1231"/>
    <n v="3"/>
    <s v="Male"/>
    <n v="34"/>
    <n v="3"/>
    <x v="0"/>
    <x v="4"/>
    <n v="2"/>
    <s v="Single"/>
    <n v="5562"/>
    <n v="9697"/>
    <n v="6"/>
    <s v="Y"/>
    <x v="1"/>
    <n v="14"/>
    <n v="3"/>
    <n v="4"/>
    <n v="80"/>
    <n v="0"/>
    <n v="19"/>
    <n v="3"/>
    <n v="3"/>
    <n v="10"/>
    <n v="7"/>
    <n v="0"/>
    <n v="9"/>
    <n v="0"/>
    <x v="1"/>
  </r>
  <r>
    <n v="35"/>
    <s v="No"/>
    <s v="Travel_Rarely"/>
    <n v="1370"/>
    <x v="1"/>
    <n v="27"/>
    <n v="4"/>
    <x v="0"/>
    <n v="1"/>
    <x v="1232"/>
    <n v="4"/>
    <s v="Male"/>
    <n v="49"/>
    <n v="3"/>
    <x v="0"/>
    <x v="3"/>
    <n v="3"/>
    <s v="Married"/>
    <n v="6883"/>
    <n v="5151"/>
    <n v="2"/>
    <s v="Y"/>
    <x v="1"/>
    <n v="16"/>
    <n v="3"/>
    <n v="2"/>
    <n v="80"/>
    <n v="1"/>
    <n v="17"/>
    <n v="3"/>
    <n v="3"/>
    <n v="7"/>
    <n v="7"/>
    <n v="0"/>
    <n v="7"/>
    <n v="0"/>
    <x v="2"/>
  </r>
  <r>
    <n v="30"/>
    <s v="No"/>
    <s v="Travel_Rarely"/>
    <n v="793"/>
    <x v="1"/>
    <n v="16"/>
    <n v="1"/>
    <x v="0"/>
    <n v="1"/>
    <x v="1233"/>
    <n v="2"/>
    <s v="Male"/>
    <n v="33"/>
    <n v="3"/>
    <x v="1"/>
    <x v="1"/>
    <n v="4"/>
    <s v="Married"/>
    <n v="2862"/>
    <n v="3811"/>
    <n v="1"/>
    <s v="Y"/>
    <x v="1"/>
    <n v="12"/>
    <n v="3"/>
    <n v="2"/>
    <n v="80"/>
    <n v="1"/>
    <n v="10"/>
    <n v="2"/>
    <n v="2"/>
    <n v="10"/>
    <n v="0"/>
    <n v="0"/>
    <n v="8"/>
    <n v="0"/>
    <x v="2"/>
  </r>
  <r>
    <n v="47"/>
    <s v="No"/>
    <s v="Non-Travel"/>
    <n v="543"/>
    <x v="0"/>
    <n v="2"/>
    <n v="4"/>
    <x v="3"/>
    <n v="1"/>
    <x v="1234"/>
    <n v="3"/>
    <s v="Male"/>
    <n v="87"/>
    <n v="3"/>
    <x v="0"/>
    <x v="0"/>
    <n v="2"/>
    <s v="Married"/>
    <n v="4978"/>
    <n v="3536"/>
    <n v="7"/>
    <s v="Y"/>
    <x v="1"/>
    <n v="11"/>
    <n v="3"/>
    <n v="4"/>
    <n v="80"/>
    <n v="1"/>
    <n v="4"/>
    <n v="3"/>
    <n v="1"/>
    <n v="1"/>
    <n v="0"/>
    <n v="0"/>
    <n v="0"/>
    <n v="0"/>
    <x v="1"/>
  </r>
  <r>
    <n v="46"/>
    <s v="No"/>
    <s v="Travel_Rarely"/>
    <n v="1277"/>
    <x v="0"/>
    <n v="2"/>
    <n v="3"/>
    <x v="0"/>
    <n v="1"/>
    <x v="1235"/>
    <n v="3"/>
    <s v="Male"/>
    <n v="74"/>
    <n v="3"/>
    <x v="2"/>
    <x v="0"/>
    <n v="4"/>
    <s v="Divorced"/>
    <n v="10368"/>
    <n v="5596"/>
    <n v="4"/>
    <s v="Y"/>
    <x v="0"/>
    <n v="12"/>
    <n v="3"/>
    <n v="2"/>
    <n v="80"/>
    <n v="1"/>
    <n v="13"/>
    <n v="5"/>
    <n v="2"/>
    <n v="10"/>
    <n v="6"/>
    <n v="0"/>
    <n v="3"/>
    <n v="0"/>
    <x v="1"/>
  </r>
  <r>
    <n v="36"/>
    <s v="Yes"/>
    <s v="Travel_Rarely"/>
    <n v="1456"/>
    <x v="0"/>
    <n v="13"/>
    <n v="5"/>
    <x v="3"/>
    <n v="1"/>
    <x v="1236"/>
    <n v="2"/>
    <s v="Male"/>
    <n v="96"/>
    <n v="2"/>
    <x v="0"/>
    <x v="0"/>
    <n v="1"/>
    <s v="Divorced"/>
    <n v="6134"/>
    <n v="8658"/>
    <n v="5"/>
    <s v="Y"/>
    <x v="0"/>
    <n v="13"/>
    <n v="3"/>
    <n v="2"/>
    <n v="80"/>
    <n v="3"/>
    <n v="16"/>
    <n v="3"/>
    <n v="3"/>
    <n v="2"/>
    <n v="2"/>
    <n v="2"/>
    <n v="2"/>
    <n v="1"/>
    <x v="0"/>
  </r>
  <r>
    <n v="32"/>
    <s v="Yes"/>
    <s v="Travel_Rarely"/>
    <n v="964"/>
    <x v="0"/>
    <n v="1"/>
    <n v="2"/>
    <x v="0"/>
    <n v="1"/>
    <x v="1237"/>
    <n v="1"/>
    <s v="Male"/>
    <n v="34"/>
    <n v="1"/>
    <x v="0"/>
    <x v="0"/>
    <n v="2"/>
    <s v="Single"/>
    <n v="6735"/>
    <n v="12147"/>
    <n v="6"/>
    <s v="Y"/>
    <x v="1"/>
    <n v="15"/>
    <n v="3"/>
    <n v="2"/>
    <n v="80"/>
    <n v="0"/>
    <n v="10"/>
    <n v="2"/>
    <n v="3"/>
    <n v="0"/>
    <n v="0"/>
    <n v="0"/>
    <n v="0"/>
    <n v="1"/>
    <x v="2"/>
  </r>
  <r>
    <n v="23"/>
    <s v="No"/>
    <s v="Travel_Rarely"/>
    <n v="160"/>
    <x v="1"/>
    <n v="4"/>
    <n v="1"/>
    <x v="2"/>
    <n v="1"/>
    <x v="1238"/>
    <n v="3"/>
    <s v="Female"/>
    <n v="51"/>
    <n v="3"/>
    <x v="1"/>
    <x v="2"/>
    <n v="2"/>
    <s v="Single"/>
    <n v="3295"/>
    <n v="12862"/>
    <n v="1"/>
    <s v="Y"/>
    <x v="1"/>
    <n v="13"/>
    <n v="3"/>
    <n v="3"/>
    <n v="80"/>
    <n v="0"/>
    <n v="3"/>
    <n v="3"/>
    <n v="1"/>
    <n v="3"/>
    <n v="2"/>
    <n v="1"/>
    <n v="2"/>
    <n v="0"/>
    <x v="4"/>
  </r>
  <r>
    <n v="31"/>
    <s v="No"/>
    <s v="Travel_Frequently"/>
    <n v="163"/>
    <x v="1"/>
    <n v="24"/>
    <n v="1"/>
    <x v="4"/>
    <n v="1"/>
    <x v="1239"/>
    <n v="4"/>
    <s v="Female"/>
    <n v="30"/>
    <n v="3"/>
    <x v="0"/>
    <x v="3"/>
    <n v="4"/>
    <s v="Single"/>
    <n v="5238"/>
    <n v="6670"/>
    <n v="2"/>
    <s v="Y"/>
    <x v="1"/>
    <n v="20"/>
    <n v="4"/>
    <n v="4"/>
    <n v="80"/>
    <n v="0"/>
    <n v="9"/>
    <n v="3"/>
    <n v="2"/>
    <n v="5"/>
    <n v="4"/>
    <n v="1"/>
    <n v="4"/>
    <n v="0"/>
    <x v="2"/>
  </r>
  <r>
    <n v="39"/>
    <s v="No"/>
    <s v="Non-Travel"/>
    <n v="792"/>
    <x v="1"/>
    <n v="1"/>
    <n v="3"/>
    <x v="0"/>
    <n v="1"/>
    <x v="1240"/>
    <n v="4"/>
    <s v="Male"/>
    <n v="77"/>
    <n v="3"/>
    <x v="0"/>
    <x v="2"/>
    <n v="4"/>
    <s v="Married"/>
    <n v="6472"/>
    <n v="8989"/>
    <n v="1"/>
    <s v="Y"/>
    <x v="0"/>
    <n v="15"/>
    <n v="3"/>
    <n v="4"/>
    <n v="80"/>
    <n v="1"/>
    <n v="9"/>
    <n v="2"/>
    <n v="3"/>
    <n v="9"/>
    <n v="8"/>
    <n v="5"/>
    <n v="8"/>
    <n v="0"/>
    <x v="0"/>
  </r>
  <r>
    <n v="32"/>
    <s v="No"/>
    <s v="Travel_Rarely"/>
    <n v="371"/>
    <x v="0"/>
    <n v="19"/>
    <n v="3"/>
    <x v="0"/>
    <n v="1"/>
    <x v="1241"/>
    <n v="4"/>
    <s v="Male"/>
    <n v="80"/>
    <n v="1"/>
    <x v="2"/>
    <x v="0"/>
    <n v="3"/>
    <s v="Married"/>
    <n v="9610"/>
    <n v="3840"/>
    <n v="3"/>
    <s v="Y"/>
    <x v="1"/>
    <n v="13"/>
    <n v="3"/>
    <n v="3"/>
    <n v="80"/>
    <n v="1"/>
    <n v="10"/>
    <n v="2"/>
    <n v="1"/>
    <n v="4"/>
    <n v="3"/>
    <n v="0"/>
    <n v="2"/>
    <n v="0"/>
    <x v="2"/>
  </r>
  <r>
    <n v="40"/>
    <s v="No"/>
    <s v="Travel_Rarely"/>
    <n v="611"/>
    <x v="0"/>
    <n v="7"/>
    <n v="4"/>
    <x v="2"/>
    <n v="1"/>
    <x v="1242"/>
    <n v="2"/>
    <s v="Male"/>
    <n v="88"/>
    <n v="3"/>
    <x v="4"/>
    <x v="5"/>
    <n v="2"/>
    <s v="Single"/>
    <n v="19833"/>
    <n v="4349"/>
    <n v="1"/>
    <s v="Y"/>
    <x v="1"/>
    <n v="14"/>
    <n v="3"/>
    <n v="2"/>
    <n v="80"/>
    <n v="0"/>
    <n v="21"/>
    <n v="3"/>
    <n v="2"/>
    <n v="21"/>
    <n v="8"/>
    <n v="12"/>
    <n v="8"/>
    <n v="0"/>
    <x v="0"/>
  </r>
  <r>
    <n v="45"/>
    <s v="No"/>
    <s v="Travel_Rarely"/>
    <n v="176"/>
    <x v="2"/>
    <n v="4"/>
    <n v="3"/>
    <x v="0"/>
    <n v="1"/>
    <x v="1243"/>
    <n v="3"/>
    <s v="Female"/>
    <n v="56"/>
    <n v="1"/>
    <x v="2"/>
    <x v="8"/>
    <n v="3"/>
    <s v="Married"/>
    <n v="9756"/>
    <n v="6595"/>
    <n v="4"/>
    <s v="Y"/>
    <x v="1"/>
    <n v="21"/>
    <n v="4"/>
    <n v="3"/>
    <n v="80"/>
    <n v="2"/>
    <n v="9"/>
    <n v="2"/>
    <n v="4"/>
    <n v="5"/>
    <n v="0"/>
    <n v="0"/>
    <n v="3"/>
    <n v="0"/>
    <x v="0"/>
  </r>
  <r>
    <n v="30"/>
    <s v="No"/>
    <s v="Travel_Frequently"/>
    <n v="1312"/>
    <x v="1"/>
    <n v="2"/>
    <n v="4"/>
    <x v="4"/>
    <n v="1"/>
    <x v="1244"/>
    <n v="4"/>
    <s v="Female"/>
    <n v="78"/>
    <n v="2"/>
    <x v="1"/>
    <x v="1"/>
    <n v="1"/>
    <s v="Single"/>
    <n v="4968"/>
    <n v="26427"/>
    <n v="0"/>
    <s v="Y"/>
    <x v="1"/>
    <n v="16"/>
    <n v="3"/>
    <n v="4"/>
    <n v="80"/>
    <n v="0"/>
    <n v="10"/>
    <n v="2"/>
    <n v="3"/>
    <n v="9"/>
    <n v="7"/>
    <n v="0"/>
    <n v="7"/>
    <n v="0"/>
    <x v="2"/>
  </r>
  <r>
    <n v="24"/>
    <s v="No"/>
    <s v="Travel_Frequently"/>
    <n v="897"/>
    <x v="2"/>
    <n v="10"/>
    <n v="3"/>
    <x v="2"/>
    <n v="1"/>
    <x v="1245"/>
    <n v="1"/>
    <s v="Male"/>
    <n v="59"/>
    <n v="3"/>
    <x v="1"/>
    <x v="8"/>
    <n v="4"/>
    <s v="Married"/>
    <n v="2145"/>
    <n v="2097"/>
    <n v="0"/>
    <s v="Y"/>
    <x v="1"/>
    <n v="14"/>
    <n v="3"/>
    <n v="4"/>
    <n v="80"/>
    <n v="1"/>
    <n v="3"/>
    <n v="2"/>
    <n v="3"/>
    <n v="2"/>
    <n v="2"/>
    <n v="2"/>
    <n v="1"/>
    <n v="0"/>
    <x v="4"/>
  </r>
  <r>
    <n v="30"/>
    <s v="Yes"/>
    <s v="Travel_Frequently"/>
    <n v="600"/>
    <x v="2"/>
    <n v="8"/>
    <n v="3"/>
    <x v="5"/>
    <n v="1"/>
    <x v="1246"/>
    <n v="3"/>
    <s v="Female"/>
    <n v="66"/>
    <n v="2"/>
    <x v="1"/>
    <x v="8"/>
    <n v="4"/>
    <s v="Divorced"/>
    <n v="2180"/>
    <n v="9732"/>
    <n v="6"/>
    <s v="Y"/>
    <x v="1"/>
    <n v="11"/>
    <n v="3"/>
    <n v="3"/>
    <n v="80"/>
    <n v="1"/>
    <n v="6"/>
    <n v="0"/>
    <n v="2"/>
    <n v="4"/>
    <n v="2"/>
    <n v="1"/>
    <n v="2"/>
    <n v="1"/>
    <x v="2"/>
  </r>
  <r>
    <n v="31"/>
    <s v="No"/>
    <s v="Travel_Rarely"/>
    <n v="1003"/>
    <x v="0"/>
    <n v="5"/>
    <n v="3"/>
    <x v="4"/>
    <n v="1"/>
    <x v="1247"/>
    <n v="1"/>
    <s v="Male"/>
    <n v="51"/>
    <n v="3"/>
    <x v="0"/>
    <x v="0"/>
    <n v="3"/>
    <s v="Married"/>
    <n v="8346"/>
    <n v="20943"/>
    <n v="1"/>
    <s v="Y"/>
    <x v="1"/>
    <n v="19"/>
    <n v="3"/>
    <n v="3"/>
    <n v="80"/>
    <n v="1"/>
    <n v="6"/>
    <n v="3"/>
    <n v="3"/>
    <n v="5"/>
    <n v="2"/>
    <n v="0"/>
    <n v="2"/>
    <n v="0"/>
    <x v="2"/>
  </r>
  <r>
    <n v="27"/>
    <s v="No"/>
    <s v="Travel_Rarely"/>
    <n v="1054"/>
    <x v="1"/>
    <n v="8"/>
    <n v="3"/>
    <x v="2"/>
    <n v="1"/>
    <x v="1248"/>
    <n v="3"/>
    <s v="Female"/>
    <n v="67"/>
    <n v="3"/>
    <x v="1"/>
    <x v="1"/>
    <n v="4"/>
    <s v="Single"/>
    <n v="3445"/>
    <n v="6152"/>
    <n v="1"/>
    <s v="Y"/>
    <x v="1"/>
    <n v="11"/>
    <n v="3"/>
    <n v="3"/>
    <n v="80"/>
    <n v="0"/>
    <n v="6"/>
    <n v="5"/>
    <n v="2"/>
    <n v="6"/>
    <n v="2"/>
    <n v="1"/>
    <n v="4"/>
    <n v="0"/>
    <x v="2"/>
  </r>
  <r>
    <n v="29"/>
    <s v="Yes"/>
    <s v="Travel_Rarely"/>
    <n v="428"/>
    <x v="0"/>
    <n v="9"/>
    <n v="3"/>
    <x v="3"/>
    <n v="1"/>
    <x v="1249"/>
    <n v="2"/>
    <s v="Female"/>
    <n v="52"/>
    <n v="1"/>
    <x v="1"/>
    <x v="6"/>
    <n v="2"/>
    <s v="Single"/>
    <n v="2760"/>
    <n v="14630"/>
    <n v="1"/>
    <s v="Y"/>
    <x v="1"/>
    <n v="13"/>
    <n v="3"/>
    <n v="3"/>
    <n v="80"/>
    <n v="0"/>
    <n v="2"/>
    <n v="3"/>
    <n v="3"/>
    <n v="2"/>
    <n v="2"/>
    <n v="2"/>
    <n v="2"/>
    <n v="1"/>
    <x v="2"/>
  </r>
  <r>
    <n v="29"/>
    <s v="No"/>
    <s v="Travel_Frequently"/>
    <n v="461"/>
    <x v="1"/>
    <n v="1"/>
    <n v="3"/>
    <x v="0"/>
    <n v="1"/>
    <x v="1250"/>
    <n v="4"/>
    <s v="Male"/>
    <n v="70"/>
    <n v="4"/>
    <x v="0"/>
    <x v="4"/>
    <n v="3"/>
    <s v="Single"/>
    <n v="6294"/>
    <n v="23060"/>
    <n v="8"/>
    <s v="Y"/>
    <x v="0"/>
    <n v="12"/>
    <n v="3"/>
    <n v="4"/>
    <n v="80"/>
    <n v="0"/>
    <n v="10"/>
    <n v="5"/>
    <n v="4"/>
    <n v="3"/>
    <n v="2"/>
    <n v="0"/>
    <n v="2"/>
    <n v="0"/>
    <x v="2"/>
  </r>
  <r>
    <n v="30"/>
    <s v="No"/>
    <s v="Travel_Rarely"/>
    <n v="979"/>
    <x v="0"/>
    <n v="15"/>
    <n v="2"/>
    <x v="3"/>
    <n v="1"/>
    <x v="1251"/>
    <n v="3"/>
    <s v="Male"/>
    <n v="94"/>
    <n v="2"/>
    <x v="2"/>
    <x v="0"/>
    <n v="1"/>
    <s v="Divorced"/>
    <n v="7140"/>
    <n v="3088"/>
    <n v="2"/>
    <s v="Y"/>
    <x v="1"/>
    <n v="11"/>
    <n v="3"/>
    <n v="1"/>
    <n v="80"/>
    <n v="1"/>
    <n v="12"/>
    <n v="2"/>
    <n v="3"/>
    <n v="7"/>
    <n v="7"/>
    <n v="1"/>
    <n v="7"/>
    <n v="0"/>
    <x v="2"/>
  </r>
  <r>
    <n v="34"/>
    <s v="No"/>
    <s v="Travel_Rarely"/>
    <n v="181"/>
    <x v="1"/>
    <n v="2"/>
    <n v="4"/>
    <x v="2"/>
    <n v="1"/>
    <x v="1252"/>
    <n v="4"/>
    <s v="Male"/>
    <n v="97"/>
    <n v="4"/>
    <x v="1"/>
    <x v="1"/>
    <n v="4"/>
    <s v="Married"/>
    <n v="2932"/>
    <n v="5586"/>
    <n v="0"/>
    <s v="Y"/>
    <x v="0"/>
    <n v="14"/>
    <n v="3"/>
    <n v="1"/>
    <n v="80"/>
    <n v="3"/>
    <n v="6"/>
    <n v="3"/>
    <n v="3"/>
    <n v="5"/>
    <n v="0"/>
    <n v="1"/>
    <n v="2"/>
    <n v="0"/>
    <x v="2"/>
  </r>
  <r>
    <n v="33"/>
    <s v="No"/>
    <s v="Non-Travel"/>
    <n v="1283"/>
    <x v="0"/>
    <n v="2"/>
    <n v="3"/>
    <x v="3"/>
    <n v="1"/>
    <x v="1253"/>
    <n v="4"/>
    <s v="Female"/>
    <n v="62"/>
    <n v="3"/>
    <x v="0"/>
    <x v="0"/>
    <n v="2"/>
    <s v="Single"/>
    <n v="5147"/>
    <n v="10697"/>
    <n v="8"/>
    <s v="Y"/>
    <x v="1"/>
    <n v="15"/>
    <n v="3"/>
    <n v="4"/>
    <n v="80"/>
    <n v="0"/>
    <n v="13"/>
    <n v="2"/>
    <n v="2"/>
    <n v="11"/>
    <n v="7"/>
    <n v="1"/>
    <n v="7"/>
    <n v="0"/>
    <x v="2"/>
  </r>
  <r>
    <n v="49"/>
    <s v="No"/>
    <s v="Travel_Rarely"/>
    <n v="1313"/>
    <x v="0"/>
    <n v="11"/>
    <n v="4"/>
    <x v="3"/>
    <n v="1"/>
    <x v="1254"/>
    <n v="4"/>
    <s v="Female"/>
    <n v="80"/>
    <n v="3"/>
    <x v="0"/>
    <x v="0"/>
    <n v="4"/>
    <s v="Single"/>
    <n v="4507"/>
    <n v="8191"/>
    <n v="3"/>
    <s v="Y"/>
    <x v="1"/>
    <n v="12"/>
    <n v="3"/>
    <n v="3"/>
    <n v="80"/>
    <n v="0"/>
    <n v="8"/>
    <n v="1"/>
    <n v="4"/>
    <n v="5"/>
    <n v="1"/>
    <n v="0"/>
    <n v="4"/>
    <n v="0"/>
    <x v="1"/>
  </r>
  <r>
    <n v="33"/>
    <s v="Yes"/>
    <s v="Travel_Rarely"/>
    <n v="211"/>
    <x v="0"/>
    <n v="16"/>
    <n v="3"/>
    <x v="0"/>
    <n v="1"/>
    <x v="1255"/>
    <n v="1"/>
    <s v="Female"/>
    <n v="74"/>
    <n v="3"/>
    <x v="2"/>
    <x v="0"/>
    <n v="1"/>
    <s v="Single"/>
    <n v="8564"/>
    <n v="10092"/>
    <n v="2"/>
    <s v="Y"/>
    <x v="0"/>
    <n v="20"/>
    <n v="4"/>
    <n v="3"/>
    <n v="80"/>
    <n v="0"/>
    <n v="11"/>
    <n v="2"/>
    <n v="2"/>
    <n v="0"/>
    <n v="0"/>
    <n v="0"/>
    <n v="0"/>
    <n v="1"/>
    <x v="2"/>
  </r>
  <r>
    <n v="38"/>
    <s v="No"/>
    <s v="Travel_Frequently"/>
    <n v="594"/>
    <x v="1"/>
    <n v="2"/>
    <n v="2"/>
    <x v="2"/>
    <n v="1"/>
    <x v="1256"/>
    <n v="3"/>
    <s v="Female"/>
    <n v="75"/>
    <n v="2"/>
    <x v="1"/>
    <x v="2"/>
    <n v="2"/>
    <s v="Married"/>
    <n v="2468"/>
    <n v="15963"/>
    <n v="4"/>
    <s v="Y"/>
    <x v="1"/>
    <n v="14"/>
    <n v="3"/>
    <n v="2"/>
    <n v="80"/>
    <n v="1"/>
    <n v="9"/>
    <n v="4"/>
    <n v="2"/>
    <n v="6"/>
    <n v="1"/>
    <n v="0"/>
    <n v="5"/>
    <n v="0"/>
    <x v="0"/>
  </r>
  <r>
    <n v="31"/>
    <s v="Yes"/>
    <s v="Travel_Rarely"/>
    <n v="1079"/>
    <x v="0"/>
    <n v="16"/>
    <n v="4"/>
    <x v="3"/>
    <n v="1"/>
    <x v="1257"/>
    <n v="1"/>
    <s v="Male"/>
    <n v="70"/>
    <n v="3"/>
    <x v="2"/>
    <x v="0"/>
    <n v="3"/>
    <s v="Married"/>
    <n v="8161"/>
    <n v="19002"/>
    <n v="2"/>
    <s v="Y"/>
    <x v="1"/>
    <n v="13"/>
    <n v="3"/>
    <n v="1"/>
    <n v="80"/>
    <n v="3"/>
    <n v="10"/>
    <n v="2"/>
    <n v="3"/>
    <n v="1"/>
    <n v="0"/>
    <n v="0"/>
    <n v="0"/>
    <n v="1"/>
    <x v="2"/>
  </r>
  <r>
    <n v="29"/>
    <s v="No"/>
    <s v="Travel_Rarely"/>
    <n v="590"/>
    <x v="1"/>
    <n v="4"/>
    <n v="3"/>
    <x v="4"/>
    <n v="1"/>
    <x v="1258"/>
    <n v="4"/>
    <s v="Female"/>
    <n v="91"/>
    <n v="2"/>
    <x v="1"/>
    <x v="1"/>
    <n v="1"/>
    <s v="Divorced"/>
    <n v="2109"/>
    <n v="10007"/>
    <n v="1"/>
    <s v="Y"/>
    <x v="1"/>
    <n v="13"/>
    <n v="3"/>
    <n v="3"/>
    <n v="80"/>
    <n v="1"/>
    <n v="1"/>
    <n v="2"/>
    <n v="3"/>
    <n v="1"/>
    <n v="0"/>
    <n v="0"/>
    <n v="0"/>
    <n v="0"/>
    <x v="2"/>
  </r>
  <r>
    <n v="30"/>
    <s v="No"/>
    <s v="Travel_Rarely"/>
    <n v="305"/>
    <x v="1"/>
    <n v="16"/>
    <n v="3"/>
    <x v="0"/>
    <n v="1"/>
    <x v="1259"/>
    <n v="3"/>
    <s v="Male"/>
    <n v="58"/>
    <n v="4"/>
    <x v="0"/>
    <x v="4"/>
    <n v="3"/>
    <s v="Married"/>
    <n v="5294"/>
    <n v="9128"/>
    <n v="3"/>
    <s v="Y"/>
    <x v="1"/>
    <n v="16"/>
    <n v="3"/>
    <n v="3"/>
    <n v="80"/>
    <n v="1"/>
    <n v="10"/>
    <n v="3"/>
    <n v="3"/>
    <n v="7"/>
    <n v="0"/>
    <n v="1"/>
    <n v="7"/>
    <n v="0"/>
    <x v="2"/>
  </r>
  <r>
    <n v="32"/>
    <s v="No"/>
    <s v="Non-Travel"/>
    <n v="953"/>
    <x v="1"/>
    <n v="5"/>
    <n v="4"/>
    <x v="4"/>
    <n v="1"/>
    <x v="1260"/>
    <n v="2"/>
    <s v="Male"/>
    <n v="65"/>
    <n v="3"/>
    <x v="1"/>
    <x v="1"/>
    <n v="2"/>
    <s v="Single"/>
    <n v="2718"/>
    <n v="17674"/>
    <n v="2"/>
    <s v="Y"/>
    <x v="1"/>
    <n v="14"/>
    <n v="3"/>
    <n v="2"/>
    <n v="80"/>
    <n v="0"/>
    <n v="12"/>
    <n v="3"/>
    <n v="3"/>
    <n v="7"/>
    <n v="7"/>
    <n v="0"/>
    <n v="7"/>
    <n v="0"/>
    <x v="2"/>
  </r>
  <r>
    <n v="38"/>
    <s v="No"/>
    <s v="Travel_Rarely"/>
    <n v="833"/>
    <x v="1"/>
    <n v="18"/>
    <n v="3"/>
    <x v="2"/>
    <n v="1"/>
    <x v="1261"/>
    <n v="2"/>
    <s v="Male"/>
    <n v="60"/>
    <n v="1"/>
    <x v="0"/>
    <x v="4"/>
    <n v="4"/>
    <s v="Married"/>
    <n v="5811"/>
    <n v="24539"/>
    <n v="3"/>
    <s v="Y"/>
    <x v="0"/>
    <n v="16"/>
    <n v="3"/>
    <n v="3"/>
    <n v="80"/>
    <n v="1"/>
    <n v="15"/>
    <n v="2"/>
    <n v="3"/>
    <n v="1"/>
    <n v="0"/>
    <n v="1"/>
    <n v="0"/>
    <n v="0"/>
    <x v="0"/>
  </r>
  <r>
    <n v="43"/>
    <s v="Yes"/>
    <s v="Travel_Frequently"/>
    <n v="807"/>
    <x v="1"/>
    <n v="17"/>
    <n v="3"/>
    <x v="4"/>
    <n v="1"/>
    <x v="1262"/>
    <n v="3"/>
    <s v="Male"/>
    <n v="38"/>
    <n v="2"/>
    <x v="1"/>
    <x v="1"/>
    <n v="3"/>
    <s v="Married"/>
    <n v="2437"/>
    <n v="15587"/>
    <n v="9"/>
    <s v="Y"/>
    <x v="0"/>
    <n v="16"/>
    <n v="3"/>
    <n v="4"/>
    <n v="80"/>
    <n v="1"/>
    <n v="6"/>
    <n v="4"/>
    <n v="3"/>
    <n v="1"/>
    <n v="0"/>
    <n v="0"/>
    <n v="0"/>
    <n v="1"/>
    <x v="0"/>
  </r>
  <r>
    <n v="42"/>
    <s v="No"/>
    <s v="Travel_Rarely"/>
    <n v="855"/>
    <x v="1"/>
    <n v="12"/>
    <n v="3"/>
    <x v="2"/>
    <n v="1"/>
    <x v="1263"/>
    <n v="2"/>
    <s v="Male"/>
    <n v="57"/>
    <n v="3"/>
    <x v="1"/>
    <x v="2"/>
    <n v="2"/>
    <s v="Divorced"/>
    <n v="2766"/>
    <n v="8952"/>
    <n v="8"/>
    <s v="Y"/>
    <x v="1"/>
    <n v="22"/>
    <n v="4"/>
    <n v="2"/>
    <n v="80"/>
    <n v="3"/>
    <n v="7"/>
    <n v="6"/>
    <n v="2"/>
    <n v="5"/>
    <n v="3"/>
    <n v="0"/>
    <n v="4"/>
    <n v="0"/>
    <x v="0"/>
  </r>
  <r>
    <n v="55"/>
    <s v="No"/>
    <s v="Travel_Rarely"/>
    <n v="478"/>
    <x v="1"/>
    <n v="2"/>
    <n v="3"/>
    <x v="2"/>
    <n v="1"/>
    <x v="1264"/>
    <n v="3"/>
    <s v="Male"/>
    <n v="60"/>
    <n v="2"/>
    <x v="4"/>
    <x v="7"/>
    <n v="1"/>
    <s v="Married"/>
    <n v="19038"/>
    <n v="19805"/>
    <n v="8"/>
    <s v="Y"/>
    <x v="1"/>
    <n v="12"/>
    <n v="3"/>
    <n v="2"/>
    <n v="80"/>
    <n v="3"/>
    <n v="34"/>
    <n v="2"/>
    <n v="3"/>
    <n v="1"/>
    <n v="0"/>
    <n v="0"/>
    <n v="0"/>
    <n v="0"/>
    <x v="1"/>
  </r>
  <r>
    <n v="33"/>
    <s v="No"/>
    <s v="Non-Travel"/>
    <n v="775"/>
    <x v="1"/>
    <n v="4"/>
    <n v="3"/>
    <x v="4"/>
    <n v="1"/>
    <x v="1265"/>
    <n v="4"/>
    <s v="Male"/>
    <n v="90"/>
    <n v="3"/>
    <x v="0"/>
    <x v="1"/>
    <n v="2"/>
    <s v="Divorced"/>
    <n v="3055"/>
    <n v="6194"/>
    <n v="5"/>
    <s v="Y"/>
    <x v="1"/>
    <n v="15"/>
    <n v="3"/>
    <n v="4"/>
    <n v="80"/>
    <n v="2"/>
    <n v="11"/>
    <n v="2"/>
    <n v="2"/>
    <n v="9"/>
    <n v="8"/>
    <n v="1"/>
    <n v="7"/>
    <n v="0"/>
    <x v="2"/>
  </r>
  <r>
    <n v="41"/>
    <s v="No"/>
    <s v="Travel_Rarely"/>
    <n v="548"/>
    <x v="1"/>
    <n v="9"/>
    <n v="4"/>
    <x v="0"/>
    <n v="1"/>
    <x v="1266"/>
    <n v="3"/>
    <s v="Male"/>
    <n v="94"/>
    <n v="3"/>
    <x v="1"/>
    <x v="2"/>
    <n v="1"/>
    <s v="Divorced"/>
    <n v="2289"/>
    <n v="20520"/>
    <n v="1"/>
    <s v="Y"/>
    <x v="1"/>
    <n v="20"/>
    <n v="4"/>
    <n v="2"/>
    <n v="80"/>
    <n v="2"/>
    <n v="5"/>
    <n v="2"/>
    <n v="3"/>
    <n v="5"/>
    <n v="3"/>
    <n v="0"/>
    <n v="4"/>
    <n v="0"/>
    <x v="0"/>
  </r>
  <r>
    <n v="34"/>
    <s v="No"/>
    <s v="Non-Travel"/>
    <n v="1375"/>
    <x v="0"/>
    <n v="10"/>
    <n v="3"/>
    <x v="0"/>
    <n v="1"/>
    <x v="1267"/>
    <n v="4"/>
    <s v="Male"/>
    <n v="87"/>
    <n v="3"/>
    <x v="0"/>
    <x v="0"/>
    <n v="3"/>
    <s v="Divorced"/>
    <n v="4001"/>
    <n v="12313"/>
    <n v="1"/>
    <s v="Y"/>
    <x v="0"/>
    <n v="14"/>
    <n v="3"/>
    <n v="3"/>
    <n v="80"/>
    <n v="1"/>
    <n v="15"/>
    <n v="3"/>
    <n v="3"/>
    <n v="15"/>
    <n v="14"/>
    <n v="0"/>
    <n v="7"/>
    <n v="0"/>
    <x v="2"/>
  </r>
  <r>
    <n v="53"/>
    <s v="No"/>
    <s v="Non-Travel"/>
    <n v="661"/>
    <x v="1"/>
    <n v="1"/>
    <n v="4"/>
    <x v="2"/>
    <n v="1"/>
    <x v="1268"/>
    <n v="1"/>
    <s v="Female"/>
    <n v="60"/>
    <n v="2"/>
    <x v="3"/>
    <x v="3"/>
    <n v="3"/>
    <s v="Married"/>
    <n v="12965"/>
    <n v="22308"/>
    <n v="4"/>
    <s v="Y"/>
    <x v="0"/>
    <n v="20"/>
    <n v="4"/>
    <n v="4"/>
    <n v="80"/>
    <n v="3"/>
    <n v="27"/>
    <n v="2"/>
    <n v="2"/>
    <n v="3"/>
    <n v="2"/>
    <n v="0"/>
    <n v="2"/>
    <n v="0"/>
    <x v="1"/>
  </r>
  <r>
    <n v="43"/>
    <s v="No"/>
    <s v="Travel_Rarely"/>
    <n v="244"/>
    <x v="2"/>
    <n v="2"/>
    <n v="3"/>
    <x v="0"/>
    <n v="1"/>
    <x v="1269"/>
    <n v="2"/>
    <s v="Male"/>
    <n v="97"/>
    <n v="3"/>
    <x v="1"/>
    <x v="8"/>
    <n v="4"/>
    <s v="Single"/>
    <n v="3539"/>
    <n v="5033"/>
    <n v="0"/>
    <s v="Y"/>
    <x v="1"/>
    <n v="13"/>
    <n v="3"/>
    <n v="2"/>
    <n v="80"/>
    <n v="0"/>
    <n v="10"/>
    <n v="5"/>
    <n v="3"/>
    <n v="9"/>
    <n v="7"/>
    <n v="1"/>
    <n v="8"/>
    <n v="0"/>
    <x v="0"/>
  </r>
  <r>
    <n v="34"/>
    <s v="No"/>
    <s v="Travel_Rarely"/>
    <n v="511"/>
    <x v="0"/>
    <n v="3"/>
    <n v="2"/>
    <x v="0"/>
    <n v="1"/>
    <x v="1270"/>
    <n v="4"/>
    <s v="Female"/>
    <n v="32"/>
    <n v="1"/>
    <x v="0"/>
    <x v="0"/>
    <n v="4"/>
    <s v="Single"/>
    <n v="6029"/>
    <n v="25353"/>
    <n v="5"/>
    <s v="Y"/>
    <x v="1"/>
    <n v="12"/>
    <n v="3"/>
    <n v="1"/>
    <n v="80"/>
    <n v="0"/>
    <n v="6"/>
    <n v="3"/>
    <n v="3"/>
    <n v="2"/>
    <n v="2"/>
    <n v="2"/>
    <n v="2"/>
    <n v="0"/>
    <x v="2"/>
  </r>
  <r>
    <n v="21"/>
    <s v="Yes"/>
    <s v="Travel_Rarely"/>
    <n v="337"/>
    <x v="0"/>
    <n v="7"/>
    <n v="1"/>
    <x v="3"/>
    <n v="1"/>
    <x v="1271"/>
    <n v="2"/>
    <s v="Male"/>
    <n v="31"/>
    <n v="3"/>
    <x v="1"/>
    <x v="6"/>
    <n v="2"/>
    <s v="Single"/>
    <n v="2679"/>
    <n v="4567"/>
    <n v="1"/>
    <s v="Y"/>
    <x v="1"/>
    <n v="13"/>
    <n v="3"/>
    <n v="2"/>
    <n v="80"/>
    <n v="0"/>
    <n v="1"/>
    <n v="3"/>
    <n v="3"/>
    <n v="1"/>
    <n v="0"/>
    <n v="1"/>
    <n v="0"/>
    <n v="1"/>
    <x v="4"/>
  </r>
  <r>
    <n v="38"/>
    <s v="No"/>
    <s v="Travel_Rarely"/>
    <n v="1153"/>
    <x v="1"/>
    <n v="6"/>
    <n v="2"/>
    <x v="1"/>
    <n v="1"/>
    <x v="1272"/>
    <n v="4"/>
    <s v="Female"/>
    <n v="40"/>
    <n v="2"/>
    <x v="1"/>
    <x v="2"/>
    <n v="3"/>
    <s v="Married"/>
    <n v="3702"/>
    <n v="16376"/>
    <n v="1"/>
    <s v="Y"/>
    <x v="1"/>
    <n v="11"/>
    <n v="3"/>
    <n v="2"/>
    <n v="80"/>
    <n v="1"/>
    <n v="5"/>
    <n v="3"/>
    <n v="3"/>
    <n v="5"/>
    <n v="4"/>
    <n v="0"/>
    <n v="4"/>
    <n v="0"/>
    <x v="0"/>
  </r>
  <r>
    <n v="22"/>
    <s v="Yes"/>
    <s v="Travel_Rarely"/>
    <n v="1294"/>
    <x v="1"/>
    <n v="8"/>
    <n v="1"/>
    <x v="2"/>
    <n v="1"/>
    <x v="1273"/>
    <n v="3"/>
    <s v="Female"/>
    <n v="79"/>
    <n v="3"/>
    <x v="1"/>
    <x v="2"/>
    <n v="1"/>
    <s v="Married"/>
    <n v="2398"/>
    <n v="15999"/>
    <n v="1"/>
    <s v="Y"/>
    <x v="0"/>
    <n v="17"/>
    <n v="3"/>
    <n v="3"/>
    <n v="80"/>
    <n v="0"/>
    <n v="1"/>
    <n v="6"/>
    <n v="3"/>
    <n v="1"/>
    <n v="0"/>
    <n v="0"/>
    <n v="0"/>
    <n v="1"/>
    <x v="4"/>
  </r>
  <r>
    <n v="31"/>
    <s v="No"/>
    <s v="Travel_Rarely"/>
    <n v="196"/>
    <x v="0"/>
    <n v="29"/>
    <n v="4"/>
    <x v="3"/>
    <n v="1"/>
    <x v="1274"/>
    <n v="1"/>
    <s v="Female"/>
    <n v="91"/>
    <n v="2"/>
    <x v="0"/>
    <x v="0"/>
    <n v="4"/>
    <s v="Married"/>
    <n v="5468"/>
    <n v="13402"/>
    <n v="1"/>
    <s v="Y"/>
    <x v="1"/>
    <n v="14"/>
    <n v="3"/>
    <n v="1"/>
    <n v="80"/>
    <n v="2"/>
    <n v="13"/>
    <n v="3"/>
    <n v="3"/>
    <n v="12"/>
    <n v="7"/>
    <n v="5"/>
    <n v="7"/>
    <n v="0"/>
    <x v="2"/>
  </r>
  <r>
    <n v="51"/>
    <s v="No"/>
    <s v="Travel_Rarely"/>
    <n v="942"/>
    <x v="1"/>
    <n v="3"/>
    <n v="3"/>
    <x v="4"/>
    <n v="1"/>
    <x v="1275"/>
    <n v="1"/>
    <s v="Female"/>
    <n v="53"/>
    <n v="3"/>
    <x v="2"/>
    <x v="5"/>
    <n v="3"/>
    <s v="Married"/>
    <n v="13116"/>
    <n v="22984"/>
    <n v="2"/>
    <s v="Y"/>
    <x v="1"/>
    <n v="11"/>
    <n v="3"/>
    <n v="4"/>
    <n v="80"/>
    <n v="0"/>
    <n v="15"/>
    <n v="2"/>
    <n v="3"/>
    <n v="2"/>
    <n v="2"/>
    <n v="2"/>
    <n v="2"/>
    <n v="0"/>
    <x v="1"/>
  </r>
  <r>
    <n v="37"/>
    <s v="No"/>
    <s v="Travel_Rarely"/>
    <n v="589"/>
    <x v="0"/>
    <n v="9"/>
    <n v="2"/>
    <x v="3"/>
    <n v="1"/>
    <x v="1276"/>
    <n v="2"/>
    <s v="Male"/>
    <n v="46"/>
    <n v="2"/>
    <x v="0"/>
    <x v="0"/>
    <n v="2"/>
    <s v="Married"/>
    <n v="4189"/>
    <n v="8800"/>
    <n v="1"/>
    <s v="Y"/>
    <x v="1"/>
    <n v="14"/>
    <n v="3"/>
    <n v="1"/>
    <n v="80"/>
    <n v="2"/>
    <n v="5"/>
    <n v="2"/>
    <n v="3"/>
    <n v="5"/>
    <n v="2"/>
    <n v="0"/>
    <n v="3"/>
    <n v="0"/>
    <x v="0"/>
  </r>
  <r>
    <n v="46"/>
    <s v="No"/>
    <s v="Travel_Rarely"/>
    <n v="734"/>
    <x v="1"/>
    <n v="2"/>
    <n v="4"/>
    <x v="2"/>
    <n v="1"/>
    <x v="1277"/>
    <n v="3"/>
    <s v="Male"/>
    <n v="46"/>
    <n v="3"/>
    <x v="4"/>
    <x v="7"/>
    <n v="4"/>
    <s v="Divorced"/>
    <n v="19328"/>
    <n v="14218"/>
    <n v="7"/>
    <s v="Y"/>
    <x v="0"/>
    <n v="17"/>
    <n v="3"/>
    <n v="3"/>
    <n v="80"/>
    <n v="1"/>
    <n v="24"/>
    <n v="3"/>
    <n v="3"/>
    <n v="2"/>
    <n v="1"/>
    <n v="2"/>
    <n v="2"/>
    <n v="0"/>
    <x v="1"/>
  </r>
  <r>
    <n v="36"/>
    <s v="No"/>
    <s v="Travel_Rarely"/>
    <n v="1383"/>
    <x v="1"/>
    <n v="10"/>
    <n v="3"/>
    <x v="0"/>
    <n v="1"/>
    <x v="1278"/>
    <n v="4"/>
    <s v="Male"/>
    <n v="90"/>
    <n v="3"/>
    <x v="2"/>
    <x v="4"/>
    <n v="1"/>
    <s v="Married"/>
    <n v="8321"/>
    <n v="25949"/>
    <n v="7"/>
    <s v="Y"/>
    <x v="0"/>
    <n v="13"/>
    <n v="3"/>
    <n v="4"/>
    <n v="80"/>
    <n v="1"/>
    <n v="15"/>
    <n v="1"/>
    <n v="3"/>
    <n v="12"/>
    <n v="8"/>
    <n v="5"/>
    <n v="7"/>
    <n v="0"/>
    <x v="0"/>
  </r>
  <r>
    <n v="44"/>
    <s v="Yes"/>
    <s v="Travel_Frequently"/>
    <n v="429"/>
    <x v="1"/>
    <n v="1"/>
    <n v="2"/>
    <x v="2"/>
    <n v="1"/>
    <x v="1279"/>
    <n v="3"/>
    <s v="Male"/>
    <n v="99"/>
    <n v="3"/>
    <x v="1"/>
    <x v="1"/>
    <n v="2"/>
    <s v="Divorced"/>
    <n v="2342"/>
    <n v="11092"/>
    <n v="1"/>
    <s v="Y"/>
    <x v="0"/>
    <n v="12"/>
    <n v="3"/>
    <n v="3"/>
    <n v="80"/>
    <n v="3"/>
    <n v="6"/>
    <n v="2"/>
    <n v="2"/>
    <n v="5"/>
    <n v="3"/>
    <n v="2"/>
    <n v="3"/>
    <n v="1"/>
    <x v="0"/>
  </r>
  <r>
    <n v="37"/>
    <s v="No"/>
    <s v="Travel_Rarely"/>
    <n v="1239"/>
    <x v="2"/>
    <n v="8"/>
    <n v="2"/>
    <x v="1"/>
    <n v="1"/>
    <x v="1280"/>
    <n v="3"/>
    <s v="Male"/>
    <n v="89"/>
    <n v="3"/>
    <x v="0"/>
    <x v="8"/>
    <n v="2"/>
    <s v="Divorced"/>
    <n v="4071"/>
    <n v="12832"/>
    <n v="2"/>
    <s v="Y"/>
    <x v="1"/>
    <n v="13"/>
    <n v="3"/>
    <n v="3"/>
    <n v="80"/>
    <n v="0"/>
    <n v="19"/>
    <n v="4"/>
    <n v="2"/>
    <n v="10"/>
    <n v="0"/>
    <n v="4"/>
    <n v="7"/>
    <n v="0"/>
    <x v="0"/>
  </r>
  <r>
    <n v="35"/>
    <s v="Yes"/>
    <s v="Travel_Rarely"/>
    <n v="303"/>
    <x v="0"/>
    <n v="27"/>
    <n v="3"/>
    <x v="0"/>
    <n v="1"/>
    <x v="1281"/>
    <n v="3"/>
    <s v="Male"/>
    <n v="84"/>
    <n v="3"/>
    <x v="0"/>
    <x v="0"/>
    <n v="4"/>
    <s v="Single"/>
    <n v="5813"/>
    <n v="13492"/>
    <n v="1"/>
    <s v="Y"/>
    <x v="0"/>
    <n v="18"/>
    <n v="3"/>
    <n v="4"/>
    <n v="80"/>
    <n v="0"/>
    <n v="10"/>
    <n v="2"/>
    <n v="3"/>
    <n v="10"/>
    <n v="7"/>
    <n v="7"/>
    <n v="7"/>
    <n v="1"/>
    <x v="2"/>
  </r>
  <r>
    <n v="33"/>
    <s v="No"/>
    <s v="Travel_Rarely"/>
    <n v="867"/>
    <x v="1"/>
    <n v="8"/>
    <n v="4"/>
    <x v="0"/>
    <n v="1"/>
    <x v="1282"/>
    <n v="4"/>
    <s v="Male"/>
    <n v="90"/>
    <n v="4"/>
    <x v="1"/>
    <x v="1"/>
    <n v="1"/>
    <s v="Married"/>
    <n v="3143"/>
    <n v="6076"/>
    <n v="6"/>
    <s v="Y"/>
    <x v="1"/>
    <n v="19"/>
    <n v="3"/>
    <n v="2"/>
    <n v="80"/>
    <n v="1"/>
    <n v="14"/>
    <n v="1"/>
    <n v="3"/>
    <n v="10"/>
    <n v="8"/>
    <n v="7"/>
    <n v="6"/>
    <n v="0"/>
    <x v="2"/>
  </r>
  <r>
    <n v="28"/>
    <s v="No"/>
    <s v="Travel_Rarely"/>
    <n v="1181"/>
    <x v="1"/>
    <n v="1"/>
    <n v="3"/>
    <x v="0"/>
    <n v="1"/>
    <x v="1283"/>
    <n v="3"/>
    <s v="Male"/>
    <n v="82"/>
    <n v="3"/>
    <x v="1"/>
    <x v="1"/>
    <n v="4"/>
    <s v="Married"/>
    <n v="2044"/>
    <n v="5531"/>
    <n v="1"/>
    <s v="Y"/>
    <x v="1"/>
    <n v="11"/>
    <n v="3"/>
    <n v="3"/>
    <n v="80"/>
    <n v="1"/>
    <n v="5"/>
    <n v="6"/>
    <n v="4"/>
    <n v="5"/>
    <n v="3"/>
    <n v="0"/>
    <n v="3"/>
    <n v="0"/>
    <x v="2"/>
  </r>
  <r>
    <n v="39"/>
    <s v="No"/>
    <s v="Travel_Rarely"/>
    <n v="1253"/>
    <x v="1"/>
    <n v="10"/>
    <n v="1"/>
    <x v="2"/>
    <n v="1"/>
    <x v="1284"/>
    <n v="3"/>
    <s v="Male"/>
    <n v="65"/>
    <n v="3"/>
    <x v="2"/>
    <x v="7"/>
    <n v="3"/>
    <s v="Single"/>
    <n v="13464"/>
    <n v="7914"/>
    <n v="7"/>
    <s v="Y"/>
    <x v="1"/>
    <n v="21"/>
    <n v="4"/>
    <n v="3"/>
    <n v="80"/>
    <n v="0"/>
    <n v="9"/>
    <n v="3"/>
    <n v="3"/>
    <n v="4"/>
    <n v="3"/>
    <n v="2"/>
    <n v="2"/>
    <n v="0"/>
    <x v="0"/>
  </r>
  <r>
    <n v="46"/>
    <s v="No"/>
    <s v="Non-Travel"/>
    <n v="849"/>
    <x v="0"/>
    <n v="26"/>
    <n v="2"/>
    <x v="0"/>
    <n v="1"/>
    <x v="1285"/>
    <n v="2"/>
    <s v="Male"/>
    <n v="98"/>
    <n v="2"/>
    <x v="0"/>
    <x v="0"/>
    <n v="2"/>
    <s v="Single"/>
    <n v="7991"/>
    <n v="25166"/>
    <n v="8"/>
    <s v="Y"/>
    <x v="1"/>
    <n v="15"/>
    <n v="3"/>
    <n v="3"/>
    <n v="80"/>
    <n v="0"/>
    <n v="6"/>
    <n v="3"/>
    <n v="3"/>
    <n v="2"/>
    <n v="2"/>
    <n v="2"/>
    <n v="2"/>
    <n v="0"/>
    <x v="1"/>
  </r>
  <r>
    <n v="40"/>
    <s v="No"/>
    <s v="Travel_Rarely"/>
    <n v="616"/>
    <x v="1"/>
    <n v="2"/>
    <n v="2"/>
    <x v="0"/>
    <n v="1"/>
    <x v="1286"/>
    <n v="3"/>
    <s v="Female"/>
    <n v="99"/>
    <n v="3"/>
    <x v="1"/>
    <x v="2"/>
    <n v="1"/>
    <s v="Married"/>
    <n v="3377"/>
    <n v="25605"/>
    <n v="4"/>
    <s v="Y"/>
    <x v="1"/>
    <n v="17"/>
    <n v="3"/>
    <n v="4"/>
    <n v="80"/>
    <n v="1"/>
    <n v="7"/>
    <n v="5"/>
    <n v="2"/>
    <n v="4"/>
    <n v="3"/>
    <n v="0"/>
    <n v="2"/>
    <n v="0"/>
    <x v="0"/>
  </r>
  <r>
    <n v="42"/>
    <s v="No"/>
    <s v="Travel_Rarely"/>
    <n v="1128"/>
    <x v="1"/>
    <n v="13"/>
    <n v="3"/>
    <x v="2"/>
    <n v="1"/>
    <x v="1287"/>
    <n v="2"/>
    <s v="Male"/>
    <n v="95"/>
    <n v="4"/>
    <x v="0"/>
    <x v="4"/>
    <n v="1"/>
    <s v="Married"/>
    <n v="5538"/>
    <n v="5696"/>
    <n v="5"/>
    <s v="Y"/>
    <x v="1"/>
    <n v="18"/>
    <n v="3"/>
    <n v="3"/>
    <n v="80"/>
    <n v="2"/>
    <n v="10"/>
    <n v="2"/>
    <n v="2"/>
    <n v="0"/>
    <n v="0"/>
    <n v="0"/>
    <n v="0"/>
    <n v="0"/>
    <x v="0"/>
  </r>
  <r>
    <n v="35"/>
    <s v="No"/>
    <s v="Non-Travel"/>
    <n v="1180"/>
    <x v="1"/>
    <n v="2"/>
    <n v="2"/>
    <x v="2"/>
    <n v="1"/>
    <x v="1288"/>
    <n v="2"/>
    <s v="Male"/>
    <n v="90"/>
    <n v="3"/>
    <x v="0"/>
    <x v="3"/>
    <n v="4"/>
    <s v="Divorced"/>
    <n v="5762"/>
    <n v="24442"/>
    <n v="2"/>
    <s v="Y"/>
    <x v="1"/>
    <n v="14"/>
    <n v="3"/>
    <n v="3"/>
    <n v="80"/>
    <n v="1"/>
    <n v="15"/>
    <n v="6"/>
    <n v="3"/>
    <n v="7"/>
    <n v="7"/>
    <n v="1"/>
    <n v="7"/>
    <n v="0"/>
    <x v="2"/>
  </r>
  <r>
    <n v="38"/>
    <s v="No"/>
    <s v="Non-Travel"/>
    <n v="1336"/>
    <x v="2"/>
    <n v="2"/>
    <n v="3"/>
    <x v="5"/>
    <n v="1"/>
    <x v="1289"/>
    <n v="1"/>
    <s v="Male"/>
    <n v="100"/>
    <n v="3"/>
    <x v="1"/>
    <x v="8"/>
    <n v="2"/>
    <s v="Divorced"/>
    <n v="2592"/>
    <n v="7129"/>
    <n v="5"/>
    <s v="Y"/>
    <x v="1"/>
    <n v="13"/>
    <n v="3"/>
    <n v="4"/>
    <n v="80"/>
    <n v="3"/>
    <n v="13"/>
    <n v="3"/>
    <n v="3"/>
    <n v="11"/>
    <n v="10"/>
    <n v="3"/>
    <n v="8"/>
    <n v="0"/>
    <x v="0"/>
  </r>
  <r>
    <n v="34"/>
    <s v="Yes"/>
    <s v="Travel_Frequently"/>
    <n v="234"/>
    <x v="1"/>
    <n v="9"/>
    <n v="4"/>
    <x v="0"/>
    <n v="1"/>
    <x v="1290"/>
    <n v="4"/>
    <s v="Male"/>
    <n v="93"/>
    <n v="3"/>
    <x v="0"/>
    <x v="2"/>
    <n v="1"/>
    <s v="Married"/>
    <n v="5346"/>
    <n v="6208"/>
    <n v="4"/>
    <s v="Y"/>
    <x v="1"/>
    <n v="17"/>
    <n v="3"/>
    <n v="3"/>
    <n v="80"/>
    <n v="1"/>
    <n v="11"/>
    <n v="3"/>
    <n v="2"/>
    <n v="7"/>
    <n v="1"/>
    <n v="0"/>
    <n v="7"/>
    <n v="1"/>
    <x v="2"/>
  </r>
  <r>
    <n v="37"/>
    <s v="Yes"/>
    <s v="Travel_Rarely"/>
    <n v="370"/>
    <x v="1"/>
    <n v="10"/>
    <n v="4"/>
    <x v="2"/>
    <n v="1"/>
    <x v="1291"/>
    <n v="4"/>
    <s v="Male"/>
    <n v="58"/>
    <n v="3"/>
    <x v="0"/>
    <x v="3"/>
    <n v="1"/>
    <s v="Single"/>
    <n v="4213"/>
    <n v="4992"/>
    <n v="1"/>
    <s v="Y"/>
    <x v="1"/>
    <n v="15"/>
    <n v="3"/>
    <n v="2"/>
    <n v="80"/>
    <n v="0"/>
    <n v="10"/>
    <n v="4"/>
    <n v="1"/>
    <n v="10"/>
    <n v="3"/>
    <n v="0"/>
    <n v="8"/>
    <n v="1"/>
    <x v="0"/>
  </r>
  <r>
    <n v="39"/>
    <s v="No"/>
    <s v="Travel_Frequently"/>
    <n v="766"/>
    <x v="0"/>
    <n v="20"/>
    <n v="3"/>
    <x v="0"/>
    <n v="1"/>
    <x v="1292"/>
    <n v="3"/>
    <s v="Male"/>
    <n v="83"/>
    <n v="3"/>
    <x v="0"/>
    <x v="0"/>
    <n v="4"/>
    <s v="Divorced"/>
    <n v="4127"/>
    <n v="19188"/>
    <n v="2"/>
    <s v="Y"/>
    <x v="1"/>
    <n v="18"/>
    <n v="3"/>
    <n v="4"/>
    <n v="80"/>
    <n v="1"/>
    <n v="7"/>
    <n v="6"/>
    <n v="3"/>
    <n v="2"/>
    <n v="1"/>
    <n v="2"/>
    <n v="2"/>
    <n v="0"/>
    <x v="0"/>
  </r>
  <r>
    <n v="43"/>
    <s v="No"/>
    <s v="Non-Travel"/>
    <n v="343"/>
    <x v="1"/>
    <n v="9"/>
    <n v="3"/>
    <x v="0"/>
    <n v="1"/>
    <x v="1293"/>
    <n v="1"/>
    <s v="Male"/>
    <n v="52"/>
    <n v="3"/>
    <x v="1"/>
    <x v="1"/>
    <n v="3"/>
    <s v="Single"/>
    <n v="2438"/>
    <n v="24978"/>
    <n v="4"/>
    <s v="Y"/>
    <x v="1"/>
    <n v="13"/>
    <n v="3"/>
    <n v="3"/>
    <n v="80"/>
    <n v="0"/>
    <n v="7"/>
    <n v="2"/>
    <n v="2"/>
    <n v="3"/>
    <n v="2"/>
    <n v="1"/>
    <n v="2"/>
    <n v="0"/>
    <x v="0"/>
  </r>
  <r>
    <n v="41"/>
    <s v="No"/>
    <s v="Travel_Rarely"/>
    <n v="447"/>
    <x v="1"/>
    <n v="5"/>
    <n v="3"/>
    <x v="0"/>
    <n v="1"/>
    <x v="1294"/>
    <n v="2"/>
    <s v="Male"/>
    <n v="85"/>
    <n v="4"/>
    <x v="0"/>
    <x v="4"/>
    <n v="2"/>
    <s v="Single"/>
    <n v="6870"/>
    <n v="15530"/>
    <n v="3"/>
    <s v="Y"/>
    <x v="1"/>
    <n v="12"/>
    <n v="3"/>
    <n v="1"/>
    <n v="80"/>
    <n v="0"/>
    <n v="11"/>
    <n v="3"/>
    <n v="1"/>
    <n v="3"/>
    <n v="2"/>
    <n v="1"/>
    <n v="2"/>
    <n v="0"/>
    <x v="0"/>
  </r>
  <r>
    <n v="41"/>
    <s v="No"/>
    <s v="Travel_Rarely"/>
    <n v="796"/>
    <x v="0"/>
    <n v="4"/>
    <n v="1"/>
    <x v="3"/>
    <n v="1"/>
    <x v="1295"/>
    <n v="3"/>
    <s v="Female"/>
    <n v="81"/>
    <n v="3"/>
    <x v="2"/>
    <x v="0"/>
    <n v="3"/>
    <s v="Divorced"/>
    <n v="10447"/>
    <n v="26458"/>
    <n v="0"/>
    <s v="Y"/>
    <x v="0"/>
    <n v="13"/>
    <n v="3"/>
    <n v="4"/>
    <n v="80"/>
    <n v="1"/>
    <n v="23"/>
    <n v="3"/>
    <n v="4"/>
    <n v="22"/>
    <n v="14"/>
    <n v="13"/>
    <n v="5"/>
    <n v="0"/>
    <x v="0"/>
  </r>
  <r>
    <n v="30"/>
    <s v="No"/>
    <s v="Travel_Rarely"/>
    <n v="1092"/>
    <x v="1"/>
    <n v="10"/>
    <n v="3"/>
    <x v="2"/>
    <n v="1"/>
    <x v="1296"/>
    <n v="1"/>
    <s v="Female"/>
    <n v="64"/>
    <n v="3"/>
    <x v="2"/>
    <x v="3"/>
    <n v="3"/>
    <s v="Single"/>
    <n v="9667"/>
    <n v="2739"/>
    <n v="9"/>
    <s v="Y"/>
    <x v="1"/>
    <n v="14"/>
    <n v="3"/>
    <n v="2"/>
    <n v="80"/>
    <n v="0"/>
    <n v="9"/>
    <n v="3"/>
    <n v="3"/>
    <n v="7"/>
    <n v="7"/>
    <n v="0"/>
    <n v="2"/>
    <n v="0"/>
    <x v="2"/>
  </r>
  <r>
    <n v="26"/>
    <s v="Yes"/>
    <s v="Travel_Rarely"/>
    <n v="920"/>
    <x v="2"/>
    <n v="20"/>
    <n v="2"/>
    <x v="2"/>
    <n v="1"/>
    <x v="1297"/>
    <n v="4"/>
    <s v="Female"/>
    <n v="69"/>
    <n v="3"/>
    <x v="1"/>
    <x v="8"/>
    <n v="2"/>
    <s v="Married"/>
    <n v="2148"/>
    <n v="6889"/>
    <n v="0"/>
    <s v="Y"/>
    <x v="0"/>
    <n v="11"/>
    <n v="3"/>
    <n v="3"/>
    <n v="80"/>
    <n v="0"/>
    <n v="6"/>
    <n v="3"/>
    <n v="3"/>
    <n v="5"/>
    <n v="1"/>
    <n v="1"/>
    <n v="4"/>
    <n v="1"/>
    <x v="2"/>
  </r>
  <r>
    <n v="46"/>
    <s v="Yes"/>
    <s v="Travel_Rarely"/>
    <n v="261"/>
    <x v="1"/>
    <n v="21"/>
    <n v="2"/>
    <x v="2"/>
    <n v="1"/>
    <x v="1298"/>
    <n v="4"/>
    <s v="Female"/>
    <n v="66"/>
    <n v="3"/>
    <x v="0"/>
    <x v="4"/>
    <n v="2"/>
    <s v="Married"/>
    <n v="8926"/>
    <n v="10842"/>
    <n v="4"/>
    <s v="Y"/>
    <x v="1"/>
    <n v="22"/>
    <n v="4"/>
    <n v="4"/>
    <n v="80"/>
    <n v="1"/>
    <n v="13"/>
    <n v="2"/>
    <n v="4"/>
    <n v="9"/>
    <n v="7"/>
    <n v="3"/>
    <n v="7"/>
    <n v="1"/>
    <x v="1"/>
  </r>
  <r>
    <n v="40"/>
    <s v="No"/>
    <s v="Travel_Rarely"/>
    <n v="1194"/>
    <x v="1"/>
    <n v="1"/>
    <n v="3"/>
    <x v="0"/>
    <n v="1"/>
    <x v="1299"/>
    <n v="3"/>
    <s v="Female"/>
    <n v="52"/>
    <n v="3"/>
    <x v="0"/>
    <x v="4"/>
    <n v="4"/>
    <s v="Divorced"/>
    <n v="6513"/>
    <n v="9060"/>
    <n v="4"/>
    <s v="Y"/>
    <x v="1"/>
    <n v="17"/>
    <n v="3"/>
    <n v="4"/>
    <n v="80"/>
    <n v="1"/>
    <n v="12"/>
    <n v="3"/>
    <n v="3"/>
    <n v="5"/>
    <n v="3"/>
    <n v="0"/>
    <n v="3"/>
    <n v="0"/>
    <x v="0"/>
  </r>
  <r>
    <n v="34"/>
    <s v="No"/>
    <s v="Travel_Rarely"/>
    <n v="810"/>
    <x v="0"/>
    <n v="8"/>
    <n v="2"/>
    <x v="4"/>
    <n v="1"/>
    <x v="1300"/>
    <n v="2"/>
    <s v="Male"/>
    <n v="92"/>
    <n v="4"/>
    <x v="0"/>
    <x v="0"/>
    <n v="3"/>
    <s v="Married"/>
    <n v="6799"/>
    <n v="22128"/>
    <n v="1"/>
    <s v="Y"/>
    <x v="1"/>
    <n v="21"/>
    <n v="4"/>
    <n v="3"/>
    <n v="80"/>
    <n v="2"/>
    <n v="10"/>
    <n v="5"/>
    <n v="3"/>
    <n v="10"/>
    <n v="8"/>
    <n v="4"/>
    <n v="8"/>
    <n v="0"/>
    <x v="2"/>
  </r>
  <r>
    <n v="58"/>
    <s v="No"/>
    <s v="Non-Travel"/>
    <n v="350"/>
    <x v="0"/>
    <n v="2"/>
    <n v="3"/>
    <x v="2"/>
    <n v="1"/>
    <x v="1301"/>
    <n v="2"/>
    <s v="Male"/>
    <n v="52"/>
    <n v="3"/>
    <x v="3"/>
    <x v="5"/>
    <n v="2"/>
    <s v="Divorced"/>
    <n v="16291"/>
    <n v="22577"/>
    <n v="4"/>
    <s v="Y"/>
    <x v="1"/>
    <n v="22"/>
    <n v="4"/>
    <n v="4"/>
    <n v="80"/>
    <n v="1"/>
    <n v="37"/>
    <n v="0"/>
    <n v="2"/>
    <n v="16"/>
    <n v="9"/>
    <n v="14"/>
    <n v="14"/>
    <n v="0"/>
    <x v="3"/>
  </r>
  <r>
    <n v="35"/>
    <s v="No"/>
    <s v="Travel_Rarely"/>
    <n v="185"/>
    <x v="1"/>
    <n v="23"/>
    <n v="4"/>
    <x v="2"/>
    <n v="1"/>
    <x v="1302"/>
    <n v="2"/>
    <s v="Male"/>
    <n v="91"/>
    <n v="1"/>
    <x v="1"/>
    <x v="2"/>
    <n v="3"/>
    <s v="Married"/>
    <n v="2705"/>
    <n v="9696"/>
    <n v="0"/>
    <s v="Y"/>
    <x v="1"/>
    <n v="16"/>
    <n v="3"/>
    <n v="2"/>
    <n v="80"/>
    <n v="1"/>
    <n v="6"/>
    <n v="2"/>
    <n v="4"/>
    <n v="5"/>
    <n v="4"/>
    <n v="0"/>
    <n v="3"/>
    <n v="0"/>
    <x v="2"/>
  </r>
  <r>
    <n v="47"/>
    <s v="No"/>
    <s v="Travel_Rarely"/>
    <n v="1001"/>
    <x v="1"/>
    <n v="4"/>
    <n v="3"/>
    <x v="0"/>
    <n v="1"/>
    <x v="1303"/>
    <n v="3"/>
    <s v="Female"/>
    <n v="92"/>
    <n v="2"/>
    <x v="2"/>
    <x v="3"/>
    <n v="2"/>
    <s v="Divorced"/>
    <n v="10333"/>
    <n v="19271"/>
    <n v="8"/>
    <s v="Y"/>
    <x v="0"/>
    <n v="12"/>
    <n v="3"/>
    <n v="3"/>
    <n v="80"/>
    <n v="1"/>
    <n v="28"/>
    <n v="4"/>
    <n v="3"/>
    <n v="22"/>
    <n v="11"/>
    <n v="14"/>
    <n v="10"/>
    <n v="0"/>
    <x v="1"/>
  </r>
  <r>
    <n v="40"/>
    <s v="No"/>
    <s v="Travel_Rarely"/>
    <n v="750"/>
    <x v="1"/>
    <n v="12"/>
    <n v="3"/>
    <x v="0"/>
    <n v="1"/>
    <x v="1304"/>
    <n v="2"/>
    <s v="Female"/>
    <n v="47"/>
    <n v="3"/>
    <x v="0"/>
    <x v="4"/>
    <n v="1"/>
    <s v="Divorced"/>
    <n v="4448"/>
    <n v="10748"/>
    <n v="2"/>
    <s v="Y"/>
    <x v="1"/>
    <n v="12"/>
    <n v="3"/>
    <n v="2"/>
    <n v="80"/>
    <n v="1"/>
    <n v="15"/>
    <n v="3"/>
    <n v="3"/>
    <n v="7"/>
    <n v="4"/>
    <n v="7"/>
    <n v="7"/>
    <n v="0"/>
    <x v="0"/>
  </r>
  <r>
    <n v="54"/>
    <s v="No"/>
    <s v="Travel_Rarely"/>
    <n v="431"/>
    <x v="1"/>
    <n v="7"/>
    <n v="4"/>
    <x v="2"/>
    <n v="1"/>
    <x v="1305"/>
    <n v="4"/>
    <s v="Female"/>
    <n v="68"/>
    <n v="3"/>
    <x v="0"/>
    <x v="1"/>
    <n v="4"/>
    <s v="Married"/>
    <n v="6854"/>
    <n v="15696"/>
    <n v="4"/>
    <s v="Y"/>
    <x v="1"/>
    <n v="15"/>
    <n v="3"/>
    <n v="2"/>
    <n v="80"/>
    <n v="1"/>
    <n v="14"/>
    <n v="2"/>
    <n v="2"/>
    <n v="7"/>
    <n v="1"/>
    <n v="1"/>
    <n v="7"/>
    <n v="0"/>
    <x v="1"/>
  </r>
  <r>
    <n v="31"/>
    <s v="No"/>
    <s v="Travel_Frequently"/>
    <n v="1125"/>
    <x v="0"/>
    <n v="7"/>
    <n v="4"/>
    <x v="3"/>
    <n v="1"/>
    <x v="1306"/>
    <n v="1"/>
    <s v="Female"/>
    <n v="68"/>
    <n v="3"/>
    <x v="2"/>
    <x v="0"/>
    <n v="1"/>
    <s v="Married"/>
    <n v="9637"/>
    <n v="8277"/>
    <n v="2"/>
    <s v="Y"/>
    <x v="1"/>
    <n v="14"/>
    <n v="3"/>
    <n v="4"/>
    <n v="80"/>
    <n v="2"/>
    <n v="9"/>
    <n v="3"/>
    <n v="3"/>
    <n v="3"/>
    <n v="2"/>
    <n v="2"/>
    <n v="2"/>
    <n v="0"/>
    <x v="2"/>
  </r>
  <r>
    <n v="28"/>
    <s v="No"/>
    <s v="Travel_Rarely"/>
    <n v="1217"/>
    <x v="1"/>
    <n v="1"/>
    <n v="3"/>
    <x v="2"/>
    <n v="1"/>
    <x v="1307"/>
    <n v="3"/>
    <s v="Female"/>
    <n v="67"/>
    <n v="3"/>
    <x v="1"/>
    <x v="1"/>
    <n v="1"/>
    <s v="Married"/>
    <n v="3591"/>
    <n v="12719"/>
    <n v="1"/>
    <s v="Y"/>
    <x v="1"/>
    <n v="25"/>
    <n v="4"/>
    <n v="3"/>
    <n v="80"/>
    <n v="1"/>
    <n v="3"/>
    <n v="3"/>
    <n v="3"/>
    <n v="3"/>
    <n v="2"/>
    <n v="1"/>
    <n v="2"/>
    <n v="0"/>
    <x v="2"/>
  </r>
  <r>
    <n v="38"/>
    <s v="No"/>
    <s v="Travel_Rarely"/>
    <n v="723"/>
    <x v="0"/>
    <n v="2"/>
    <n v="4"/>
    <x v="3"/>
    <n v="1"/>
    <x v="1308"/>
    <n v="2"/>
    <s v="Female"/>
    <n v="77"/>
    <n v="1"/>
    <x v="0"/>
    <x v="6"/>
    <n v="4"/>
    <s v="Married"/>
    <n v="5405"/>
    <n v="4244"/>
    <n v="2"/>
    <s v="Y"/>
    <x v="0"/>
    <n v="20"/>
    <n v="4"/>
    <n v="1"/>
    <n v="80"/>
    <n v="2"/>
    <n v="20"/>
    <n v="4"/>
    <n v="2"/>
    <n v="4"/>
    <n v="2"/>
    <n v="0"/>
    <n v="3"/>
    <n v="0"/>
    <x v="0"/>
  </r>
  <r>
    <n v="26"/>
    <s v="No"/>
    <s v="Travel_Rarely"/>
    <n v="572"/>
    <x v="0"/>
    <n v="10"/>
    <n v="3"/>
    <x v="2"/>
    <n v="1"/>
    <x v="1309"/>
    <n v="3"/>
    <s v="Male"/>
    <n v="46"/>
    <n v="3"/>
    <x v="0"/>
    <x v="0"/>
    <n v="4"/>
    <s v="Single"/>
    <n v="4684"/>
    <n v="9125"/>
    <n v="1"/>
    <s v="Y"/>
    <x v="1"/>
    <n v="13"/>
    <n v="3"/>
    <n v="1"/>
    <n v="80"/>
    <n v="0"/>
    <n v="5"/>
    <n v="4"/>
    <n v="3"/>
    <n v="5"/>
    <n v="3"/>
    <n v="1"/>
    <n v="2"/>
    <n v="0"/>
    <x v="2"/>
  </r>
  <r>
    <n v="58"/>
    <s v="No"/>
    <s v="Travel_Frequently"/>
    <n v="1216"/>
    <x v="1"/>
    <n v="15"/>
    <n v="4"/>
    <x v="0"/>
    <n v="1"/>
    <x v="1310"/>
    <n v="1"/>
    <s v="Male"/>
    <n v="87"/>
    <n v="3"/>
    <x v="3"/>
    <x v="7"/>
    <n v="3"/>
    <s v="Married"/>
    <n v="15787"/>
    <n v="21624"/>
    <n v="2"/>
    <s v="Y"/>
    <x v="0"/>
    <n v="14"/>
    <n v="3"/>
    <n v="2"/>
    <n v="80"/>
    <n v="0"/>
    <n v="23"/>
    <n v="3"/>
    <n v="3"/>
    <n v="2"/>
    <n v="2"/>
    <n v="2"/>
    <n v="2"/>
    <n v="0"/>
    <x v="3"/>
  </r>
  <r>
    <n v="18"/>
    <s v="No"/>
    <s v="Non-Travel"/>
    <n v="1431"/>
    <x v="1"/>
    <n v="14"/>
    <n v="3"/>
    <x v="2"/>
    <n v="1"/>
    <x v="1311"/>
    <n v="2"/>
    <s v="Female"/>
    <n v="33"/>
    <n v="3"/>
    <x v="1"/>
    <x v="1"/>
    <n v="3"/>
    <s v="Single"/>
    <n v="1514"/>
    <n v="8018"/>
    <n v="1"/>
    <s v="Y"/>
    <x v="1"/>
    <n v="16"/>
    <n v="3"/>
    <n v="3"/>
    <n v="80"/>
    <n v="0"/>
    <n v="0"/>
    <n v="4"/>
    <n v="1"/>
    <n v="0"/>
    <n v="0"/>
    <n v="0"/>
    <n v="0"/>
    <n v="0"/>
    <x v="4"/>
  </r>
  <r>
    <n v="31"/>
    <s v="Yes"/>
    <s v="Travel_Rarely"/>
    <n v="359"/>
    <x v="2"/>
    <n v="18"/>
    <n v="5"/>
    <x v="5"/>
    <n v="1"/>
    <x v="1312"/>
    <n v="4"/>
    <s v="Male"/>
    <n v="89"/>
    <n v="4"/>
    <x v="1"/>
    <x v="8"/>
    <n v="1"/>
    <s v="Married"/>
    <n v="2956"/>
    <n v="21495"/>
    <n v="0"/>
    <s v="Y"/>
    <x v="1"/>
    <n v="17"/>
    <n v="3"/>
    <n v="3"/>
    <n v="80"/>
    <n v="0"/>
    <n v="2"/>
    <n v="4"/>
    <n v="3"/>
    <n v="1"/>
    <n v="0"/>
    <n v="0"/>
    <n v="0"/>
    <n v="1"/>
    <x v="2"/>
  </r>
  <r>
    <n v="29"/>
    <s v="Yes"/>
    <s v="Travel_Rarely"/>
    <n v="350"/>
    <x v="2"/>
    <n v="13"/>
    <n v="3"/>
    <x v="5"/>
    <n v="1"/>
    <x v="1313"/>
    <n v="1"/>
    <s v="Male"/>
    <n v="56"/>
    <n v="2"/>
    <x v="1"/>
    <x v="8"/>
    <n v="1"/>
    <s v="Divorced"/>
    <n v="2335"/>
    <n v="3157"/>
    <n v="4"/>
    <s v="Y"/>
    <x v="0"/>
    <n v="15"/>
    <n v="3"/>
    <n v="4"/>
    <n v="80"/>
    <n v="3"/>
    <n v="4"/>
    <n v="3"/>
    <n v="3"/>
    <n v="2"/>
    <n v="2"/>
    <n v="2"/>
    <n v="0"/>
    <n v="1"/>
    <x v="2"/>
  </r>
  <r>
    <n v="45"/>
    <s v="No"/>
    <s v="Non-Travel"/>
    <n v="589"/>
    <x v="0"/>
    <n v="2"/>
    <n v="4"/>
    <x v="0"/>
    <n v="1"/>
    <x v="1314"/>
    <n v="3"/>
    <s v="Female"/>
    <n v="67"/>
    <n v="3"/>
    <x v="0"/>
    <x v="0"/>
    <n v="3"/>
    <s v="Married"/>
    <n v="5154"/>
    <n v="19665"/>
    <n v="4"/>
    <s v="Y"/>
    <x v="1"/>
    <n v="22"/>
    <n v="4"/>
    <n v="2"/>
    <n v="80"/>
    <n v="2"/>
    <n v="10"/>
    <n v="3"/>
    <n v="4"/>
    <n v="8"/>
    <n v="7"/>
    <n v="5"/>
    <n v="7"/>
    <n v="0"/>
    <x v="0"/>
  </r>
  <r>
    <n v="36"/>
    <s v="No"/>
    <s v="Travel_Rarely"/>
    <n v="430"/>
    <x v="1"/>
    <n v="2"/>
    <n v="4"/>
    <x v="1"/>
    <n v="1"/>
    <x v="1315"/>
    <n v="4"/>
    <s v="Female"/>
    <n v="73"/>
    <n v="3"/>
    <x v="0"/>
    <x v="1"/>
    <n v="2"/>
    <s v="Married"/>
    <n v="6962"/>
    <n v="19573"/>
    <n v="4"/>
    <s v="Y"/>
    <x v="0"/>
    <n v="22"/>
    <n v="4"/>
    <n v="4"/>
    <n v="80"/>
    <n v="1"/>
    <n v="15"/>
    <n v="2"/>
    <n v="3"/>
    <n v="1"/>
    <n v="0"/>
    <n v="0"/>
    <n v="0"/>
    <n v="0"/>
    <x v="0"/>
  </r>
  <r>
    <n v="43"/>
    <s v="No"/>
    <s v="Travel_Frequently"/>
    <n v="1422"/>
    <x v="0"/>
    <n v="2"/>
    <n v="4"/>
    <x v="0"/>
    <n v="1"/>
    <x v="1316"/>
    <n v="1"/>
    <s v="Male"/>
    <n v="92"/>
    <n v="3"/>
    <x v="0"/>
    <x v="0"/>
    <n v="4"/>
    <s v="Married"/>
    <n v="5675"/>
    <n v="19246"/>
    <n v="1"/>
    <s v="Y"/>
    <x v="1"/>
    <n v="20"/>
    <n v="4"/>
    <n v="3"/>
    <n v="80"/>
    <n v="1"/>
    <n v="7"/>
    <n v="5"/>
    <n v="3"/>
    <n v="7"/>
    <n v="7"/>
    <n v="7"/>
    <n v="7"/>
    <n v="0"/>
    <x v="0"/>
  </r>
  <r>
    <n v="27"/>
    <s v="No"/>
    <s v="Travel_Frequently"/>
    <n v="1297"/>
    <x v="1"/>
    <n v="5"/>
    <n v="2"/>
    <x v="0"/>
    <n v="1"/>
    <x v="1317"/>
    <n v="4"/>
    <s v="Female"/>
    <n v="53"/>
    <n v="3"/>
    <x v="1"/>
    <x v="2"/>
    <n v="4"/>
    <s v="Single"/>
    <n v="2379"/>
    <n v="19826"/>
    <n v="0"/>
    <s v="Y"/>
    <x v="0"/>
    <n v="14"/>
    <n v="3"/>
    <n v="3"/>
    <n v="80"/>
    <n v="0"/>
    <n v="6"/>
    <n v="3"/>
    <n v="2"/>
    <n v="5"/>
    <n v="4"/>
    <n v="0"/>
    <n v="2"/>
    <n v="0"/>
    <x v="2"/>
  </r>
  <r>
    <n v="29"/>
    <s v="No"/>
    <s v="Travel_Frequently"/>
    <n v="574"/>
    <x v="1"/>
    <n v="20"/>
    <n v="1"/>
    <x v="2"/>
    <n v="1"/>
    <x v="1318"/>
    <n v="4"/>
    <s v="Male"/>
    <n v="40"/>
    <n v="3"/>
    <x v="1"/>
    <x v="2"/>
    <n v="4"/>
    <s v="Married"/>
    <n v="3812"/>
    <n v="7003"/>
    <n v="1"/>
    <s v="Y"/>
    <x v="1"/>
    <n v="13"/>
    <n v="3"/>
    <n v="2"/>
    <n v="80"/>
    <n v="0"/>
    <n v="11"/>
    <n v="3"/>
    <n v="4"/>
    <n v="11"/>
    <n v="8"/>
    <n v="3"/>
    <n v="10"/>
    <n v="0"/>
    <x v="2"/>
  </r>
  <r>
    <n v="32"/>
    <s v="No"/>
    <s v="Travel_Frequently"/>
    <n v="1318"/>
    <x v="0"/>
    <n v="10"/>
    <n v="4"/>
    <x v="3"/>
    <n v="1"/>
    <x v="1319"/>
    <n v="4"/>
    <s v="Male"/>
    <n v="79"/>
    <n v="3"/>
    <x v="0"/>
    <x v="0"/>
    <n v="4"/>
    <s v="Single"/>
    <n v="4648"/>
    <n v="26075"/>
    <n v="8"/>
    <s v="Y"/>
    <x v="1"/>
    <n v="13"/>
    <n v="3"/>
    <n v="3"/>
    <n v="80"/>
    <n v="0"/>
    <n v="4"/>
    <n v="2"/>
    <n v="4"/>
    <n v="0"/>
    <n v="0"/>
    <n v="0"/>
    <n v="0"/>
    <n v="0"/>
    <x v="2"/>
  </r>
  <r>
    <n v="42"/>
    <s v="No"/>
    <s v="Non-Travel"/>
    <n v="355"/>
    <x v="1"/>
    <n v="10"/>
    <n v="4"/>
    <x v="4"/>
    <n v="1"/>
    <x v="1320"/>
    <n v="3"/>
    <s v="Male"/>
    <n v="38"/>
    <n v="3"/>
    <x v="1"/>
    <x v="1"/>
    <n v="3"/>
    <s v="Married"/>
    <n v="2936"/>
    <n v="6161"/>
    <n v="3"/>
    <s v="Y"/>
    <x v="1"/>
    <n v="22"/>
    <n v="4"/>
    <n v="2"/>
    <n v="80"/>
    <n v="2"/>
    <n v="10"/>
    <n v="1"/>
    <n v="2"/>
    <n v="6"/>
    <n v="3"/>
    <n v="3"/>
    <n v="3"/>
    <n v="0"/>
    <x v="0"/>
  </r>
  <r>
    <n v="47"/>
    <s v="No"/>
    <s v="Travel_Rarely"/>
    <n v="207"/>
    <x v="1"/>
    <n v="9"/>
    <n v="4"/>
    <x v="0"/>
    <n v="1"/>
    <x v="1321"/>
    <n v="2"/>
    <s v="Female"/>
    <n v="64"/>
    <n v="3"/>
    <x v="1"/>
    <x v="2"/>
    <n v="3"/>
    <s v="Single"/>
    <n v="2105"/>
    <n v="5411"/>
    <n v="4"/>
    <s v="Y"/>
    <x v="1"/>
    <n v="12"/>
    <n v="3"/>
    <n v="3"/>
    <n v="80"/>
    <n v="0"/>
    <n v="7"/>
    <n v="2"/>
    <n v="3"/>
    <n v="2"/>
    <n v="2"/>
    <n v="2"/>
    <n v="0"/>
    <n v="0"/>
    <x v="1"/>
  </r>
  <r>
    <n v="46"/>
    <s v="No"/>
    <s v="Travel_Rarely"/>
    <n v="706"/>
    <x v="1"/>
    <n v="2"/>
    <n v="2"/>
    <x v="0"/>
    <n v="1"/>
    <x v="1322"/>
    <n v="4"/>
    <s v="Male"/>
    <n v="82"/>
    <n v="3"/>
    <x v="2"/>
    <x v="3"/>
    <n v="4"/>
    <s v="Divorced"/>
    <n v="8578"/>
    <n v="19989"/>
    <n v="3"/>
    <s v="Y"/>
    <x v="1"/>
    <n v="14"/>
    <n v="3"/>
    <n v="3"/>
    <n v="80"/>
    <n v="1"/>
    <n v="12"/>
    <n v="4"/>
    <n v="2"/>
    <n v="9"/>
    <n v="8"/>
    <n v="4"/>
    <n v="7"/>
    <n v="0"/>
    <x v="1"/>
  </r>
  <r>
    <n v="28"/>
    <s v="No"/>
    <s v="Non-Travel"/>
    <n v="280"/>
    <x v="2"/>
    <n v="1"/>
    <n v="2"/>
    <x v="0"/>
    <n v="1"/>
    <x v="1323"/>
    <n v="3"/>
    <s v="Male"/>
    <n v="43"/>
    <n v="3"/>
    <x v="1"/>
    <x v="8"/>
    <n v="4"/>
    <s v="Divorced"/>
    <n v="2706"/>
    <n v="10494"/>
    <n v="1"/>
    <s v="Y"/>
    <x v="1"/>
    <n v="15"/>
    <n v="3"/>
    <n v="2"/>
    <n v="80"/>
    <n v="1"/>
    <n v="3"/>
    <n v="2"/>
    <n v="3"/>
    <n v="3"/>
    <n v="2"/>
    <n v="2"/>
    <n v="2"/>
    <n v="0"/>
    <x v="2"/>
  </r>
  <r>
    <n v="29"/>
    <s v="No"/>
    <s v="Travel_Rarely"/>
    <n v="726"/>
    <x v="1"/>
    <n v="29"/>
    <n v="1"/>
    <x v="0"/>
    <n v="1"/>
    <x v="1324"/>
    <n v="4"/>
    <s v="Male"/>
    <n v="93"/>
    <n v="1"/>
    <x v="0"/>
    <x v="4"/>
    <n v="3"/>
    <s v="Divorced"/>
    <n v="6384"/>
    <n v="21143"/>
    <n v="8"/>
    <s v="Y"/>
    <x v="1"/>
    <n v="17"/>
    <n v="3"/>
    <n v="4"/>
    <n v="80"/>
    <n v="2"/>
    <n v="11"/>
    <n v="3"/>
    <n v="3"/>
    <n v="7"/>
    <n v="0"/>
    <n v="1"/>
    <n v="6"/>
    <n v="0"/>
    <x v="2"/>
  </r>
  <r>
    <n v="42"/>
    <s v="No"/>
    <s v="Travel_Rarely"/>
    <n v="1142"/>
    <x v="1"/>
    <n v="8"/>
    <n v="3"/>
    <x v="0"/>
    <n v="1"/>
    <x v="1325"/>
    <n v="4"/>
    <s v="Male"/>
    <n v="81"/>
    <n v="3"/>
    <x v="1"/>
    <x v="2"/>
    <n v="3"/>
    <s v="Single"/>
    <n v="3968"/>
    <n v="13624"/>
    <n v="4"/>
    <s v="Y"/>
    <x v="1"/>
    <n v="13"/>
    <n v="3"/>
    <n v="4"/>
    <n v="80"/>
    <n v="0"/>
    <n v="8"/>
    <n v="3"/>
    <n v="3"/>
    <n v="0"/>
    <n v="0"/>
    <n v="0"/>
    <n v="0"/>
    <n v="0"/>
    <x v="0"/>
  </r>
  <r>
    <n v="32"/>
    <s v="Yes"/>
    <s v="Travel_Rarely"/>
    <n v="414"/>
    <x v="0"/>
    <n v="2"/>
    <n v="4"/>
    <x v="3"/>
    <n v="1"/>
    <x v="1326"/>
    <n v="3"/>
    <s v="Male"/>
    <n v="82"/>
    <n v="2"/>
    <x v="0"/>
    <x v="0"/>
    <n v="2"/>
    <s v="Single"/>
    <n v="9907"/>
    <n v="26186"/>
    <n v="7"/>
    <s v="Y"/>
    <x v="0"/>
    <n v="12"/>
    <n v="3"/>
    <n v="3"/>
    <n v="80"/>
    <n v="0"/>
    <n v="7"/>
    <n v="3"/>
    <n v="2"/>
    <n v="2"/>
    <n v="2"/>
    <n v="2"/>
    <n v="2"/>
    <n v="1"/>
    <x v="2"/>
  </r>
  <r>
    <n v="46"/>
    <s v="No"/>
    <s v="Travel_Rarely"/>
    <n v="1319"/>
    <x v="0"/>
    <n v="3"/>
    <n v="3"/>
    <x v="4"/>
    <n v="1"/>
    <x v="1327"/>
    <n v="1"/>
    <s v="Female"/>
    <n v="45"/>
    <n v="4"/>
    <x v="3"/>
    <x v="0"/>
    <n v="1"/>
    <s v="Divorced"/>
    <n v="13225"/>
    <n v="7739"/>
    <n v="2"/>
    <s v="Y"/>
    <x v="1"/>
    <n v="12"/>
    <n v="3"/>
    <n v="4"/>
    <n v="80"/>
    <n v="1"/>
    <n v="25"/>
    <n v="5"/>
    <n v="3"/>
    <n v="19"/>
    <n v="17"/>
    <n v="2"/>
    <n v="8"/>
    <n v="0"/>
    <x v="1"/>
  </r>
  <r>
    <n v="27"/>
    <s v="No"/>
    <s v="Travel_Rarely"/>
    <n v="728"/>
    <x v="0"/>
    <n v="23"/>
    <n v="1"/>
    <x v="2"/>
    <n v="1"/>
    <x v="1328"/>
    <n v="2"/>
    <s v="Female"/>
    <n v="36"/>
    <n v="2"/>
    <x v="0"/>
    <x v="6"/>
    <n v="3"/>
    <s v="Married"/>
    <n v="3540"/>
    <n v="7018"/>
    <n v="1"/>
    <s v="Y"/>
    <x v="1"/>
    <n v="21"/>
    <n v="4"/>
    <n v="4"/>
    <n v="80"/>
    <n v="1"/>
    <n v="9"/>
    <n v="5"/>
    <n v="3"/>
    <n v="9"/>
    <n v="8"/>
    <n v="5"/>
    <n v="8"/>
    <n v="0"/>
    <x v="2"/>
  </r>
  <r>
    <n v="29"/>
    <s v="No"/>
    <s v="Travel_Rarely"/>
    <n v="352"/>
    <x v="2"/>
    <n v="6"/>
    <n v="1"/>
    <x v="2"/>
    <n v="1"/>
    <x v="1329"/>
    <n v="4"/>
    <s v="Male"/>
    <n v="87"/>
    <n v="2"/>
    <x v="1"/>
    <x v="8"/>
    <n v="2"/>
    <s v="Married"/>
    <n v="2804"/>
    <n v="15434"/>
    <n v="1"/>
    <s v="Y"/>
    <x v="1"/>
    <n v="11"/>
    <n v="3"/>
    <n v="4"/>
    <n v="80"/>
    <n v="0"/>
    <n v="1"/>
    <n v="3"/>
    <n v="3"/>
    <n v="1"/>
    <n v="0"/>
    <n v="0"/>
    <n v="0"/>
    <n v="0"/>
    <x v="2"/>
  </r>
  <r>
    <n v="43"/>
    <s v="No"/>
    <s v="Travel_Rarely"/>
    <n v="823"/>
    <x v="1"/>
    <n v="6"/>
    <n v="3"/>
    <x v="2"/>
    <n v="1"/>
    <x v="1330"/>
    <n v="1"/>
    <s v="Female"/>
    <n v="81"/>
    <n v="2"/>
    <x v="4"/>
    <x v="5"/>
    <n v="3"/>
    <s v="Married"/>
    <n v="19392"/>
    <n v="22539"/>
    <n v="7"/>
    <s v="Y"/>
    <x v="1"/>
    <n v="13"/>
    <n v="3"/>
    <n v="4"/>
    <n v="80"/>
    <n v="0"/>
    <n v="21"/>
    <n v="2"/>
    <n v="3"/>
    <n v="16"/>
    <n v="12"/>
    <n v="6"/>
    <n v="14"/>
    <n v="0"/>
    <x v="0"/>
  </r>
  <r>
    <n v="48"/>
    <s v="No"/>
    <s v="Travel_Rarely"/>
    <n v="1224"/>
    <x v="1"/>
    <n v="10"/>
    <n v="3"/>
    <x v="0"/>
    <n v="1"/>
    <x v="1331"/>
    <n v="4"/>
    <s v="Male"/>
    <n v="91"/>
    <n v="2"/>
    <x v="4"/>
    <x v="7"/>
    <n v="2"/>
    <s v="Married"/>
    <n v="19665"/>
    <n v="13583"/>
    <n v="4"/>
    <s v="Y"/>
    <x v="1"/>
    <n v="12"/>
    <n v="3"/>
    <n v="4"/>
    <n v="80"/>
    <n v="0"/>
    <n v="29"/>
    <n v="3"/>
    <n v="3"/>
    <n v="22"/>
    <n v="10"/>
    <n v="12"/>
    <n v="9"/>
    <n v="0"/>
    <x v="1"/>
  </r>
  <r>
    <n v="29"/>
    <s v="Yes"/>
    <s v="Travel_Frequently"/>
    <n v="459"/>
    <x v="1"/>
    <n v="24"/>
    <n v="2"/>
    <x v="0"/>
    <n v="1"/>
    <x v="1332"/>
    <n v="4"/>
    <s v="Male"/>
    <n v="73"/>
    <n v="2"/>
    <x v="1"/>
    <x v="1"/>
    <n v="4"/>
    <s v="Single"/>
    <n v="2439"/>
    <n v="14753"/>
    <n v="1"/>
    <s v="Y"/>
    <x v="0"/>
    <n v="24"/>
    <n v="4"/>
    <n v="2"/>
    <n v="80"/>
    <n v="0"/>
    <n v="1"/>
    <n v="3"/>
    <n v="2"/>
    <n v="1"/>
    <n v="0"/>
    <n v="1"/>
    <n v="0"/>
    <n v="1"/>
    <x v="2"/>
  </r>
  <r>
    <n v="46"/>
    <s v="Yes"/>
    <s v="Travel_Rarely"/>
    <n v="1254"/>
    <x v="0"/>
    <n v="10"/>
    <n v="3"/>
    <x v="0"/>
    <n v="1"/>
    <x v="1333"/>
    <n v="3"/>
    <s v="Female"/>
    <n v="64"/>
    <n v="3"/>
    <x v="2"/>
    <x v="0"/>
    <n v="2"/>
    <s v="Married"/>
    <n v="7314"/>
    <n v="14011"/>
    <n v="5"/>
    <s v="Y"/>
    <x v="1"/>
    <n v="21"/>
    <n v="4"/>
    <n v="3"/>
    <n v="80"/>
    <n v="3"/>
    <n v="14"/>
    <n v="2"/>
    <n v="3"/>
    <n v="8"/>
    <n v="7"/>
    <n v="0"/>
    <n v="7"/>
    <n v="1"/>
    <x v="1"/>
  </r>
  <r>
    <n v="27"/>
    <s v="No"/>
    <s v="Travel_Frequently"/>
    <n v="1131"/>
    <x v="1"/>
    <n v="15"/>
    <n v="3"/>
    <x v="0"/>
    <n v="1"/>
    <x v="1334"/>
    <n v="4"/>
    <s v="Female"/>
    <n v="77"/>
    <n v="2"/>
    <x v="1"/>
    <x v="1"/>
    <n v="1"/>
    <s v="Married"/>
    <n v="4774"/>
    <n v="23844"/>
    <n v="0"/>
    <s v="Y"/>
    <x v="1"/>
    <n v="19"/>
    <n v="3"/>
    <n v="4"/>
    <n v="80"/>
    <n v="1"/>
    <n v="8"/>
    <n v="2"/>
    <n v="2"/>
    <n v="7"/>
    <n v="6"/>
    <n v="7"/>
    <n v="3"/>
    <n v="0"/>
    <x v="2"/>
  </r>
  <r>
    <n v="39"/>
    <s v="No"/>
    <s v="Travel_Rarely"/>
    <n v="835"/>
    <x v="1"/>
    <n v="19"/>
    <n v="4"/>
    <x v="1"/>
    <n v="1"/>
    <x v="1335"/>
    <n v="4"/>
    <s v="Male"/>
    <n v="41"/>
    <n v="3"/>
    <x v="0"/>
    <x v="1"/>
    <n v="4"/>
    <s v="Divorced"/>
    <n v="3902"/>
    <n v="5141"/>
    <n v="8"/>
    <s v="Y"/>
    <x v="1"/>
    <n v="14"/>
    <n v="3"/>
    <n v="2"/>
    <n v="80"/>
    <n v="3"/>
    <n v="7"/>
    <n v="2"/>
    <n v="3"/>
    <n v="2"/>
    <n v="2"/>
    <n v="2"/>
    <n v="2"/>
    <n v="0"/>
    <x v="0"/>
  </r>
  <r>
    <n v="55"/>
    <s v="No"/>
    <s v="Travel_Rarely"/>
    <n v="836"/>
    <x v="1"/>
    <n v="2"/>
    <n v="4"/>
    <x v="4"/>
    <n v="1"/>
    <x v="1336"/>
    <n v="2"/>
    <s v="Male"/>
    <n v="98"/>
    <n v="2"/>
    <x v="1"/>
    <x v="1"/>
    <n v="4"/>
    <s v="Married"/>
    <n v="2662"/>
    <n v="7975"/>
    <n v="8"/>
    <s v="Y"/>
    <x v="1"/>
    <n v="20"/>
    <n v="4"/>
    <n v="2"/>
    <n v="80"/>
    <n v="1"/>
    <n v="19"/>
    <n v="2"/>
    <n v="4"/>
    <n v="5"/>
    <n v="2"/>
    <n v="0"/>
    <n v="4"/>
    <n v="0"/>
    <x v="1"/>
  </r>
  <r>
    <n v="28"/>
    <s v="No"/>
    <s v="Travel_Rarely"/>
    <n v="1172"/>
    <x v="0"/>
    <n v="3"/>
    <n v="3"/>
    <x v="2"/>
    <n v="1"/>
    <x v="1337"/>
    <n v="2"/>
    <s v="Female"/>
    <n v="78"/>
    <n v="3"/>
    <x v="1"/>
    <x v="6"/>
    <n v="2"/>
    <s v="Married"/>
    <n v="2856"/>
    <n v="3692"/>
    <n v="1"/>
    <s v="Y"/>
    <x v="1"/>
    <n v="19"/>
    <n v="3"/>
    <n v="4"/>
    <n v="80"/>
    <n v="1"/>
    <n v="1"/>
    <n v="3"/>
    <n v="3"/>
    <n v="1"/>
    <n v="0"/>
    <n v="0"/>
    <n v="0"/>
    <n v="0"/>
    <x v="2"/>
  </r>
  <r>
    <n v="30"/>
    <s v="Yes"/>
    <s v="Travel_Rarely"/>
    <n v="945"/>
    <x v="0"/>
    <n v="9"/>
    <n v="3"/>
    <x v="2"/>
    <n v="1"/>
    <x v="1338"/>
    <n v="2"/>
    <s v="Male"/>
    <n v="89"/>
    <n v="3"/>
    <x v="1"/>
    <x v="6"/>
    <n v="4"/>
    <s v="Single"/>
    <n v="1081"/>
    <n v="16019"/>
    <n v="1"/>
    <s v="Y"/>
    <x v="1"/>
    <n v="13"/>
    <n v="3"/>
    <n v="3"/>
    <n v="80"/>
    <n v="0"/>
    <n v="1"/>
    <n v="3"/>
    <n v="2"/>
    <n v="1"/>
    <n v="0"/>
    <n v="0"/>
    <n v="0"/>
    <n v="1"/>
    <x v="2"/>
  </r>
  <r>
    <n v="22"/>
    <s v="Yes"/>
    <s v="Travel_Rarely"/>
    <n v="391"/>
    <x v="1"/>
    <n v="7"/>
    <n v="1"/>
    <x v="0"/>
    <n v="1"/>
    <x v="1339"/>
    <n v="4"/>
    <s v="Male"/>
    <n v="75"/>
    <n v="3"/>
    <x v="1"/>
    <x v="1"/>
    <n v="2"/>
    <s v="Single"/>
    <n v="2472"/>
    <n v="26092"/>
    <n v="1"/>
    <s v="Y"/>
    <x v="0"/>
    <n v="23"/>
    <n v="4"/>
    <n v="1"/>
    <n v="80"/>
    <n v="0"/>
    <n v="1"/>
    <n v="2"/>
    <n v="3"/>
    <n v="1"/>
    <n v="0"/>
    <n v="0"/>
    <n v="0"/>
    <n v="1"/>
    <x v="4"/>
  </r>
  <r>
    <n v="36"/>
    <s v="No"/>
    <s v="Travel_Rarely"/>
    <n v="1266"/>
    <x v="0"/>
    <n v="10"/>
    <n v="4"/>
    <x v="4"/>
    <n v="1"/>
    <x v="1340"/>
    <n v="2"/>
    <s v="Female"/>
    <n v="63"/>
    <n v="2"/>
    <x v="0"/>
    <x v="0"/>
    <n v="3"/>
    <s v="Married"/>
    <n v="5673"/>
    <n v="6060"/>
    <n v="1"/>
    <s v="Y"/>
    <x v="0"/>
    <n v="13"/>
    <n v="3"/>
    <n v="1"/>
    <n v="80"/>
    <n v="1"/>
    <n v="10"/>
    <n v="4"/>
    <n v="3"/>
    <n v="10"/>
    <n v="9"/>
    <n v="1"/>
    <n v="7"/>
    <n v="0"/>
    <x v="0"/>
  </r>
  <r>
    <n v="31"/>
    <s v="No"/>
    <s v="Travel_Rarely"/>
    <n v="311"/>
    <x v="1"/>
    <n v="20"/>
    <n v="3"/>
    <x v="0"/>
    <n v="1"/>
    <x v="1341"/>
    <n v="2"/>
    <s v="Male"/>
    <n v="89"/>
    <n v="3"/>
    <x v="0"/>
    <x v="2"/>
    <n v="3"/>
    <s v="Divorced"/>
    <n v="4197"/>
    <n v="18624"/>
    <n v="1"/>
    <s v="Y"/>
    <x v="1"/>
    <n v="11"/>
    <n v="3"/>
    <n v="1"/>
    <n v="80"/>
    <n v="1"/>
    <n v="10"/>
    <n v="2"/>
    <n v="3"/>
    <n v="10"/>
    <n v="8"/>
    <n v="0"/>
    <n v="2"/>
    <n v="0"/>
    <x v="2"/>
  </r>
  <r>
    <n v="34"/>
    <s v="No"/>
    <s v="Travel_Rarely"/>
    <n v="1480"/>
    <x v="0"/>
    <n v="4"/>
    <n v="3"/>
    <x v="0"/>
    <n v="1"/>
    <x v="1342"/>
    <n v="3"/>
    <s v="Male"/>
    <n v="64"/>
    <n v="3"/>
    <x v="2"/>
    <x v="0"/>
    <n v="4"/>
    <s v="Married"/>
    <n v="9713"/>
    <n v="24444"/>
    <n v="2"/>
    <s v="Y"/>
    <x v="0"/>
    <n v="13"/>
    <n v="3"/>
    <n v="4"/>
    <n v="80"/>
    <n v="3"/>
    <n v="9"/>
    <n v="3"/>
    <n v="3"/>
    <n v="5"/>
    <n v="3"/>
    <n v="1"/>
    <n v="0"/>
    <n v="0"/>
    <x v="2"/>
  </r>
  <r>
    <n v="29"/>
    <s v="No"/>
    <s v="Travel_Rarely"/>
    <n v="592"/>
    <x v="1"/>
    <n v="7"/>
    <n v="3"/>
    <x v="0"/>
    <n v="1"/>
    <x v="1343"/>
    <n v="4"/>
    <s v="Male"/>
    <n v="59"/>
    <n v="3"/>
    <x v="1"/>
    <x v="2"/>
    <n v="1"/>
    <s v="Single"/>
    <n v="2062"/>
    <n v="19384"/>
    <n v="3"/>
    <s v="Y"/>
    <x v="1"/>
    <n v="14"/>
    <n v="3"/>
    <n v="2"/>
    <n v="80"/>
    <n v="0"/>
    <n v="11"/>
    <n v="2"/>
    <n v="3"/>
    <n v="3"/>
    <n v="2"/>
    <n v="1"/>
    <n v="2"/>
    <n v="0"/>
    <x v="2"/>
  </r>
  <r>
    <n v="37"/>
    <s v="No"/>
    <s v="Travel_Rarely"/>
    <n v="783"/>
    <x v="1"/>
    <n v="7"/>
    <n v="4"/>
    <x v="2"/>
    <n v="1"/>
    <x v="1344"/>
    <n v="4"/>
    <s v="Male"/>
    <n v="78"/>
    <n v="3"/>
    <x v="0"/>
    <x v="1"/>
    <n v="1"/>
    <s v="Married"/>
    <n v="4284"/>
    <n v="13588"/>
    <n v="5"/>
    <s v="Y"/>
    <x v="0"/>
    <n v="22"/>
    <n v="4"/>
    <n v="3"/>
    <n v="80"/>
    <n v="1"/>
    <n v="16"/>
    <n v="2"/>
    <n v="3"/>
    <n v="5"/>
    <n v="3"/>
    <n v="0"/>
    <n v="4"/>
    <n v="0"/>
    <x v="0"/>
  </r>
  <r>
    <n v="35"/>
    <s v="No"/>
    <s v="Travel_Rarely"/>
    <n v="219"/>
    <x v="1"/>
    <n v="16"/>
    <n v="2"/>
    <x v="1"/>
    <n v="1"/>
    <x v="1345"/>
    <n v="4"/>
    <s v="Female"/>
    <n v="44"/>
    <n v="2"/>
    <x v="0"/>
    <x v="3"/>
    <n v="2"/>
    <s v="Married"/>
    <n v="4788"/>
    <n v="25388"/>
    <n v="0"/>
    <s v="Y"/>
    <x v="0"/>
    <n v="11"/>
    <n v="3"/>
    <n v="4"/>
    <n v="80"/>
    <n v="0"/>
    <n v="4"/>
    <n v="2"/>
    <n v="3"/>
    <n v="3"/>
    <n v="2"/>
    <n v="0"/>
    <n v="2"/>
    <n v="0"/>
    <x v="2"/>
  </r>
  <r>
    <n v="45"/>
    <s v="No"/>
    <s v="Travel_Rarely"/>
    <n v="556"/>
    <x v="1"/>
    <n v="25"/>
    <n v="2"/>
    <x v="0"/>
    <n v="1"/>
    <x v="1346"/>
    <n v="2"/>
    <s v="Female"/>
    <n v="93"/>
    <n v="2"/>
    <x v="0"/>
    <x v="3"/>
    <n v="4"/>
    <s v="Married"/>
    <n v="5906"/>
    <n v="23888"/>
    <n v="0"/>
    <s v="Y"/>
    <x v="1"/>
    <n v="13"/>
    <n v="3"/>
    <n v="4"/>
    <n v="80"/>
    <n v="2"/>
    <n v="10"/>
    <n v="2"/>
    <n v="2"/>
    <n v="9"/>
    <n v="8"/>
    <n v="3"/>
    <n v="8"/>
    <n v="0"/>
    <x v="0"/>
  </r>
  <r>
    <n v="36"/>
    <s v="No"/>
    <s v="Travel_Frequently"/>
    <n v="1213"/>
    <x v="2"/>
    <n v="2"/>
    <n v="1"/>
    <x v="5"/>
    <n v="1"/>
    <x v="1347"/>
    <n v="2"/>
    <s v="Male"/>
    <n v="94"/>
    <n v="2"/>
    <x v="0"/>
    <x v="8"/>
    <n v="4"/>
    <s v="Single"/>
    <n v="3886"/>
    <n v="4223"/>
    <n v="1"/>
    <s v="Y"/>
    <x v="1"/>
    <n v="21"/>
    <n v="4"/>
    <n v="4"/>
    <n v="80"/>
    <n v="0"/>
    <n v="10"/>
    <n v="2"/>
    <n v="2"/>
    <n v="10"/>
    <n v="1"/>
    <n v="0"/>
    <n v="8"/>
    <n v="0"/>
    <x v="0"/>
  </r>
  <r>
    <n v="40"/>
    <s v="No"/>
    <s v="Travel_Rarely"/>
    <n v="1137"/>
    <x v="1"/>
    <n v="1"/>
    <n v="4"/>
    <x v="0"/>
    <n v="1"/>
    <x v="1348"/>
    <n v="1"/>
    <s v="Male"/>
    <n v="98"/>
    <n v="3"/>
    <x v="3"/>
    <x v="5"/>
    <n v="1"/>
    <s v="Divorced"/>
    <n v="16823"/>
    <n v="18991"/>
    <n v="2"/>
    <s v="Y"/>
    <x v="1"/>
    <n v="11"/>
    <n v="3"/>
    <n v="1"/>
    <n v="80"/>
    <n v="1"/>
    <n v="22"/>
    <n v="3"/>
    <n v="3"/>
    <n v="19"/>
    <n v="7"/>
    <n v="11"/>
    <n v="16"/>
    <n v="0"/>
    <x v="0"/>
  </r>
  <r>
    <n v="26"/>
    <s v="No"/>
    <s v="Travel_Rarely"/>
    <n v="482"/>
    <x v="1"/>
    <n v="1"/>
    <n v="2"/>
    <x v="0"/>
    <n v="1"/>
    <x v="1349"/>
    <n v="2"/>
    <s v="Female"/>
    <n v="90"/>
    <n v="2"/>
    <x v="1"/>
    <x v="1"/>
    <n v="3"/>
    <s v="Married"/>
    <n v="2933"/>
    <n v="14908"/>
    <n v="1"/>
    <s v="Y"/>
    <x v="0"/>
    <n v="13"/>
    <n v="3"/>
    <n v="3"/>
    <n v="80"/>
    <n v="1"/>
    <n v="1"/>
    <n v="3"/>
    <n v="2"/>
    <n v="1"/>
    <n v="0"/>
    <n v="1"/>
    <n v="0"/>
    <n v="0"/>
    <x v="2"/>
  </r>
  <r>
    <n v="27"/>
    <s v="No"/>
    <s v="Travel_Rarely"/>
    <n v="511"/>
    <x v="0"/>
    <n v="2"/>
    <n v="2"/>
    <x v="2"/>
    <n v="1"/>
    <x v="1350"/>
    <n v="1"/>
    <s v="Female"/>
    <n v="89"/>
    <n v="4"/>
    <x v="0"/>
    <x v="0"/>
    <n v="3"/>
    <s v="Single"/>
    <n v="6500"/>
    <n v="26997"/>
    <n v="0"/>
    <s v="Y"/>
    <x v="1"/>
    <n v="14"/>
    <n v="3"/>
    <n v="2"/>
    <n v="80"/>
    <n v="0"/>
    <n v="9"/>
    <n v="5"/>
    <n v="2"/>
    <n v="8"/>
    <n v="7"/>
    <n v="0"/>
    <n v="7"/>
    <n v="0"/>
    <x v="2"/>
  </r>
  <r>
    <n v="48"/>
    <s v="No"/>
    <s v="Travel_Frequently"/>
    <n v="117"/>
    <x v="1"/>
    <n v="22"/>
    <n v="3"/>
    <x v="2"/>
    <n v="1"/>
    <x v="1351"/>
    <n v="4"/>
    <s v="Female"/>
    <n v="58"/>
    <n v="3"/>
    <x v="3"/>
    <x v="5"/>
    <n v="4"/>
    <s v="Divorced"/>
    <n v="17174"/>
    <n v="2437"/>
    <n v="3"/>
    <s v="Y"/>
    <x v="1"/>
    <n v="11"/>
    <n v="3"/>
    <n v="2"/>
    <n v="80"/>
    <n v="1"/>
    <n v="24"/>
    <n v="3"/>
    <n v="3"/>
    <n v="22"/>
    <n v="17"/>
    <n v="4"/>
    <n v="7"/>
    <n v="0"/>
    <x v="1"/>
  </r>
  <r>
    <n v="44"/>
    <s v="No"/>
    <s v="Travel_Rarely"/>
    <n v="170"/>
    <x v="1"/>
    <n v="1"/>
    <n v="4"/>
    <x v="0"/>
    <n v="1"/>
    <x v="1352"/>
    <n v="2"/>
    <s v="Male"/>
    <n v="78"/>
    <n v="4"/>
    <x v="0"/>
    <x v="4"/>
    <n v="1"/>
    <s v="Married"/>
    <n v="5033"/>
    <n v="9364"/>
    <n v="2"/>
    <s v="Y"/>
    <x v="1"/>
    <n v="15"/>
    <n v="3"/>
    <n v="4"/>
    <n v="80"/>
    <n v="1"/>
    <n v="10"/>
    <n v="5"/>
    <n v="3"/>
    <n v="2"/>
    <n v="0"/>
    <n v="2"/>
    <n v="2"/>
    <n v="0"/>
    <x v="0"/>
  </r>
  <r>
    <n v="34"/>
    <s v="Yes"/>
    <s v="Non-Travel"/>
    <n v="967"/>
    <x v="1"/>
    <n v="16"/>
    <n v="4"/>
    <x v="4"/>
    <n v="1"/>
    <x v="1353"/>
    <n v="4"/>
    <s v="Male"/>
    <n v="85"/>
    <n v="1"/>
    <x v="1"/>
    <x v="1"/>
    <n v="1"/>
    <s v="Married"/>
    <n v="2307"/>
    <n v="14460"/>
    <n v="1"/>
    <s v="Y"/>
    <x v="0"/>
    <n v="23"/>
    <n v="4"/>
    <n v="2"/>
    <n v="80"/>
    <n v="1"/>
    <n v="5"/>
    <n v="2"/>
    <n v="3"/>
    <n v="5"/>
    <n v="2"/>
    <n v="3"/>
    <n v="0"/>
    <n v="1"/>
    <x v="2"/>
  </r>
  <r>
    <n v="56"/>
    <s v="Yes"/>
    <s v="Travel_Rarely"/>
    <n v="1162"/>
    <x v="1"/>
    <n v="24"/>
    <n v="2"/>
    <x v="0"/>
    <n v="1"/>
    <x v="1354"/>
    <n v="1"/>
    <s v="Male"/>
    <n v="97"/>
    <n v="3"/>
    <x v="1"/>
    <x v="2"/>
    <n v="4"/>
    <s v="Single"/>
    <n v="2587"/>
    <n v="10261"/>
    <n v="1"/>
    <s v="Y"/>
    <x v="1"/>
    <n v="16"/>
    <n v="3"/>
    <n v="4"/>
    <n v="80"/>
    <n v="0"/>
    <n v="5"/>
    <n v="3"/>
    <n v="3"/>
    <n v="4"/>
    <n v="2"/>
    <n v="1"/>
    <n v="0"/>
    <n v="1"/>
    <x v="3"/>
  </r>
  <r>
    <n v="36"/>
    <s v="No"/>
    <s v="Travel_Rarely"/>
    <n v="335"/>
    <x v="0"/>
    <n v="17"/>
    <n v="2"/>
    <x v="3"/>
    <n v="1"/>
    <x v="1355"/>
    <n v="3"/>
    <s v="Male"/>
    <n v="33"/>
    <n v="2"/>
    <x v="0"/>
    <x v="0"/>
    <n v="2"/>
    <s v="Married"/>
    <n v="5507"/>
    <n v="16822"/>
    <n v="2"/>
    <s v="Y"/>
    <x v="1"/>
    <n v="16"/>
    <n v="3"/>
    <n v="3"/>
    <n v="80"/>
    <n v="2"/>
    <n v="12"/>
    <n v="1"/>
    <n v="1"/>
    <n v="4"/>
    <n v="2"/>
    <n v="1"/>
    <n v="3"/>
    <n v="0"/>
    <x v="0"/>
  </r>
  <r>
    <n v="41"/>
    <s v="No"/>
    <s v="Travel_Rarely"/>
    <n v="337"/>
    <x v="0"/>
    <n v="8"/>
    <n v="3"/>
    <x v="3"/>
    <n v="1"/>
    <x v="1356"/>
    <n v="3"/>
    <s v="Female"/>
    <n v="54"/>
    <n v="3"/>
    <x v="0"/>
    <x v="0"/>
    <n v="2"/>
    <s v="Married"/>
    <n v="4393"/>
    <n v="26841"/>
    <n v="5"/>
    <s v="Y"/>
    <x v="1"/>
    <n v="21"/>
    <n v="4"/>
    <n v="3"/>
    <n v="80"/>
    <n v="1"/>
    <n v="14"/>
    <n v="3"/>
    <n v="3"/>
    <n v="5"/>
    <n v="4"/>
    <n v="1"/>
    <n v="4"/>
    <n v="0"/>
    <x v="0"/>
  </r>
  <r>
    <n v="42"/>
    <s v="No"/>
    <s v="Travel_Rarely"/>
    <n v="1396"/>
    <x v="1"/>
    <n v="6"/>
    <n v="3"/>
    <x v="2"/>
    <n v="1"/>
    <x v="1357"/>
    <n v="3"/>
    <s v="Male"/>
    <n v="83"/>
    <n v="3"/>
    <x v="2"/>
    <x v="7"/>
    <n v="1"/>
    <s v="Married"/>
    <n v="13348"/>
    <n v="14842"/>
    <n v="9"/>
    <s v="Y"/>
    <x v="1"/>
    <n v="13"/>
    <n v="3"/>
    <n v="2"/>
    <n v="80"/>
    <n v="1"/>
    <n v="18"/>
    <n v="3"/>
    <n v="4"/>
    <n v="13"/>
    <n v="7"/>
    <n v="5"/>
    <n v="7"/>
    <n v="0"/>
    <x v="0"/>
  </r>
  <r>
    <n v="31"/>
    <s v="No"/>
    <s v="Travel_Rarely"/>
    <n v="1079"/>
    <x v="0"/>
    <n v="10"/>
    <n v="2"/>
    <x v="2"/>
    <n v="1"/>
    <x v="1358"/>
    <n v="3"/>
    <s v="Female"/>
    <n v="86"/>
    <n v="3"/>
    <x v="0"/>
    <x v="0"/>
    <n v="4"/>
    <s v="Divorced"/>
    <n v="6583"/>
    <n v="20115"/>
    <n v="2"/>
    <s v="Y"/>
    <x v="0"/>
    <n v="11"/>
    <n v="3"/>
    <n v="4"/>
    <n v="80"/>
    <n v="1"/>
    <n v="8"/>
    <n v="2"/>
    <n v="3"/>
    <n v="5"/>
    <n v="2"/>
    <n v="1"/>
    <n v="4"/>
    <n v="0"/>
    <x v="2"/>
  </r>
  <r>
    <n v="34"/>
    <s v="No"/>
    <s v="Travel_Rarely"/>
    <n v="735"/>
    <x v="0"/>
    <n v="3"/>
    <n v="1"/>
    <x v="2"/>
    <n v="1"/>
    <x v="1359"/>
    <n v="4"/>
    <s v="Female"/>
    <n v="75"/>
    <n v="2"/>
    <x v="0"/>
    <x v="0"/>
    <n v="4"/>
    <s v="Married"/>
    <n v="8103"/>
    <n v="16495"/>
    <n v="3"/>
    <s v="Y"/>
    <x v="0"/>
    <n v="12"/>
    <n v="3"/>
    <n v="3"/>
    <n v="80"/>
    <n v="0"/>
    <n v="9"/>
    <n v="3"/>
    <n v="2"/>
    <n v="4"/>
    <n v="2"/>
    <n v="0"/>
    <n v="1"/>
    <n v="0"/>
    <x v="2"/>
  </r>
  <r>
    <n v="31"/>
    <s v="No"/>
    <s v="Travel_Rarely"/>
    <n v="471"/>
    <x v="1"/>
    <n v="4"/>
    <n v="3"/>
    <x v="2"/>
    <n v="1"/>
    <x v="1360"/>
    <n v="1"/>
    <s v="Female"/>
    <n v="62"/>
    <n v="4"/>
    <x v="1"/>
    <x v="2"/>
    <n v="3"/>
    <s v="Divorced"/>
    <n v="3978"/>
    <n v="16031"/>
    <n v="8"/>
    <s v="Y"/>
    <x v="1"/>
    <n v="12"/>
    <n v="3"/>
    <n v="2"/>
    <n v="80"/>
    <n v="1"/>
    <n v="4"/>
    <n v="0"/>
    <n v="2"/>
    <n v="2"/>
    <n v="2"/>
    <n v="2"/>
    <n v="2"/>
    <n v="0"/>
    <x v="2"/>
  </r>
  <r>
    <n v="26"/>
    <s v="No"/>
    <s v="Travel_Frequently"/>
    <n v="1096"/>
    <x v="1"/>
    <n v="6"/>
    <n v="3"/>
    <x v="1"/>
    <n v="1"/>
    <x v="1361"/>
    <n v="3"/>
    <s v="Male"/>
    <n v="61"/>
    <n v="4"/>
    <x v="1"/>
    <x v="2"/>
    <n v="4"/>
    <s v="Married"/>
    <n v="2544"/>
    <n v="7102"/>
    <n v="0"/>
    <s v="Y"/>
    <x v="1"/>
    <n v="18"/>
    <n v="3"/>
    <n v="1"/>
    <n v="80"/>
    <n v="1"/>
    <n v="8"/>
    <n v="3"/>
    <n v="3"/>
    <n v="7"/>
    <n v="7"/>
    <n v="7"/>
    <n v="7"/>
    <n v="0"/>
    <x v="2"/>
  </r>
  <r>
    <n v="45"/>
    <s v="No"/>
    <s v="Travel_Frequently"/>
    <n v="1297"/>
    <x v="1"/>
    <n v="1"/>
    <n v="4"/>
    <x v="2"/>
    <n v="1"/>
    <x v="1362"/>
    <n v="2"/>
    <s v="Male"/>
    <n v="44"/>
    <n v="3"/>
    <x v="0"/>
    <x v="4"/>
    <n v="3"/>
    <s v="Single"/>
    <n v="5399"/>
    <n v="14511"/>
    <n v="4"/>
    <s v="Y"/>
    <x v="1"/>
    <n v="12"/>
    <n v="3"/>
    <n v="3"/>
    <n v="80"/>
    <n v="0"/>
    <n v="12"/>
    <n v="3"/>
    <n v="3"/>
    <n v="4"/>
    <n v="2"/>
    <n v="0"/>
    <n v="3"/>
    <n v="0"/>
    <x v="0"/>
  </r>
  <r>
    <n v="33"/>
    <s v="No"/>
    <s v="Travel_Rarely"/>
    <n v="217"/>
    <x v="0"/>
    <n v="10"/>
    <n v="4"/>
    <x v="3"/>
    <n v="1"/>
    <x v="1363"/>
    <n v="2"/>
    <s v="Male"/>
    <n v="43"/>
    <n v="3"/>
    <x v="0"/>
    <x v="0"/>
    <n v="3"/>
    <s v="Single"/>
    <n v="5487"/>
    <n v="10410"/>
    <n v="1"/>
    <s v="Y"/>
    <x v="1"/>
    <n v="14"/>
    <n v="3"/>
    <n v="2"/>
    <n v="80"/>
    <n v="0"/>
    <n v="10"/>
    <n v="2"/>
    <n v="2"/>
    <n v="10"/>
    <n v="4"/>
    <n v="0"/>
    <n v="9"/>
    <n v="0"/>
    <x v="2"/>
  </r>
  <r>
    <n v="28"/>
    <s v="No"/>
    <s v="Travel_Frequently"/>
    <n v="783"/>
    <x v="0"/>
    <n v="1"/>
    <n v="2"/>
    <x v="0"/>
    <n v="1"/>
    <x v="1364"/>
    <n v="3"/>
    <s v="Male"/>
    <n v="42"/>
    <n v="2"/>
    <x v="0"/>
    <x v="0"/>
    <n v="4"/>
    <s v="Married"/>
    <n v="6834"/>
    <n v="19255"/>
    <n v="1"/>
    <s v="Y"/>
    <x v="0"/>
    <n v="12"/>
    <n v="3"/>
    <n v="3"/>
    <n v="80"/>
    <n v="1"/>
    <n v="7"/>
    <n v="2"/>
    <n v="3"/>
    <n v="7"/>
    <n v="7"/>
    <n v="0"/>
    <n v="7"/>
    <n v="0"/>
    <x v="2"/>
  </r>
  <r>
    <n v="29"/>
    <s v="Yes"/>
    <s v="Travel_Frequently"/>
    <n v="746"/>
    <x v="0"/>
    <n v="24"/>
    <n v="3"/>
    <x v="4"/>
    <n v="1"/>
    <x v="1365"/>
    <n v="3"/>
    <s v="Male"/>
    <n v="45"/>
    <n v="4"/>
    <x v="1"/>
    <x v="6"/>
    <n v="1"/>
    <s v="Single"/>
    <n v="1091"/>
    <n v="10642"/>
    <n v="1"/>
    <s v="Y"/>
    <x v="1"/>
    <n v="17"/>
    <n v="3"/>
    <n v="4"/>
    <n v="80"/>
    <n v="0"/>
    <n v="1"/>
    <n v="3"/>
    <n v="3"/>
    <n v="1"/>
    <n v="0"/>
    <n v="0"/>
    <n v="0"/>
    <n v="1"/>
    <x v="2"/>
  </r>
  <r>
    <n v="39"/>
    <s v="No"/>
    <s v="Non-Travel"/>
    <n v="1251"/>
    <x v="0"/>
    <n v="21"/>
    <n v="4"/>
    <x v="0"/>
    <n v="1"/>
    <x v="1366"/>
    <n v="1"/>
    <s v="Female"/>
    <n v="32"/>
    <n v="1"/>
    <x v="0"/>
    <x v="0"/>
    <n v="3"/>
    <s v="Married"/>
    <n v="5736"/>
    <n v="3987"/>
    <n v="6"/>
    <s v="Y"/>
    <x v="1"/>
    <n v="19"/>
    <n v="3"/>
    <n v="3"/>
    <n v="80"/>
    <n v="1"/>
    <n v="10"/>
    <n v="1"/>
    <n v="3"/>
    <n v="3"/>
    <n v="2"/>
    <n v="1"/>
    <n v="2"/>
    <n v="0"/>
    <x v="0"/>
  </r>
  <r>
    <n v="27"/>
    <s v="No"/>
    <s v="Travel_Rarely"/>
    <n v="1354"/>
    <x v="1"/>
    <n v="2"/>
    <n v="4"/>
    <x v="4"/>
    <n v="1"/>
    <x v="1367"/>
    <n v="2"/>
    <s v="Male"/>
    <n v="41"/>
    <n v="3"/>
    <x v="1"/>
    <x v="1"/>
    <n v="2"/>
    <s v="Married"/>
    <n v="2226"/>
    <n v="6073"/>
    <n v="1"/>
    <s v="Y"/>
    <x v="1"/>
    <n v="11"/>
    <n v="3"/>
    <n v="3"/>
    <n v="80"/>
    <n v="1"/>
    <n v="6"/>
    <n v="3"/>
    <n v="2"/>
    <n v="5"/>
    <n v="3"/>
    <n v="1"/>
    <n v="2"/>
    <n v="0"/>
    <x v="2"/>
  </r>
  <r>
    <n v="34"/>
    <s v="No"/>
    <s v="Travel_Frequently"/>
    <n v="735"/>
    <x v="1"/>
    <n v="22"/>
    <n v="4"/>
    <x v="1"/>
    <n v="1"/>
    <x v="1368"/>
    <n v="3"/>
    <s v="Male"/>
    <n v="86"/>
    <n v="2"/>
    <x v="0"/>
    <x v="1"/>
    <n v="4"/>
    <s v="Married"/>
    <n v="5747"/>
    <n v="26496"/>
    <n v="1"/>
    <s v="Y"/>
    <x v="0"/>
    <n v="15"/>
    <n v="3"/>
    <n v="2"/>
    <n v="80"/>
    <n v="0"/>
    <n v="16"/>
    <n v="3"/>
    <n v="3"/>
    <n v="15"/>
    <n v="10"/>
    <n v="6"/>
    <n v="11"/>
    <n v="0"/>
    <x v="2"/>
  </r>
  <r>
    <n v="28"/>
    <s v="Yes"/>
    <s v="Travel_Rarely"/>
    <n v="1475"/>
    <x v="0"/>
    <n v="13"/>
    <n v="2"/>
    <x v="3"/>
    <n v="1"/>
    <x v="1369"/>
    <n v="4"/>
    <s v="Female"/>
    <n v="84"/>
    <n v="3"/>
    <x v="0"/>
    <x v="0"/>
    <n v="3"/>
    <s v="Single"/>
    <n v="9854"/>
    <n v="23352"/>
    <n v="3"/>
    <s v="Y"/>
    <x v="0"/>
    <n v="11"/>
    <n v="3"/>
    <n v="4"/>
    <n v="80"/>
    <n v="0"/>
    <n v="6"/>
    <n v="0"/>
    <n v="3"/>
    <n v="2"/>
    <n v="0"/>
    <n v="2"/>
    <n v="2"/>
    <n v="1"/>
    <x v="2"/>
  </r>
  <r>
    <n v="47"/>
    <s v="No"/>
    <s v="Non-Travel"/>
    <n v="1169"/>
    <x v="1"/>
    <n v="14"/>
    <n v="4"/>
    <x v="4"/>
    <n v="1"/>
    <x v="1370"/>
    <n v="3"/>
    <s v="Male"/>
    <n v="64"/>
    <n v="3"/>
    <x v="0"/>
    <x v="1"/>
    <n v="2"/>
    <s v="Married"/>
    <n v="5467"/>
    <n v="2125"/>
    <n v="8"/>
    <s v="Y"/>
    <x v="1"/>
    <n v="18"/>
    <n v="3"/>
    <n v="3"/>
    <n v="80"/>
    <n v="1"/>
    <n v="16"/>
    <n v="4"/>
    <n v="4"/>
    <n v="8"/>
    <n v="7"/>
    <n v="1"/>
    <n v="7"/>
    <n v="0"/>
    <x v="1"/>
  </r>
  <r>
    <n v="56"/>
    <s v="No"/>
    <s v="Travel_Rarely"/>
    <n v="1443"/>
    <x v="0"/>
    <n v="11"/>
    <n v="5"/>
    <x v="3"/>
    <n v="1"/>
    <x v="1371"/>
    <n v="4"/>
    <s v="Female"/>
    <n v="89"/>
    <n v="2"/>
    <x v="0"/>
    <x v="0"/>
    <n v="1"/>
    <s v="Married"/>
    <n v="5380"/>
    <n v="20328"/>
    <n v="4"/>
    <s v="Y"/>
    <x v="1"/>
    <n v="16"/>
    <n v="3"/>
    <n v="3"/>
    <n v="80"/>
    <n v="1"/>
    <n v="6"/>
    <n v="3"/>
    <n v="3"/>
    <n v="0"/>
    <n v="0"/>
    <n v="0"/>
    <n v="0"/>
    <n v="0"/>
    <x v="3"/>
  </r>
  <r>
    <n v="39"/>
    <s v="No"/>
    <s v="Travel_Rarely"/>
    <n v="867"/>
    <x v="1"/>
    <n v="9"/>
    <n v="2"/>
    <x v="2"/>
    <n v="1"/>
    <x v="1372"/>
    <n v="1"/>
    <s v="Male"/>
    <n v="87"/>
    <n v="3"/>
    <x v="0"/>
    <x v="3"/>
    <n v="1"/>
    <s v="Married"/>
    <n v="5151"/>
    <n v="12315"/>
    <n v="1"/>
    <s v="Y"/>
    <x v="1"/>
    <n v="25"/>
    <n v="4"/>
    <n v="4"/>
    <n v="80"/>
    <n v="1"/>
    <n v="10"/>
    <n v="3"/>
    <n v="3"/>
    <n v="10"/>
    <n v="0"/>
    <n v="7"/>
    <n v="9"/>
    <n v="0"/>
    <x v="0"/>
  </r>
  <r>
    <n v="38"/>
    <s v="No"/>
    <s v="Travel_Frequently"/>
    <n v="1394"/>
    <x v="1"/>
    <n v="8"/>
    <n v="3"/>
    <x v="2"/>
    <n v="1"/>
    <x v="1373"/>
    <n v="4"/>
    <s v="Female"/>
    <n v="58"/>
    <n v="2"/>
    <x v="0"/>
    <x v="1"/>
    <n v="2"/>
    <s v="Divorced"/>
    <n v="2133"/>
    <n v="18115"/>
    <n v="1"/>
    <s v="Y"/>
    <x v="0"/>
    <n v="16"/>
    <n v="3"/>
    <n v="3"/>
    <n v="80"/>
    <n v="1"/>
    <n v="20"/>
    <n v="3"/>
    <n v="3"/>
    <n v="20"/>
    <n v="11"/>
    <n v="0"/>
    <n v="7"/>
    <n v="0"/>
    <x v="0"/>
  </r>
  <r>
    <n v="58"/>
    <s v="No"/>
    <s v="Travel_Rarely"/>
    <n v="605"/>
    <x v="0"/>
    <n v="21"/>
    <n v="3"/>
    <x v="0"/>
    <n v="1"/>
    <x v="1374"/>
    <n v="4"/>
    <s v="Female"/>
    <n v="72"/>
    <n v="3"/>
    <x v="3"/>
    <x v="5"/>
    <n v="4"/>
    <s v="Married"/>
    <n v="17875"/>
    <n v="11761"/>
    <n v="4"/>
    <s v="Y"/>
    <x v="0"/>
    <n v="13"/>
    <n v="3"/>
    <n v="3"/>
    <n v="80"/>
    <n v="1"/>
    <n v="29"/>
    <n v="2"/>
    <n v="2"/>
    <n v="1"/>
    <n v="0"/>
    <n v="0"/>
    <n v="0"/>
    <n v="0"/>
    <x v="3"/>
  </r>
  <r>
    <n v="32"/>
    <s v="Yes"/>
    <s v="Travel_Frequently"/>
    <n v="238"/>
    <x v="1"/>
    <n v="5"/>
    <n v="2"/>
    <x v="0"/>
    <n v="1"/>
    <x v="1375"/>
    <n v="1"/>
    <s v="Female"/>
    <n v="47"/>
    <n v="4"/>
    <x v="1"/>
    <x v="1"/>
    <n v="3"/>
    <s v="Single"/>
    <n v="2432"/>
    <n v="15318"/>
    <n v="3"/>
    <s v="Y"/>
    <x v="0"/>
    <n v="14"/>
    <n v="3"/>
    <n v="1"/>
    <n v="80"/>
    <n v="0"/>
    <n v="8"/>
    <n v="2"/>
    <n v="3"/>
    <n v="4"/>
    <n v="1"/>
    <n v="0"/>
    <n v="3"/>
    <n v="1"/>
    <x v="2"/>
  </r>
  <r>
    <n v="38"/>
    <s v="No"/>
    <s v="Travel_Rarely"/>
    <n v="1206"/>
    <x v="1"/>
    <n v="9"/>
    <n v="2"/>
    <x v="0"/>
    <n v="1"/>
    <x v="1376"/>
    <n v="2"/>
    <s v="Male"/>
    <n v="71"/>
    <n v="3"/>
    <x v="1"/>
    <x v="1"/>
    <n v="4"/>
    <s v="Divorced"/>
    <n v="4771"/>
    <n v="14293"/>
    <n v="2"/>
    <s v="Y"/>
    <x v="1"/>
    <n v="19"/>
    <n v="3"/>
    <n v="4"/>
    <n v="80"/>
    <n v="2"/>
    <n v="10"/>
    <n v="0"/>
    <n v="4"/>
    <n v="5"/>
    <n v="2"/>
    <n v="0"/>
    <n v="3"/>
    <n v="0"/>
    <x v="0"/>
  </r>
  <r>
    <n v="49"/>
    <s v="No"/>
    <s v="Travel_Frequently"/>
    <n v="1064"/>
    <x v="1"/>
    <n v="2"/>
    <n v="1"/>
    <x v="0"/>
    <n v="1"/>
    <x v="1377"/>
    <n v="2"/>
    <s v="Male"/>
    <n v="42"/>
    <n v="3"/>
    <x v="4"/>
    <x v="7"/>
    <n v="4"/>
    <s v="Married"/>
    <n v="19161"/>
    <n v="13738"/>
    <n v="3"/>
    <s v="Y"/>
    <x v="1"/>
    <n v="15"/>
    <n v="3"/>
    <n v="4"/>
    <n v="80"/>
    <n v="0"/>
    <n v="28"/>
    <n v="3"/>
    <n v="3"/>
    <n v="5"/>
    <n v="4"/>
    <n v="4"/>
    <n v="3"/>
    <n v="0"/>
    <x v="1"/>
  </r>
  <r>
    <n v="42"/>
    <s v="No"/>
    <s v="Travel_Rarely"/>
    <n v="419"/>
    <x v="0"/>
    <n v="12"/>
    <n v="4"/>
    <x v="3"/>
    <n v="1"/>
    <x v="1378"/>
    <n v="2"/>
    <s v="Male"/>
    <n v="77"/>
    <n v="3"/>
    <x v="0"/>
    <x v="0"/>
    <n v="4"/>
    <s v="Divorced"/>
    <n v="5087"/>
    <n v="2900"/>
    <n v="3"/>
    <s v="Y"/>
    <x v="0"/>
    <n v="12"/>
    <n v="3"/>
    <n v="3"/>
    <n v="80"/>
    <n v="2"/>
    <n v="14"/>
    <n v="4"/>
    <n v="3"/>
    <n v="0"/>
    <n v="0"/>
    <n v="0"/>
    <n v="0"/>
    <n v="0"/>
    <x v="0"/>
  </r>
  <r>
    <n v="27"/>
    <s v="Yes"/>
    <s v="Travel_Frequently"/>
    <n v="1337"/>
    <x v="2"/>
    <n v="22"/>
    <n v="3"/>
    <x v="5"/>
    <n v="1"/>
    <x v="1379"/>
    <n v="1"/>
    <s v="Female"/>
    <n v="58"/>
    <n v="2"/>
    <x v="1"/>
    <x v="8"/>
    <n v="2"/>
    <s v="Married"/>
    <n v="2863"/>
    <n v="19555"/>
    <n v="1"/>
    <s v="Y"/>
    <x v="1"/>
    <n v="12"/>
    <n v="3"/>
    <n v="1"/>
    <n v="80"/>
    <n v="0"/>
    <n v="1"/>
    <n v="2"/>
    <n v="3"/>
    <n v="1"/>
    <n v="0"/>
    <n v="0"/>
    <n v="0"/>
    <n v="1"/>
    <x v="2"/>
  </r>
  <r>
    <n v="35"/>
    <s v="No"/>
    <s v="Travel_Rarely"/>
    <n v="682"/>
    <x v="0"/>
    <n v="18"/>
    <n v="4"/>
    <x v="2"/>
    <n v="1"/>
    <x v="1380"/>
    <n v="2"/>
    <s v="Male"/>
    <n v="71"/>
    <n v="3"/>
    <x v="0"/>
    <x v="0"/>
    <n v="1"/>
    <s v="Married"/>
    <n v="5561"/>
    <n v="15975"/>
    <n v="0"/>
    <s v="Y"/>
    <x v="1"/>
    <n v="16"/>
    <n v="3"/>
    <n v="4"/>
    <n v="80"/>
    <n v="1"/>
    <n v="6"/>
    <n v="2"/>
    <n v="1"/>
    <n v="5"/>
    <n v="3"/>
    <n v="0"/>
    <n v="4"/>
    <n v="0"/>
    <x v="2"/>
  </r>
  <r>
    <n v="28"/>
    <s v="No"/>
    <s v="Non-Travel"/>
    <n v="1103"/>
    <x v="1"/>
    <n v="16"/>
    <n v="3"/>
    <x v="2"/>
    <n v="1"/>
    <x v="1381"/>
    <n v="3"/>
    <s v="Male"/>
    <n v="49"/>
    <n v="3"/>
    <x v="1"/>
    <x v="1"/>
    <n v="3"/>
    <s v="Single"/>
    <n v="2144"/>
    <n v="2122"/>
    <n v="1"/>
    <s v="Y"/>
    <x v="1"/>
    <n v="14"/>
    <n v="3"/>
    <n v="3"/>
    <n v="80"/>
    <n v="0"/>
    <n v="5"/>
    <n v="3"/>
    <n v="2"/>
    <n v="5"/>
    <n v="3"/>
    <n v="1"/>
    <n v="4"/>
    <n v="0"/>
    <x v="2"/>
  </r>
  <r>
    <n v="31"/>
    <s v="No"/>
    <s v="Non-Travel"/>
    <n v="976"/>
    <x v="1"/>
    <n v="3"/>
    <n v="2"/>
    <x v="2"/>
    <n v="1"/>
    <x v="1382"/>
    <n v="3"/>
    <s v="Male"/>
    <n v="48"/>
    <n v="3"/>
    <x v="1"/>
    <x v="1"/>
    <n v="1"/>
    <s v="Divorced"/>
    <n v="3065"/>
    <n v="3995"/>
    <n v="1"/>
    <s v="Y"/>
    <x v="0"/>
    <n v="13"/>
    <n v="3"/>
    <n v="4"/>
    <n v="80"/>
    <n v="1"/>
    <n v="4"/>
    <n v="3"/>
    <n v="4"/>
    <n v="4"/>
    <n v="2"/>
    <n v="2"/>
    <n v="3"/>
    <n v="0"/>
    <x v="2"/>
  </r>
  <r>
    <n v="36"/>
    <s v="No"/>
    <s v="Non-Travel"/>
    <n v="1351"/>
    <x v="1"/>
    <n v="9"/>
    <n v="4"/>
    <x v="0"/>
    <n v="1"/>
    <x v="1383"/>
    <n v="1"/>
    <s v="Male"/>
    <n v="66"/>
    <n v="4"/>
    <x v="1"/>
    <x v="2"/>
    <n v="2"/>
    <s v="Married"/>
    <n v="2810"/>
    <n v="9238"/>
    <n v="1"/>
    <s v="Y"/>
    <x v="1"/>
    <n v="22"/>
    <n v="4"/>
    <n v="2"/>
    <n v="80"/>
    <n v="0"/>
    <n v="5"/>
    <n v="3"/>
    <n v="3"/>
    <n v="5"/>
    <n v="4"/>
    <n v="0"/>
    <n v="2"/>
    <n v="0"/>
    <x v="0"/>
  </r>
  <r>
    <n v="34"/>
    <s v="No"/>
    <s v="Travel_Rarely"/>
    <n v="937"/>
    <x v="0"/>
    <n v="1"/>
    <n v="3"/>
    <x v="3"/>
    <n v="1"/>
    <x v="1384"/>
    <n v="1"/>
    <s v="Male"/>
    <n v="32"/>
    <n v="3"/>
    <x v="2"/>
    <x v="0"/>
    <n v="4"/>
    <s v="Single"/>
    <n v="9888"/>
    <n v="6770"/>
    <n v="1"/>
    <s v="Y"/>
    <x v="1"/>
    <n v="21"/>
    <n v="4"/>
    <n v="1"/>
    <n v="80"/>
    <n v="0"/>
    <n v="14"/>
    <n v="3"/>
    <n v="2"/>
    <n v="14"/>
    <n v="8"/>
    <n v="2"/>
    <n v="1"/>
    <n v="0"/>
    <x v="2"/>
  </r>
  <r>
    <n v="34"/>
    <s v="No"/>
    <s v="Travel_Rarely"/>
    <n v="1239"/>
    <x v="0"/>
    <n v="13"/>
    <n v="4"/>
    <x v="2"/>
    <n v="1"/>
    <x v="1385"/>
    <n v="4"/>
    <s v="Male"/>
    <n v="39"/>
    <n v="3"/>
    <x v="2"/>
    <x v="0"/>
    <n v="3"/>
    <s v="Divorced"/>
    <n v="8628"/>
    <n v="22914"/>
    <n v="1"/>
    <s v="Y"/>
    <x v="1"/>
    <n v="18"/>
    <n v="3"/>
    <n v="3"/>
    <n v="80"/>
    <n v="1"/>
    <n v="9"/>
    <n v="2"/>
    <n v="2"/>
    <n v="8"/>
    <n v="7"/>
    <n v="1"/>
    <n v="1"/>
    <n v="0"/>
    <x v="2"/>
  </r>
  <r>
    <n v="26"/>
    <s v="No"/>
    <s v="Travel_Rarely"/>
    <n v="157"/>
    <x v="1"/>
    <n v="1"/>
    <n v="3"/>
    <x v="2"/>
    <n v="1"/>
    <x v="1386"/>
    <n v="3"/>
    <s v="Male"/>
    <n v="95"/>
    <n v="3"/>
    <x v="1"/>
    <x v="2"/>
    <n v="1"/>
    <s v="Single"/>
    <n v="2867"/>
    <n v="20006"/>
    <n v="0"/>
    <s v="Y"/>
    <x v="1"/>
    <n v="13"/>
    <n v="3"/>
    <n v="4"/>
    <n v="80"/>
    <n v="0"/>
    <n v="8"/>
    <n v="6"/>
    <n v="2"/>
    <n v="7"/>
    <n v="7"/>
    <n v="7"/>
    <n v="6"/>
    <n v="0"/>
    <x v="2"/>
  </r>
  <r>
    <n v="29"/>
    <s v="No"/>
    <s v="Travel_Rarely"/>
    <n v="136"/>
    <x v="1"/>
    <n v="1"/>
    <n v="3"/>
    <x v="0"/>
    <n v="1"/>
    <x v="1387"/>
    <n v="1"/>
    <s v="Male"/>
    <n v="89"/>
    <n v="3"/>
    <x v="0"/>
    <x v="4"/>
    <n v="1"/>
    <s v="Married"/>
    <n v="5373"/>
    <n v="6225"/>
    <n v="0"/>
    <s v="Y"/>
    <x v="1"/>
    <n v="12"/>
    <n v="3"/>
    <n v="1"/>
    <n v="80"/>
    <n v="1"/>
    <n v="6"/>
    <n v="5"/>
    <n v="2"/>
    <n v="5"/>
    <n v="3"/>
    <n v="0"/>
    <n v="2"/>
    <n v="0"/>
    <x v="2"/>
  </r>
  <r>
    <n v="32"/>
    <s v="No"/>
    <s v="Non-Travel"/>
    <n v="1146"/>
    <x v="1"/>
    <n v="15"/>
    <n v="4"/>
    <x v="2"/>
    <n v="1"/>
    <x v="1388"/>
    <n v="3"/>
    <s v="Female"/>
    <n v="34"/>
    <n v="3"/>
    <x v="0"/>
    <x v="4"/>
    <n v="4"/>
    <s v="Divorced"/>
    <n v="6667"/>
    <n v="16542"/>
    <n v="5"/>
    <s v="Y"/>
    <x v="1"/>
    <n v="18"/>
    <n v="3"/>
    <n v="2"/>
    <n v="80"/>
    <n v="1"/>
    <n v="9"/>
    <n v="6"/>
    <n v="3"/>
    <n v="5"/>
    <n v="1"/>
    <n v="1"/>
    <n v="2"/>
    <n v="0"/>
    <x v="2"/>
  </r>
  <r>
    <n v="31"/>
    <s v="No"/>
    <s v="Travel_Frequently"/>
    <n v="1125"/>
    <x v="1"/>
    <n v="1"/>
    <n v="3"/>
    <x v="0"/>
    <n v="1"/>
    <x v="1389"/>
    <n v="4"/>
    <s v="Male"/>
    <n v="48"/>
    <n v="1"/>
    <x v="0"/>
    <x v="1"/>
    <n v="1"/>
    <s v="Married"/>
    <n v="5003"/>
    <n v="5771"/>
    <n v="1"/>
    <s v="Y"/>
    <x v="1"/>
    <n v="21"/>
    <n v="4"/>
    <n v="2"/>
    <n v="80"/>
    <n v="0"/>
    <n v="10"/>
    <n v="6"/>
    <n v="3"/>
    <n v="10"/>
    <n v="8"/>
    <n v="8"/>
    <n v="7"/>
    <n v="0"/>
    <x v="2"/>
  </r>
  <r>
    <n v="28"/>
    <s v="Yes"/>
    <s v="Travel_Rarely"/>
    <n v="1404"/>
    <x v="1"/>
    <n v="17"/>
    <n v="3"/>
    <x v="4"/>
    <n v="1"/>
    <x v="1390"/>
    <n v="3"/>
    <s v="Male"/>
    <n v="32"/>
    <n v="2"/>
    <x v="1"/>
    <x v="2"/>
    <n v="4"/>
    <s v="Divorced"/>
    <n v="2367"/>
    <n v="18779"/>
    <n v="5"/>
    <s v="Y"/>
    <x v="1"/>
    <n v="12"/>
    <n v="3"/>
    <n v="1"/>
    <n v="80"/>
    <n v="1"/>
    <n v="6"/>
    <n v="2"/>
    <n v="2"/>
    <n v="4"/>
    <n v="1"/>
    <n v="0"/>
    <n v="3"/>
    <n v="1"/>
    <x v="2"/>
  </r>
  <r>
    <n v="38"/>
    <s v="No"/>
    <s v="Travel_Rarely"/>
    <n v="1404"/>
    <x v="0"/>
    <n v="1"/>
    <n v="3"/>
    <x v="0"/>
    <n v="1"/>
    <x v="1391"/>
    <n v="1"/>
    <s v="Male"/>
    <n v="59"/>
    <n v="2"/>
    <x v="1"/>
    <x v="6"/>
    <n v="1"/>
    <s v="Single"/>
    <n v="2858"/>
    <n v="11473"/>
    <n v="4"/>
    <s v="Y"/>
    <x v="1"/>
    <n v="14"/>
    <n v="3"/>
    <n v="1"/>
    <n v="80"/>
    <n v="0"/>
    <n v="20"/>
    <n v="3"/>
    <n v="2"/>
    <n v="1"/>
    <n v="0"/>
    <n v="0"/>
    <n v="0"/>
    <n v="0"/>
    <x v="0"/>
  </r>
  <r>
    <n v="35"/>
    <s v="No"/>
    <s v="Travel_Rarely"/>
    <n v="1224"/>
    <x v="0"/>
    <n v="7"/>
    <n v="4"/>
    <x v="0"/>
    <n v="1"/>
    <x v="1392"/>
    <n v="3"/>
    <s v="Female"/>
    <n v="55"/>
    <n v="3"/>
    <x v="0"/>
    <x v="0"/>
    <n v="4"/>
    <s v="Married"/>
    <n v="5204"/>
    <n v="13586"/>
    <n v="1"/>
    <s v="Y"/>
    <x v="0"/>
    <n v="11"/>
    <n v="3"/>
    <n v="4"/>
    <n v="80"/>
    <n v="0"/>
    <n v="10"/>
    <n v="2"/>
    <n v="3"/>
    <n v="10"/>
    <n v="8"/>
    <n v="0"/>
    <n v="9"/>
    <n v="0"/>
    <x v="2"/>
  </r>
  <r>
    <n v="27"/>
    <s v="No"/>
    <s v="Travel_Rarely"/>
    <n v="954"/>
    <x v="0"/>
    <n v="9"/>
    <n v="3"/>
    <x v="3"/>
    <n v="1"/>
    <x v="1393"/>
    <n v="4"/>
    <s v="Male"/>
    <n v="44"/>
    <n v="3"/>
    <x v="0"/>
    <x v="0"/>
    <n v="4"/>
    <s v="Single"/>
    <n v="4105"/>
    <n v="5099"/>
    <n v="1"/>
    <s v="Y"/>
    <x v="1"/>
    <n v="14"/>
    <n v="3"/>
    <n v="1"/>
    <n v="80"/>
    <n v="0"/>
    <n v="7"/>
    <n v="5"/>
    <n v="3"/>
    <n v="7"/>
    <n v="7"/>
    <n v="0"/>
    <n v="7"/>
    <n v="0"/>
    <x v="2"/>
  </r>
  <r>
    <n v="32"/>
    <s v="No"/>
    <s v="Travel_Rarely"/>
    <n v="1373"/>
    <x v="1"/>
    <n v="5"/>
    <n v="4"/>
    <x v="0"/>
    <n v="1"/>
    <x v="1394"/>
    <n v="4"/>
    <s v="Male"/>
    <n v="56"/>
    <n v="2"/>
    <x v="0"/>
    <x v="3"/>
    <n v="4"/>
    <s v="Single"/>
    <n v="9679"/>
    <n v="10138"/>
    <n v="8"/>
    <s v="Y"/>
    <x v="1"/>
    <n v="24"/>
    <n v="4"/>
    <n v="2"/>
    <n v="80"/>
    <n v="0"/>
    <n v="8"/>
    <n v="1"/>
    <n v="3"/>
    <n v="1"/>
    <n v="0"/>
    <n v="0"/>
    <n v="0"/>
    <n v="0"/>
    <x v="2"/>
  </r>
  <r>
    <n v="31"/>
    <s v="Yes"/>
    <s v="Travel_Frequently"/>
    <n v="754"/>
    <x v="0"/>
    <n v="26"/>
    <n v="4"/>
    <x v="3"/>
    <n v="1"/>
    <x v="1395"/>
    <n v="1"/>
    <s v="Male"/>
    <n v="63"/>
    <n v="3"/>
    <x v="0"/>
    <x v="0"/>
    <n v="4"/>
    <s v="Married"/>
    <n v="5617"/>
    <n v="21075"/>
    <n v="1"/>
    <s v="Y"/>
    <x v="0"/>
    <n v="11"/>
    <n v="3"/>
    <n v="3"/>
    <n v="80"/>
    <n v="0"/>
    <n v="10"/>
    <n v="4"/>
    <n v="3"/>
    <n v="10"/>
    <n v="7"/>
    <n v="0"/>
    <n v="8"/>
    <n v="1"/>
    <x v="2"/>
  </r>
  <r>
    <n v="53"/>
    <s v="Yes"/>
    <s v="Travel_Rarely"/>
    <n v="1168"/>
    <x v="0"/>
    <n v="24"/>
    <n v="4"/>
    <x v="0"/>
    <n v="1"/>
    <x v="1396"/>
    <n v="1"/>
    <s v="Male"/>
    <n v="66"/>
    <n v="3"/>
    <x v="2"/>
    <x v="0"/>
    <n v="1"/>
    <s v="Single"/>
    <n v="10448"/>
    <n v="5843"/>
    <n v="6"/>
    <s v="Y"/>
    <x v="0"/>
    <n v="13"/>
    <n v="3"/>
    <n v="2"/>
    <n v="80"/>
    <n v="0"/>
    <n v="15"/>
    <n v="2"/>
    <n v="2"/>
    <n v="2"/>
    <n v="2"/>
    <n v="2"/>
    <n v="2"/>
    <n v="1"/>
    <x v="1"/>
  </r>
  <r>
    <n v="54"/>
    <s v="No"/>
    <s v="Travel_Rarely"/>
    <n v="155"/>
    <x v="1"/>
    <n v="9"/>
    <n v="2"/>
    <x v="0"/>
    <n v="1"/>
    <x v="1397"/>
    <n v="1"/>
    <s v="Female"/>
    <n v="67"/>
    <n v="3"/>
    <x v="0"/>
    <x v="1"/>
    <n v="3"/>
    <s v="Married"/>
    <n v="2897"/>
    <n v="22474"/>
    <n v="3"/>
    <s v="Y"/>
    <x v="1"/>
    <n v="11"/>
    <n v="3"/>
    <n v="3"/>
    <n v="80"/>
    <n v="2"/>
    <n v="9"/>
    <n v="6"/>
    <n v="2"/>
    <n v="4"/>
    <n v="3"/>
    <n v="2"/>
    <n v="3"/>
    <n v="0"/>
    <x v="1"/>
  </r>
  <r>
    <n v="33"/>
    <s v="No"/>
    <s v="Travel_Frequently"/>
    <n v="1303"/>
    <x v="1"/>
    <n v="7"/>
    <n v="2"/>
    <x v="0"/>
    <n v="1"/>
    <x v="1398"/>
    <n v="4"/>
    <s v="Male"/>
    <n v="36"/>
    <n v="3"/>
    <x v="0"/>
    <x v="4"/>
    <n v="3"/>
    <s v="Divorced"/>
    <n v="5968"/>
    <n v="18079"/>
    <n v="1"/>
    <s v="Y"/>
    <x v="1"/>
    <n v="20"/>
    <n v="4"/>
    <n v="3"/>
    <n v="80"/>
    <n v="3"/>
    <n v="9"/>
    <n v="2"/>
    <n v="3"/>
    <n v="9"/>
    <n v="7"/>
    <n v="2"/>
    <n v="8"/>
    <n v="0"/>
    <x v="2"/>
  </r>
  <r>
    <n v="43"/>
    <s v="No"/>
    <s v="Travel_Rarely"/>
    <n v="574"/>
    <x v="1"/>
    <n v="11"/>
    <n v="3"/>
    <x v="0"/>
    <n v="1"/>
    <x v="1399"/>
    <n v="1"/>
    <s v="Male"/>
    <n v="30"/>
    <n v="3"/>
    <x v="2"/>
    <x v="4"/>
    <n v="3"/>
    <s v="Married"/>
    <n v="7510"/>
    <n v="16873"/>
    <n v="1"/>
    <s v="Y"/>
    <x v="1"/>
    <n v="17"/>
    <n v="3"/>
    <n v="2"/>
    <n v="80"/>
    <n v="1"/>
    <n v="10"/>
    <n v="1"/>
    <n v="3"/>
    <n v="10"/>
    <n v="9"/>
    <n v="0"/>
    <n v="9"/>
    <n v="0"/>
    <x v="0"/>
  </r>
  <r>
    <n v="38"/>
    <s v="No"/>
    <s v="Travel_Frequently"/>
    <n v="1444"/>
    <x v="2"/>
    <n v="1"/>
    <n v="4"/>
    <x v="1"/>
    <n v="1"/>
    <x v="1400"/>
    <n v="4"/>
    <s v="Male"/>
    <n v="88"/>
    <n v="3"/>
    <x v="1"/>
    <x v="8"/>
    <n v="2"/>
    <s v="Married"/>
    <n v="2991"/>
    <n v="5224"/>
    <n v="0"/>
    <s v="Y"/>
    <x v="0"/>
    <n v="11"/>
    <n v="3"/>
    <n v="2"/>
    <n v="80"/>
    <n v="1"/>
    <n v="7"/>
    <n v="2"/>
    <n v="3"/>
    <n v="6"/>
    <n v="2"/>
    <n v="1"/>
    <n v="2"/>
    <n v="0"/>
    <x v="0"/>
  </r>
  <r>
    <n v="55"/>
    <s v="No"/>
    <s v="Travel_Rarely"/>
    <n v="189"/>
    <x v="2"/>
    <n v="26"/>
    <n v="4"/>
    <x v="5"/>
    <n v="1"/>
    <x v="1401"/>
    <n v="3"/>
    <s v="Male"/>
    <n v="71"/>
    <n v="4"/>
    <x v="4"/>
    <x v="5"/>
    <n v="2"/>
    <s v="Married"/>
    <n v="19636"/>
    <n v="25811"/>
    <n v="4"/>
    <s v="Y"/>
    <x v="0"/>
    <n v="18"/>
    <n v="3"/>
    <n v="1"/>
    <n v="80"/>
    <n v="1"/>
    <n v="35"/>
    <n v="0"/>
    <n v="3"/>
    <n v="10"/>
    <n v="9"/>
    <n v="1"/>
    <n v="4"/>
    <n v="0"/>
    <x v="1"/>
  </r>
  <r>
    <n v="31"/>
    <s v="No"/>
    <s v="Travel_Rarely"/>
    <n v="1276"/>
    <x v="1"/>
    <n v="2"/>
    <n v="1"/>
    <x v="2"/>
    <n v="1"/>
    <x v="1402"/>
    <n v="4"/>
    <s v="Female"/>
    <n v="59"/>
    <n v="1"/>
    <x v="1"/>
    <x v="2"/>
    <n v="4"/>
    <s v="Divorced"/>
    <n v="1129"/>
    <n v="17536"/>
    <n v="1"/>
    <s v="Y"/>
    <x v="0"/>
    <n v="11"/>
    <n v="3"/>
    <n v="3"/>
    <n v="80"/>
    <n v="3"/>
    <n v="1"/>
    <n v="4"/>
    <n v="3"/>
    <n v="1"/>
    <n v="0"/>
    <n v="0"/>
    <n v="0"/>
    <n v="0"/>
    <x v="2"/>
  </r>
  <r>
    <n v="39"/>
    <s v="No"/>
    <s v="Travel_Rarely"/>
    <n v="119"/>
    <x v="0"/>
    <n v="15"/>
    <n v="4"/>
    <x v="3"/>
    <n v="1"/>
    <x v="1403"/>
    <n v="2"/>
    <s v="Male"/>
    <n v="77"/>
    <n v="3"/>
    <x v="3"/>
    <x v="0"/>
    <n v="1"/>
    <s v="Single"/>
    <n v="13341"/>
    <n v="25098"/>
    <n v="0"/>
    <s v="Y"/>
    <x v="1"/>
    <n v="12"/>
    <n v="3"/>
    <n v="1"/>
    <n v="80"/>
    <n v="0"/>
    <n v="21"/>
    <n v="3"/>
    <n v="3"/>
    <n v="20"/>
    <n v="8"/>
    <n v="11"/>
    <n v="10"/>
    <n v="0"/>
    <x v="0"/>
  </r>
  <r>
    <n v="42"/>
    <s v="No"/>
    <s v="Non-Travel"/>
    <n v="335"/>
    <x v="1"/>
    <n v="23"/>
    <n v="2"/>
    <x v="0"/>
    <n v="1"/>
    <x v="1404"/>
    <n v="4"/>
    <s v="Male"/>
    <n v="37"/>
    <n v="2"/>
    <x v="0"/>
    <x v="1"/>
    <n v="3"/>
    <s v="Single"/>
    <n v="4332"/>
    <n v="14811"/>
    <n v="1"/>
    <s v="Y"/>
    <x v="1"/>
    <n v="12"/>
    <n v="3"/>
    <n v="4"/>
    <n v="80"/>
    <n v="0"/>
    <n v="20"/>
    <n v="2"/>
    <n v="3"/>
    <n v="20"/>
    <n v="9"/>
    <n v="3"/>
    <n v="7"/>
    <n v="0"/>
    <x v="0"/>
  </r>
  <r>
    <n v="31"/>
    <s v="No"/>
    <s v="Non-Travel"/>
    <n v="697"/>
    <x v="1"/>
    <n v="10"/>
    <n v="3"/>
    <x v="2"/>
    <n v="1"/>
    <x v="1405"/>
    <n v="3"/>
    <s v="Female"/>
    <n v="40"/>
    <n v="3"/>
    <x v="2"/>
    <x v="7"/>
    <n v="3"/>
    <s v="Married"/>
    <n v="11031"/>
    <n v="26862"/>
    <n v="4"/>
    <s v="Y"/>
    <x v="1"/>
    <n v="20"/>
    <n v="4"/>
    <n v="3"/>
    <n v="80"/>
    <n v="1"/>
    <n v="13"/>
    <n v="2"/>
    <n v="4"/>
    <n v="11"/>
    <n v="7"/>
    <n v="4"/>
    <n v="8"/>
    <n v="0"/>
    <x v="2"/>
  </r>
  <r>
    <n v="54"/>
    <s v="No"/>
    <s v="Travel_Rarely"/>
    <n v="157"/>
    <x v="1"/>
    <n v="10"/>
    <n v="3"/>
    <x v="2"/>
    <n v="1"/>
    <x v="1406"/>
    <n v="3"/>
    <s v="Female"/>
    <n v="77"/>
    <n v="3"/>
    <x v="0"/>
    <x v="3"/>
    <n v="1"/>
    <s v="Single"/>
    <n v="4440"/>
    <n v="25198"/>
    <n v="6"/>
    <s v="Y"/>
    <x v="0"/>
    <n v="19"/>
    <n v="3"/>
    <n v="4"/>
    <n v="80"/>
    <n v="0"/>
    <n v="9"/>
    <n v="3"/>
    <n v="3"/>
    <n v="5"/>
    <n v="2"/>
    <n v="1"/>
    <n v="4"/>
    <n v="0"/>
    <x v="1"/>
  </r>
  <r>
    <n v="24"/>
    <s v="No"/>
    <s v="Travel_Rarely"/>
    <n v="771"/>
    <x v="1"/>
    <n v="1"/>
    <n v="2"/>
    <x v="0"/>
    <n v="1"/>
    <x v="1407"/>
    <n v="2"/>
    <s v="Male"/>
    <n v="45"/>
    <n v="2"/>
    <x v="0"/>
    <x v="4"/>
    <n v="3"/>
    <s v="Single"/>
    <n v="4617"/>
    <n v="14120"/>
    <n v="1"/>
    <s v="Y"/>
    <x v="1"/>
    <n v="12"/>
    <n v="3"/>
    <n v="2"/>
    <n v="80"/>
    <n v="0"/>
    <n v="4"/>
    <n v="2"/>
    <n v="2"/>
    <n v="4"/>
    <n v="3"/>
    <n v="1"/>
    <n v="2"/>
    <n v="0"/>
    <x v="4"/>
  </r>
  <r>
    <n v="23"/>
    <s v="No"/>
    <s v="Travel_Rarely"/>
    <n v="571"/>
    <x v="1"/>
    <n v="12"/>
    <n v="2"/>
    <x v="1"/>
    <n v="1"/>
    <x v="1408"/>
    <n v="4"/>
    <s v="Male"/>
    <n v="78"/>
    <n v="3"/>
    <x v="1"/>
    <x v="2"/>
    <n v="4"/>
    <s v="Single"/>
    <n v="2647"/>
    <n v="13672"/>
    <n v="1"/>
    <s v="Y"/>
    <x v="1"/>
    <n v="13"/>
    <n v="3"/>
    <n v="3"/>
    <n v="80"/>
    <n v="0"/>
    <n v="5"/>
    <n v="6"/>
    <n v="4"/>
    <n v="5"/>
    <n v="2"/>
    <n v="1"/>
    <n v="4"/>
    <n v="0"/>
    <x v="4"/>
  </r>
  <r>
    <n v="40"/>
    <s v="No"/>
    <s v="Travel_Frequently"/>
    <n v="692"/>
    <x v="1"/>
    <n v="11"/>
    <n v="3"/>
    <x v="4"/>
    <n v="1"/>
    <x v="1409"/>
    <n v="4"/>
    <s v="Female"/>
    <n v="73"/>
    <n v="3"/>
    <x v="0"/>
    <x v="2"/>
    <n v="3"/>
    <s v="Married"/>
    <n v="6323"/>
    <n v="26849"/>
    <n v="1"/>
    <s v="Y"/>
    <x v="1"/>
    <n v="11"/>
    <n v="3"/>
    <n v="1"/>
    <n v="80"/>
    <n v="1"/>
    <n v="10"/>
    <n v="2"/>
    <n v="4"/>
    <n v="10"/>
    <n v="9"/>
    <n v="9"/>
    <n v="4"/>
    <n v="0"/>
    <x v="0"/>
  </r>
  <r>
    <n v="40"/>
    <s v="No"/>
    <s v="Travel_Rarely"/>
    <n v="444"/>
    <x v="0"/>
    <n v="2"/>
    <n v="2"/>
    <x v="3"/>
    <n v="1"/>
    <x v="1410"/>
    <n v="2"/>
    <s v="Female"/>
    <n v="92"/>
    <n v="3"/>
    <x v="0"/>
    <x v="0"/>
    <n v="2"/>
    <s v="Married"/>
    <n v="5677"/>
    <n v="4258"/>
    <n v="3"/>
    <s v="Y"/>
    <x v="1"/>
    <n v="14"/>
    <n v="3"/>
    <n v="3"/>
    <n v="80"/>
    <n v="1"/>
    <n v="15"/>
    <n v="4"/>
    <n v="3"/>
    <n v="11"/>
    <n v="8"/>
    <n v="5"/>
    <n v="10"/>
    <n v="0"/>
    <x v="0"/>
  </r>
  <r>
    <n v="25"/>
    <s v="No"/>
    <s v="Travel_Rarely"/>
    <n v="309"/>
    <x v="2"/>
    <n v="2"/>
    <n v="3"/>
    <x v="5"/>
    <n v="1"/>
    <x v="1411"/>
    <n v="3"/>
    <s v="Female"/>
    <n v="82"/>
    <n v="3"/>
    <x v="1"/>
    <x v="8"/>
    <n v="2"/>
    <s v="Married"/>
    <n v="2187"/>
    <n v="19655"/>
    <n v="4"/>
    <s v="Y"/>
    <x v="1"/>
    <n v="14"/>
    <n v="3"/>
    <n v="3"/>
    <n v="80"/>
    <n v="0"/>
    <n v="6"/>
    <n v="3"/>
    <n v="3"/>
    <n v="2"/>
    <n v="0"/>
    <n v="1"/>
    <n v="2"/>
    <n v="0"/>
    <x v="4"/>
  </r>
  <r>
    <n v="30"/>
    <s v="No"/>
    <s v="Travel_Rarely"/>
    <n v="911"/>
    <x v="1"/>
    <n v="1"/>
    <n v="2"/>
    <x v="2"/>
    <n v="1"/>
    <x v="1412"/>
    <n v="4"/>
    <s v="Male"/>
    <n v="76"/>
    <n v="3"/>
    <x v="1"/>
    <x v="2"/>
    <n v="2"/>
    <s v="Married"/>
    <n v="3748"/>
    <n v="4077"/>
    <n v="1"/>
    <s v="Y"/>
    <x v="1"/>
    <n v="13"/>
    <n v="3"/>
    <n v="3"/>
    <n v="80"/>
    <n v="0"/>
    <n v="12"/>
    <n v="6"/>
    <n v="2"/>
    <n v="12"/>
    <n v="8"/>
    <n v="1"/>
    <n v="7"/>
    <n v="0"/>
    <x v="2"/>
  </r>
  <r>
    <n v="25"/>
    <s v="No"/>
    <s v="Travel_Rarely"/>
    <n v="977"/>
    <x v="1"/>
    <n v="2"/>
    <n v="1"/>
    <x v="1"/>
    <n v="1"/>
    <x v="1413"/>
    <n v="4"/>
    <s v="Male"/>
    <n v="57"/>
    <n v="3"/>
    <x v="1"/>
    <x v="2"/>
    <n v="3"/>
    <s v="Divorced"/>
    <n v="3977"/>
    <n v="7298"/>
    <n v="6"/>
    <s v="Y"/>
    <x v="0"/>
    <n v="19"/>
    <n v="3"/>
    <n v="3"/>
    <n v="80"/>
    <n v="1"/>
    <n v="7"/>
    <n v="2"/>
    <n v="2"/>
    <n v="2"/>
    <n v="2"/>
    <n v="0"/>
    <n v="2"/>
    <n v="0"/>
    <x v="4"/>
  </r>
  <r>
    <n v="47"/>
    <s v="No"/>
    <s v="Travel_Rarely"/>
    <n v="1180"/>
    <x v="1"/>
    <n v="25"/>
    <n v="3"/>
    <x v="2"/>
    <n v="1"/>
    <x v="1414"/>
    <n v="1"/>
    <s v="Male"/>
    <n v="84"/>
    <n v="3"/>
    <x v="2"/>
    <x v="4"/>
    <n v="3"/>
    <s v="Single"/>
    <n v="8633"/>
    <n v="13084"/>
    <n v="2"/>
    <s v="Y"/>
    <x v="1"/>
    <n v="23"/>
    <n v="4"/>
    <n v="2"/>
    <n v="80"/>
    <n v="0"/>
    <n v="25"/>
    <n v="3"/>
    <n v="3"/>
    <n v="17"/>
    <n v="14"/>
    <n v="12"/>
    <n v="11"/>
    <n v="0"/>
    <x v="1"/>
  </r>
  <r>
    <n v="33"/>
    <s v="No"/>
    <s v="Non-Travel"/>
    <n v="1313"/>
    <x v="1"/>
    <n v="1"/>
    <n v="2"/>
    <x v="2"/>
    <n v="1"/>
    <x v="1415"/>
    <n v="2"/>
    <s v="Male"/>
    <n v="59"/>
    <n v="2"/>
    <x v="1"/>
    <x v="2"/>
    <n v="3"/>
    <s v="Divorced"/>
    <n v="2008"/>
    <n v="20439"/>
    <n v="1"/>
    <s v="Y"/>
    <x v="1"/>
    <n v="12"/>
    <n v="3"/>
    <n v="3"/>
    <n v="80"/>
    <n v="3"/>
    <n v="1"/>
    <n v="2"/>
    <n v="2"/>
    <n v="1"/>
    <n v="1"/>
    <n v="0"/>
    <n v="0"/>
    <n v="0"/>
    <x v="2"/>
  </r>
  <r>
    <n v="38"/>
    <s v="No"/>
    <s v="Travel_Rarely"/>
    <n v="1321"/>
    <x v="0"/>
    <n v="1"/>
    <n v="4"/>
    <x v="0"/>
    <n v="1"/>
    <x v="1416"/>
    <n v="4"/>
    <s v="Male"/>
    <n v="86"/>
    <n v="3"/>
    <x v="0"/>
    <x v="0"/>
    <n v="2"/>
    <s v="Married"/>
    <n v="4440"/>
    <n v="7636"/>
    <n v="0"/>
    <s v="Y"/>
    <x v="1"/>
    <n v="15"/>
    <n v="3"/>
    <n v="1"/>
    <n v="80"/>
    <n v="2"/>
    <n v="16"/>
    <n v="3"/>
    <n v="3"/>
    <n v="15"/>
    <n v="13"/>
    <n v="5"/>
    <n v="8"/>
    <n v="0"/>
    <x v="0"/>
  </r>
  <r>
    <n v="31"/>
    <s v="No"/>
    <s v="Travel_Rarely"/>
    <n v="1154"/>
    <x v="0"/>
    <n v="2"/>
    <n v="2"/>
    <x v="0"/>
    <n v="1"/>
    <x v="1417"/>
    <n v="1"/>
    <s v="Male"/>
    <n v="54"/>
    <n v="3"/>
    <x v="1"/>
    <x v="6"/>
    <n v="3"/>
    <s v="Married"/>
    <n v="3067"/>
    <n v="6393"/>
    <n v="0"/>
    <s v="Y"/>
    <x v="1"/>
    <n v="19"/>
    <n v="3"/>
    <n v="3"/>
    <n v="80"/>
    <n v="1"/>
    <n v="3"/>
    <n v="1"/>
    <n v="3"/>
    <n v="2"/>
    <n v="2"/>
    <n v="1"/>
    <n v="2"/>
    <n v="0"/>
    <x v="2"/>
  </r>
  <r>
    <n v="38"/>
    <s v="No"/>
    <s v="Travel_Frequently"/>
    <n v="508"/>
    <x v="1"/>
    <n v="6"/>
    <n v="4"/>
    <x v="0"/>
    <n v="1"/>
    <x v="1418"/>
    <n v="1"/>
    <s v="Male"/>
    <n v="72"/>
    <n v="2"/>
    <x v="0"/>
    <x v="3"/>
    <n v="3"/>
    <s v="Married"/>
    <n v="5321"/>
    <n v="14284"/>
    <n v="2"/>
    <s v="Y"/>
    <x v="1"/>
    <n v="11"/>
    <n v="3"/>
    <n v="4"/>
    <n v="80"/>
    <n v="1"/>
    <n v="10"/>
    <n v="1"/>
    <n v="3"/>
    <n v="8"/>
    <n v="3"/>
    <n v="7"/>
    <n v="7"/>
    <n v="0"/>
    <x v="0"/>
  </r>
  <r>
    <n v="42"/>
    <s v="No"/>
    <s v="Travel_Rarely"/>
    <n v="557"/>
    <x v="1"/>
    <n v="18"/>
    <n v="4"/>
    <x v="0"/>
    <n v="1"/>
    <x v="1419"/>
    <n v="4"/>
    <s v="Male"/>
    <n v="35"/>
    <n v="3"/>
    <x v="0"/>
    <x v="1"/>
    <n v="1"/>
    <s v="Divorced"/>
    <n v="5410"/>
    <n v="11189"/>
    <n v="6"/>
    <s v="Y"/>
    <x v="0"/>
    <n v="17"/>
    <n v="3"/>
    <n v="3"/>
    <n v="80"/>
    <n v="1"/>
    <n v="9"/>
    <n v="3"/>
    <n v="2"/>
    <n v="4"/>
    <n v="3"/>
    <n v="1"/>
    <n v="2"/>
    <n v="0"/>
    <x v="0"/>
  </r>
  <r>
    <n v="41"/>
    <s v="No"/>
    <s v="Travel_Rarely"/>
    <n v="642"/>
    <x v="1"/>
    <n v="1"/>
    <n v="3"/>
    <x v="0"/>
    <n v="1"/>
    <x v="1420"/>
    <n v="4"/>
    <s v="Male"/>
    <n v="76"/>
    <n v="3"/>
    <x v="1"/>
    <x v="1"/>
    <n v="4"/>
    <s v="Married"/>
    <n v="2782"/>
    <n v="21412"/>
    <n v="3"/>
    <s v="Y"/>
    <x v="1"/>
    <n v="22"/>
    <n v="4"/>
    <n v="1"/>
    <n v="80"/>
    <n v="1"/>
    <n v="12"/>
    <n v="3"/>
    <n v="3"/>
    <n v="5"/>
    <n v="3"/>
    <n v="1"/>
    <n v="0"/>
    <n v="0"/>
    <x v="0"/>
  </r>
  <r>
    <n v="47"/>
    <s v="No"/>
    <s v="Non-Travel"/>
    <n v="1162"/>
    <x v="1"/>
    <n v="1"/>
    <n v="1"/>
    <x v="2"/>
    <n v="1"/>
    <x v="1421"/>
    <n v="3"/>
    <s v="Female"/>
    <n v="98"/>
    <n v="3"/>
    <x v="2"/>
    <x v="7"/>
    <n v="2"/>
    <s v="Married"/>
    <n v="11957"/>
    <n v="17231"/>
    <n v="0"/>
    <s v="Y"/>
    <x v="1"/>
    <n v="18"/>
    <n v="3"/>
    <n v="1"/>
    <n v="80"/>
    <n v="2"/>
    <n v="14"/>
    <n v="3"/>
    <n v="1"/>
    <n v="13"/>
    <n v="8"/>
    <n v="5"/>
    <n v="12"/>
    <n v="0"/>
    <x v="1"/>
  </r>
  <r>
    <n v="35"/>
    <s v="No"/>
    <s v="Travel_Rarely"/>
    <n v="1490"/>
    <x v="1"/>
    <n v="11"/>
    <n v="4"/>
    <x v="2"/>
    <n v="1"/>
    <x v="1422"/>
    <n v="4"/>
    <s v="Male"/>
    <n v="43"/>
    <n v="3"/>
    <x v="1"/>
    <x v="2"/>
    <n v="3"/>
    <s v="Married"/>
    <n v="2660"/>
    <n v="20232"/>
    <n v="7"/>
    <s v="Y"/>
    <x v="0"/>
    <n v="11"/>
    <n v="3"/>
    <n v="3"/>
    <n v="80"/>
    <n v="1"/>
    <n v="5"/>
    <n v="3"/>
    <n v="3"/>
    <n v="2"/>
    <n v="2"/>
    <n v="2"/>
    <n v="2"/>
    <n v="0"/>
    <x v="2"/>
  </r>
  <r>
    <n v="22"/>
    <s v="No"/>
    <s v="Travel_Rarely"/>
    <n v="581"/>
    <x v="1"/>
    <n v="1"/>
    <n v="2"/>
    <x v="0"/>
    <n v="1"/>
    <x v="1423"/>
    <n v="4"/>
    <s v="Male"/>
    <n v="63"/>
    <n v="3"/>
    <x v="1"/>
    <x v="1"/>
    <n v="3"/>
    <s v="Single"/>
    <n v="3375"/>
    <n v="17624"/>
    <n v="0"/>
    <s v="Y"/>
    <x v="1"/>
    <n v="12"/>
    <n v="3"/>
    <n v="4"/>
    <n v="80"/>
    <n v="0"/>
    <n v="4"/>
    <n v="2"/>
    <n v="4"/>
    <n v="3"/>
    <n v="2"/>
    <n v="1"/>
    <n v="2"/>
    <n v="0"/>
    <x v="4"/>
  </r>
  <r>
    <n v="35"/>
    <s v="No"/>
    <s v="Travel_Rarely"/>
    <n v="1395"/>
    <x v="1"/>
    <n v="9"/>
    <n v="4"/>
    <x v="2"/>
    <n v="1"/>
    <x v="1424"/>
    <n v="2"/>
    <s v="Male"/>
    <n v="48"/>
    <n v="3"/>
    <x v="0"/>
    <x v="1"/>
    <n v="3"/>
    <s v="Single"/>
    <n v="5098"/>
    <n v="18698"/>
    <n v="1"/>
    <s v="Y"/>
    <x v="1"/>
    <n v="19"/>
    <n v="3"/>
    <n v="2"/>
    <n v="80"/>
    <n v="0"/>
    <n v="10"/>
    <n v="5"/>
    <n v="3"/>
    <n v="10"/>
    <n v="7"/>
    <n v="0"/>
    <n v="8"/>
    <n v="0"/>
    <x v="2"/>
  </r>
  <r>
    <n v="33"/>
    <s v="No"/>
    <s v="Travel_Rarely"/>
    <n v="501"/>
    <x v="1"/>
    <n v="15"/>
    <n v="2"/>
    <x v="2"/>
    <n v="1"/>
    <x v="1425"/>
    <n v="2"/>
    <s v="Female"/>
    <n v="95"/>
    <n v="3"/>
    <x v="0"/>
    <x v="4"/>
    <n v="4"/>
    <s v="Married"/>
    <n v="4878"/>
    <n v="21653"/>
    <n v="0"/>
    <s v="Y"/>
    <x v="0"/>
    <n v="13"/>
    <n v="3"/>
    <n v="1"/>
    <n v="80"/>
    <n v="1"/>
    <n v="10"/>
    <n v="6"/>
    <n v="3"/>
    <n v="9"/>
    <n v="7"/>
    <n v="8"/>
    <n v="1"/>
    <n v="0"/>
    <x v="2"/>
  </r>
  <r>
    <n v="32"/>
    <s v="No"/>
    <s v="Travel_Rarely"/>
    <n v="267"/>
    <x v="1"/>
    <n v="29"/>
    <n v="4"/>
    <x v="0"/>
    <n v="1"/>
    <x v="1426"/>
    <n v="3"/>
    <s v="Female"/>
    <n v="49"/>
    <n v="2"/>
    <x v="1"/>
    <x v="2"/>
    <n v="2"/>
    <s v="Single"/>
    <n v="2837"/>
    <n v="15919"/>
    <n v="1"/>
    <s v="Y"/>
    <x v="1"/>
    <n v="13"/>
    <n v="3"/>
    <n v="3"/>
    <n v="80"/>
    <n v="0"/>
    <n v="6"/>
    <n v="3"/>
    <n v="3"/>
    <n v="6"/>
    <n v="2"/>
    <n v="4"/>
    <n v="1"/>
    <n v="0"/>
    <x v="2"/>
  </r>
  <r>
    <n v="40"/>
    <s v="No"/>
    <s v="Travel_Rarely"/>
    <n v="543"/>
    <x v="1"/>
    <n v="1"/>
    <n v="4"/>
    <x v="0"/>
    <n v="1"/>
    <x v="1427"/>
    <n v="1"/>
    <s v="Male"/>
    <n v="83"/>
    <n v="3"/>
    <x v="1"/>
    <x v="2"/>
    <n v="4"/>
    <s v="Married"/>
    <n v="2406"/>
    <n v="4060"/>
    <n v="8"/>
    <s v="Y"/>
    <x v="1"/>
    <n v="19"/>
    <n v="3"/>
    <n v="3"/>
    <n v="80"/>
    <n v="2"/>
    <n v="8"/>
    <n v="3"/>
    <n v="2"/>
    <n v="1"/>
    <n v="0"/>
    <n v="0"/>
    <n v="0"/>
    <n v="0"/>
    <x v="0"/>
  </r>
  <r>
    <n v="32"/>
    <s v="No"/>
    <s v="Travel_Rarely"/>
    <n v="234"/>
    <x v="0"/>
    <n v="1"/>
    <n v="4"/>
    <x v="2"/>
    <n v="1"/>
    <x v="1428"/>
    <n v="2"/>
    <s v="Male"/>
    <n v="68"/>
    <n v="2"/>
    <x v="1"/>
    <x v="6"/>
    <n v="2"/>
    <s v="Married"/>
    <n v="2269"/>
    <n v="18024"/>
    <n v="0"/>
    <s v="Y"/>
    <x v="1"/>
    <n v="14"/>
    <n v="3"/>
    <n v="2"/>
    <n v="80"/>
    <n v="1"/>
    <n v="3"/>
    <n v="2"/>
    <n v="3"/>
    <n v="2"/>
    <n v="2"/>
    <n v="2"/>
    <n v="2"/>
    <n v="0"/>
    <x v="2"/>
  </r>
  <r>
    <n v="39"/>
    <s v="No"/>
    <s v="Travel_Rarely"/>
    <n v="116"/>
    <x v="1"/>
    <n v="24"/>
    <n v="1"/>
    <x v="0"/>
    <n v="1"/>
    <x v="1429"/>
    <n v="1"/>
    <s v="Male"/>
    <n v="52"/>
    <n v="3"/>
    <x v="0"/>
    <x v="1"/>
    <n v="4"/>
    <s v="Single"/>
    <n v="4108"/>
    <n v="5340"/>
    <n v="7"/>
    <s v="Y"/>
    <x v="1"/>
    <n v="13"/>
    <n v="3"/>
    <n v="1"/>
    <n v="80"/>
    <n v="0"/>
    <n v="18"/>
    <n v="2"/>
    <n v="3"/>
    <n v="7"/>
    <n v="7"/>
    <n v="1"/>
    <n v="7"/>
    <n v="0"/>
    <x v="0"/>
  </r>
  <r>
    <n v="38"/>
    <s v="No"/>
    <s v="Travel_Rarely"/>
    <n v="201"/>
    <x v="1"/>
    <n v="10"/>
    <n v="3"/>
    <x v="2"/>
    <n v="1"/>
    <x v="1430"/>
    <n v="2"/>
    <s v="Female"/>
    <n v="99"/>
    <n v="1"/>
    <x v="2"/>
    <x v="7"/>
    <n v="3"/>
    <s v="Married"/>
    <n v="13206"/>
    <n v="3376"/>
    <n v="3"/>
    <s v="Y"/>
    <x v="1"/>
    <n v="12"/>
    <n v="3"/>
    <n v="1"/>
    <n v="80"/>
    <n v="1"/>
    <n v="20"/>
    <n v="3"/>
    <n v="3"/>
    <n v="18"/>
    <n v="16"/>
    <n v="1"/>
    <n v="11"/>
    <n v="0"/>
    <x v="0"/>
  </r>
  <r>
    <n v="32"/>
    <s v="No"/>
    <s v="Travel_Rarely"/>
    <n v="801"/>
    <x v="0"/>
    <n v="1"/>
    <n v="4"/>
    <x v="3"/>
    <n v="1"/>
    <x v="1431"/>
    <n v="3"/>
    <s v="Female"/>
    <n v="48"/>
    <n v="3"/>
    <x v="2"/>
    <x v="0"/>
    <n v="4"/>
    <s v="Married"/>
    <n v="10422"/>
    <n v="24032"/>
    <n v="1"/>
    <s v="Y"/>
    <x v="1"/>
    <n v="19"/>
    <n v="3"/>
    <n v="3"/>
    <n v="80"/>
    <n v="2"/>
    <n v="14"/>
    <n v="3"/>
    <n v="3"/>
    <n v="14"/>
    <n v="10"/>
    <n v="5"/>
    <n v="7"/>
    <n v="0"/>
    <x v="2"/>
  </r>
  <r>
    <n v="37"/>
    <s v="No"/>
    <s v="Travel_Rarely"/>
    <n v="161"/>
    <x v="1"/>
    <n v="10"/>
    <n v="3"/>
    <x v="0"/>
    <n v="1"/>
    <x v="1432"/>
    <n v="3"/>
    <s v="Female"/>
    <n v="42"/>
    <n v="4"/>
    <x v="2"/>
    <x v="7"/>
    <n v="4"/>
    <s v="Married"/>
    <n v="13744"/>
    <n v="15471"/>
    <n v="1"/>
    <s v="Y"/>
    <x v="0"/>
    <n v="25"/>
    <n v="4"/>
    <n v="1"/>
    <n v="80"/>
    <n v="1"/>
    <n v="16"/>
    <n v="2"/>
    <n v="3"/>
    <n v="16"/>
    <n v="11"/>
    <n v="6"/>
    <n v="8"/>
    <n v="0"/>
    <x v="0"/>
  </r>
  <r>
    <n v="25"/>
    <s v="No"/>
    <s v="Travel_Rarely"/>
    <n v="1382"/>
    <x v="0"/>
    <n v="8"/>
    <n v="2"/>
    <x v="1"/>
    <n v="1"/>
    <x v="1433"/>
    <n v="1"/>
    <s v="Female"/>
    <n v="85"/>
    <n v="3"/>
    <x v="0"/>
    <x v="0"/>
    <n v="3"/>
    <s v="Divorced"/>
    <n v="4907"/>
    <n v="13684"/>
    <n v="0"/>
    <s v="Y"/>
    <x v="0"/>
    <n v="22"/>
    <n v="4"/>
    <n v="2"/>
    <n v="80"/>
    <n v="1"/>
    <n v="6"/>
    <n v="3"/>
    <n v="2"/>
    <n v="5"/>
    <n v="3"/>
    <n v="0"/>
    <n v="4"/>
    <n v="0"/>
    <x v="4"/>
  </r>
  <r>
    <n v="52"/>
    <s v="No"/>
    <s v="Non-Travel"/>
    <n v="585"/>
    <x v="0"/>
    <n v="29"/>
    <n v="4"/>
    <x v="0"/>
    <n v="1"/>
    <x v="1434"/>
    <n v="1"/>
    <s v="Male"/>
    <n v="40"/>
    <n v="3"/>
    <x v="1"/>
    <x v="6"/>
    <n v="4"/>
    <s v="Divorced"/>
    <n v="3482"/>
    <n v="19788"/>
    <n v="2"/>
    <s v="Y"/>
    <x v="1"/>
    <n v="15"/>
    <n v="3"/>
    <n v="2"/>
    <n v="80"/>
    <n v="2"/>
    <n v="16"/>
    <n v="3"/>
    <n v="2"/>
    <n v="9"/>
    <n v="8"/>
    <n v="0"/>
    <n v="0"/>
    <n v="0"/>
    <x v="1"/>
  </r>
  <r>
    <n v="44"/>
    <s v="No"/>
    <s v="Travel_Rarely"/>
    <n v="1037"/>
    <x v="1"/>
    <n v="1"/>
    <n v="3"/>
    <x v="2"/>
    <n v="1"/>
    <x v="1435"/>
    <n v="2"/>
    <s v="Male"/>
    <n v="42"/>
    <n v="3"/>
    <x v="1"/>
    <x v="1"/>
    <n v="4"/>
    <s v="Single"/>
    <n v="2436"/>
    <n v="13422"/>
    <n v="6"/>
    <s v="Y"/>
    <x v="0"/>
    <n v="12"/>
    <n v="3"/>
    <n v="3"/>
    <n v="80"/>
    <n v="0"/>
    <n v="6"/>
    <n v="2"/>
    <n v="3"/>
    <n v="4"/>
    <n v="3"/>
    <n v="1"/>
    <n v="2"/>
    <n v="0"/>
    <x v="0"/>
  </r>
  <r>
    <n v="21"/>
    <s v="No"/>
    <s v="Travel_Rarely"/>
    <n v="501"/>
    <x v="0"/>
    <n v="5"/>
    <n v="1"/>
    <x v="2"/>
    <n v="1"/>
    <x v="1436"/>
    <n v="3"/>
    <s v="Male"/>
    <n v="58"/>
    <n v="3"/>
    <x v="1"/>
    <x v="6"/>
    <n v="1"/>
    <s v="Single"/>
    <n v="2380"/>
    <n v="25479"/>
    <n v="1"/>
    <s v="Y"/>
    <x v="0"/>
    <n v="11"/>
    <n v="3"/>
    <n v="4"/>
    <n v="80"/>
    <n v="0"/>
    <n v="2"/>
    <n v="6"/>
    <n v="3"/>
    <n v="2"/>
    <n v="2"/>
    <n v="1"/>
    <n v="2"/>
    <n v="0"/>
    <x v="4"/>
  </r>
  <r>
    <n v="39"/>
    <s v="No"/>
    <s v="Non-Travel"/>
    <n v="105"/>
    <x v="1"/>
    <n v="9"/>
    <n v="3"/>
    <x v="0"/>
    <n v="1"/>
    <x v="1437"/>
    <n v="4"/>
    <s v="Male"/>
    <n v="87"/>
    <n v="3"/>
    <x v="4"/>
    <x v="5"/>
    <n v="4"/>
    <s v="Single"/>
    <n v="19431"/>
    <n v="15302"/>
    <n v="2"/>
    <s v="Y"/>
    <x v="1"/>
    <n v="13"/>
    <n v="3"/>
    <n v="3"/>
    <n v="80"/>
    <n v="0"/>
    <n v="21"/>
    <n v="3"/>
    <n v="2"/>
    <n v="6"/>
    <n v="0"/>
    <n v="1"/>
    <n v="3"/>
    <n v="0"/>
    <x v="0"/>
  </r>
  <r>
    <n v="23"/>
    <s v="Yes"/>
    <s v="Travel_Frequently"/>
    <n v="638"/>
    <x v="0"/>
    <n v="9"/>
    <n v="3"/>
    <x v="3"/>
    <n v="1"/>
    <x v="1438"/>
    <n v="4"/>
    <s v="Male"/>
    <n v="33"/>
    <n v="3"/>
    <x v="1"/>
    <x v="6"/>
    <n v="1"/>
    <s v="Married"/>
    <n v="1790"/>
    <n v="26956"/>
    <n v="1"/>
    <s v="Y"/>
    <x v="1"/>
    <n v="19"/>
    <n v="3"/>
    <n v="1"/>
    <n v="80"/>
    <n v="1"/>
    <n v="1"/>
    <n v="3"/>
    <n v="2"/>
    <n v="1"/>
    <n v="0"/>
    <n v="1"/>
    <n v="0"/>
    <n v="1"/>
    <x v="4"/>
  </r>
  <r>
    <n v="36"/>
    <s v="No"/>
    <s v="Travel_Rarely"/>
    <n v="557"/>
    <x v="0"/>
    <n v="3"/>
    <n v="3"/>
    <x v="2"/>
    <n v="1"/>
    <x v="1439"/>
    <n v="1"/>
    <s v="Female"/>
    <n v="94"/>
    <n v="2"/>
    <x v="2"/>
    <x v="0"/>
    <n v="4"/>
    <s v="Married"/>
    <n v="7644"/>
    <n v="12695"/>
    <n v="0"/>
    <s v="Y"/>
    <x v="1"/>
    <n v="19"/>
    <n v="3"/>
    <n v="3"/>
    <n v="80"/>
    <n v="2"/>
    <n v="10"/>
    <n v="2"/>
    <n v="3"/>
    <n v="9"/>
    <n v="7"/>
    <n v="3"/>
    <n v="4"/>
    <n v="0"/>
    <x v="0"/>
  </r>
  <r>
    <n v="36"/>
    <s v="No"/>
    <s v="Travel_Frequently"/>
    <n v="688"/>
    <x v="1"/>
    <n v="4"/>
    <n v="2"/>
    <x v="0"/>
    <n v="1"/>
    <x v="1440"/>
    <n v="4"/>
    <s v="Female"/>
    <n v="97"/>
    <n v="3"/>
    <x v="0"/>
    <x v="3"/>
    <n v="2"/>
    <s v="Divorced"/>
    <n v="5131"/>
    <n v="9192"/>
    <n v="7"/>
    <s v="Y"/>
    <x v="1"/>
    <n v="13"/>
    <n v="3"/>
    <n v="2"/>
    <n v="80"/>
    <n v="3"/>
    <n v="18"/>
    <n v="3"/>
    <n v="3"/>
    <n v="4"/>
    <n v="2"/>
    <n v="0"/>
    <n v="2"/>
    <n v="0"/>
    <x v="0"/>
  </r>
  <r>
    <n v="56"/>
    <s v="No"/>
    <s v="Non-Travel"/>
    <n v="667"/>
    <x v="1"/>
    <n v="1"/>
    <n v="4"/>
    <x v="0"/>
    <n v="1"/>
    <x v="1441"/>
    <n v="3"/>
    <s v="Male"/>
    <n v="57"/>
    <n v="3"/>
    <x v="0"/>
    <x v="4"/>
    <n v="3"/>
    <s v="Divorced"/>
    <n v="6306"/>
    <n v="26236"/>
    <n v="1"/>
    <s v="Y"/>
    <x v="1"/>
    <n v="21"/>
    <n v="4"/>
    <n v="1"/>
    <n v="80"/>
    <n v="1"/>
    <n v="13"/>
    <n v="2"/>
    <n v="2"/>
    <n v="13"/>
    <n v="12"/>
    <n v="1"/>
    <n v="9"/>
    <n v="0"/>
    <x v="3"/>
  </r>
  <r>
    <n v="29"/>
    <s v="Yes"/>
    <s v="Travel_Rarely"/>
    <n v="1092"/>
    <x v="1"/>
    <n v="1"/>
    <n v="4"/>
    <x v="2"/>
    <n v="1"/>
    <x v="1442"/>
    <n v="1"/>
    <s v="Male"/>
    <n v="36"/>
    <n v="3"/>
    <x v="1"/>
    <x v="1"/>
    <n v="4"/>
    <s v="Married"/>
    <n v="4787"/>
    <n v="26124"/>
    <n v="9"/>
    <s v="Y"/>
    <x v="0"/>
    <n v="14"/>
    <n v="3"/>
    <n v="2"/>
    <n v="80"/>
    <n v="3"/>
    <n v="4"/>
    <n v="3"/>
    <n v="4"/>
    <n v="2"/>
    <n v="2"/>
    <n v="2"/>
    <n v="2"/>
    <n v="1"/>
    <x v="2"/>
  </r>
  <r>
    <n v="42"/>
    <s v="No"/>
    <s v="Travel_Rarely"/>
    <n v="300"/>
    <x v="1"/>
    <n v="2"/>
    <n v="3"/>
    <x v="0"/>
    <n v="1"/>
    <x v="1443"/>
    <n v="1"/>
    <s v="Male"/>
    <n v="56"/>
    <n v="3"/>
    <x v="4"/>
    <x v="5"/>
    <n v="3"/>
    <s v="Married"/>
    <n v="18880"/>
    <n v="17312"/>
    <n v="5"/>
    <s v="Y"/>
    <x v="1"/>
    <n v="11"/>
    <n v="3"/>
    <n v="1"/>
    <n v="80"/>
    <n v="0"/>
    <n v="24"/>
    <n v="2"/>
    <n v="2"/>
    <n v="22"/>
    <n v="6"/>
    <n v="4"/>
    <n v="14"/>
    <n v="0"/>
    <x v="0"/>
  </r>
  <r>
    <n v="56"/>
    <s v="Yes"/>
    <s v="Travel_Rarely"/>
    <n v="310"/>
    <x v="1"/>
    <n v="7"/>
    <n v="2"/>
    <x v="4"/>
    <n v="1"/>
    <x v="1444"/>
    <n v="4"/>
    <s v="Male"/>
    <n v="72"/>
    <n v="3"/>
    <x v="1"/>
    <x v="2"/>
    <n v="3"/>
    <s v="Married"/>
    <n v="2339"/>
    <n v="3666"/>
    <n v="8"/>
    <s v="Y"/>
    <x v="1"/>
    <n v="11"/>
    <n v="3"/>
    <n v="4"/>
    <n v="80"/>
    <n v="1"/>
    <n v="14"/>
    <n v="4"/>
    <n v="1"/>
    <n v="10"/>
    <n v="9"/>
    <n v="9"/>
    <n v="8"/>
    <n v="1"/>
    <x v="3"/>
  </r>
  <r>
    <n v="41"/>
    <s v="No"/>
    <s v="Travel_Rarely"/>
    <n v="582"/>
    <x v="1"/>
    <n v="28"/>
    <n v="4"/>
    <x v="0"/>
    <n v="1"/>
    <x v="1445"/>
    <n v="1"/>
    <s v="Female"/>
    <n v="60"/>
    <n v="2"/>
    <x v="3"/>
    <x v="3"/>
    <n v="2"/>
    <s v="Married"/>
    <n v="13570"/>
    <n v="5640"/>
    <n v="0"/>
    <s v="Y"/>
    <x v="1"/>
    <n v="23"/>
    <n v="4"/>
    <n v="3"/>
    <n v="80"/>
    <n v="1"/>
    <n v="21"/>
    <n v="3"/>
    <n v="3"/>
    <n v="20"/>
    <n v="7"/>
    <n v="0"/>
    <n v="10"/>
    <n v="0"/>
    <x v="0"/>
  </r>
  <r>
    <n v="34"/>
    <s v="No"/>
    <s v="Travel_Rarely"/>
    <n v="704"/>
    <x v="0"/>
    <n v="28"/>
    <n v="3"/>
    <x v="3"/>
    <n v="1"/>
    <x v="1446"/>
    <n v="4"/>
    <s v="Female"/>
    <n v="95"/>
    <n v="2"/>
    <x v="0"/>
    <x v="0"/>
    <n v="3"/>
    <s v="Married"/>
    <n v="6712"/>
    <n v="8978"/>
    <n v="1"/>
    <s v="Y"/>
    <x v="1"/>
    <n v="21"/>
    <n v="4"/>
    <n v="4"/>
    <n v="80"/>
    <n v="2"/>
    <n v="8"/>
    <n v="2"/>
    <n v="3"/>
    <n v="8"/>
    <n v="7"/>
    <n v="1"/>
    <n v="7"/>
    <n v="0"/>
    <x v="2"/>
  </r>
  <r>
    <n v="36"/>
    <s v="No"/>
    <s v="Non-Travel"/>
    <n v="301"/>
    <x v="0"/>
    <n v="15"/>
    <n v="4"/>
    <x v="3"/>
    <n v="1"/>
    <x v="1447"/>
    <n v="4"/>
    <s v="Male"/>
    <n v="88"/>
    <n v="1"/>
    <x v="0"/>
    <x v="0"/>
    <n v="4"/>
    <s v="Divorced"/>
    <n v="5406"/>
    <n v="10436"/>
    <n v="1"/>
    <s v="Y"/>
    <x v="1"/>
    <n v="24"/>
    <n v="4"/>
    <n v="1"/>
    <n v="80"/>
    <n v="1"/>
    <n v="15"/>
    <n v="4"/>
    <n v="2"/>
    <n v="15"/>
    <n v="12"/>
    <n v="11"/>
    <n v="11"/>
    <n v="0"/>
    <x v="0"/>
  </r>
  <r>
    <n v="41"/>
    <s v="No"/>
    <s v="Travel_Rarely"/>
    <n v="930"/>
    <x v="0"/>
    <n v="3"/>
    <n v="3"/>
    <x v="0"/>
    <n v="1"/>
    <x v="1448"/>
    <n v="3"/>
    <s v="Male"/>
    <n v="57"/>
    <n v="2"/>
    <x v="0"/>
    <x v="0"/>
    <n v="2"/>
    <s v="Divorced"/>
    <n v="8938"/>
    <n v="12227"/>
    <n v="2"/>
    <s v="Y"/>
    <x v="1"/>
    <n v="11"/>
    <n v="3"/>
    <n v="3"/>
    <n v="80"/>
    <n v="1"/>
    <n v="14"/>
    <n v="5"/>
    <n v="3"/>
    <n v="5"/>
    <n v="4"/>
    <n v="0"/>
    <n v="4"/>
    <n v="0"/>
    <x v="0"/>
  </r>
  <r>
    <n v="32"/>
    <s v="No"/>
    <s v="Travel_Rarely"/>
    <n v="529"/>
    <x v="1"/>
    <n v="2"/>
    <n v="3"/>
    <x v="4"/>
    <n v="1"/>
    <x v="1449"/>
    <n v="4"/>
    <s v="Male"/>
    <n v="78"/>
    <n v="3"/>
    <x v="1"/>
    <x v="1"/>
    <n v="1"/>
    <s v="Single"/>
    <n v="2439"/>
    <n v="11288"/>
    <n v="1"/>
    <s v="Y"/>
    <x v="1"/>
    <n v="14"/>
    <n v="3"/>
    <n v="4"/>
    <n v="80"/>
    <n v="0"/>
    <n v="4"/>
    <n v="4"/>
    <n v="3"/>
    <n v="4"/>
    <n v="2"/>
    <n v="1"/>
    <n v="2"/>
    <n v="0"/>
    <x v="2"/>
  </r>
  <r>
    <n v="35"/>
    <s v="No"/>
    <s v="Travel_Rarely"/>
    <n v="1146"/>
    <x v="2"/>
    <n v="26"/>
    <n v="4"/>
    <x v="0"/>
    <n v="1"/>
    <x v="1450"/>
    <n v="3"/>
    <s v="Female"/>
    <n v="31"/>
    <n v="3"/>
    <x v="2"/>
    <x v="8"/>
    <n v="4"/>
    <s v="Single"/>
    <n v="8837"/>
    <n v="16642"/>
    <n v="1"/>
    <s v="Y"/>
    <x v="0"/>
    <n v="16"/>
    <n v="3"/>
    <n v="3"/>
    <n v="80"/>
    <n v="0"/>
    <n v="9"/>
    <n v="2"/>
    <n v="3"/>
    <n v="9"/>
    <n v="0"/>
    <n v="1"/>
    <n v="7"/>
    <n v="0"/>
    <x v="2"/>
  </r>
  <r>
    <n v="38"/>
    <s v="No"/>
    <s v="Travel_Rarely"/>
    <n v="345"/>
    <x v="0"/>
    <n v="10"/>
    <n v="2"/>
    <x v="0"/>
    <n v="1"/>
    <x v="1451"/>
    <n v="1"/>
    <s v="Female"/>
    <n v="100"/>
    <n v="3"/>
    <x v="0"/>
    <x v="0"/>
    <n v="4"/>
    <s v="Married"/>
    <n v="5343"/>
    <n v="5982"/>
    <n v="1"/>
    <s v="Y"/>
    <x v="1"/>
    <n v="11"/>
    <n v="3"/>
    <n v="3"/>
    <n v="80"/>
    <n v="1"/>
    <n v="10"/>
    <n v="1"/>
    <n v="3"/>
    <n v="10"/>
    <n v="7"/>
    <n v="1"/>
    <n v="9"/>
    <n v="0"/>
    <x v="0"/>
  </r>
  <r>
    <n v="50"/>
    <s v="Yes"/>
    <s v="Travel_Frequently"/>
    <n v="878"/>
    <x v="0"/>
    <n v="1"/>
    <n v="4"/>
    <x v="0"/>
    <n v="1"/>
    <x v="1452"/>
    <n v="2"/>
    <s v="Male"/>
    <n v="94"/>
    <n v="3"/>
    <x v="0"/>
    <x v="0"/>
    <n v="3"/>
    <s v="Divorced"/>
    <n v="6728"/>
    <n v="14255"/>
    <n v="7"/>
    <s v="Y"/>
    <x v="1"/>
    <n v="12"/>
    <n v="3"/>
    <n v="4"/>
    <n v="80"/>
    <n v="2"/>
    <n v="12"/>
    <n v="3"/>
    <n v="3"/>
    <n v="6"/>
    <n v="3"/>
    <n v="0"/>
    <n v="1"/>
    <n v="1"/>
    <x v="1"/>
  </r>
  <r>
    <n v="36"/>
    <s v="No"/>
    <s v="Travel_Rarely"/>
    <n v="1120"/>
    <x v="0"/>
    <n v="11"/>
    <n v="4"/>
    <x v="3"/>
    <n v="1"/>
    <x v="1453"/>
    <n v="2"/>
    <s v="Female"/>
    <n v="100"/>
    <n v="2"/>
    <x v="0"/>
    <x v="0"/>
    <n v="4"/>
    <s v="Married"/>
    <n v="6652"/>
    <n v="14369"/>
    <n v="4"/>
    <s v="Y"/>
    <x v="1"/>
    <n v="13"/>
    <n v="3"/>
    <n v="1"/>
    <n v="80"/>
    <n v="1"/>
    <n v="8"/>
    <n v="2"/>
    <n v="2"/>
    <n v="6"/>
    <n v="3"/>
    <n v="0"/>
    <n v="0"/>
    <n v="0"/>
    <x v="0"/>
  </r>
  <r>
    <n v="45"/>
    <s v="No"/>
    <s v="Travel_Rarely"/>
    <n v="374"/>
    <x v="0"/>
    <n v="20"/>
    <n v="3"/>
    <x v="0"/>
    <n v="1"/>
    <x v="1454"/>
    <n v="4"/>
    <s v="Female"/>
    <n v="50"/>
    <n v="3"/>
    <x v="0"/>
    <x v="0"/>
    <n v="3"/>
    <s v="Single"/>
    <n v="4850"/>
    <n v="23333"/>
    <n v="8"/>
    <s v="Y"/>
    <x v="1"/>
    <n v="15"/>
    <n v="3"/>
    <n v="3"/>
    <n v="80"/>
    <n v="0"/>
    <n v="8"/>
    <n v="3"/>
    <n v="3"/>
    <n v="5"/>
    <n v="3"/>
    <n v="0"/>
    <n v="1"/>
    <n v="0"/>
    <x v="0"/>
  </r>
  <r>
    <n v="40"/>
    <s v="No"/>
    <s v="Travel_Rarely"/>
    <n v="1322"/>
    <x v="1"/>
    <n v="2"/>
    <n v="4"/>
    <x v="0"/>
    <n v="1"/>
    <x v="1455"/>
    <n v="3"/>
    <s v="Male"/>
    <n v="52"/>
    <n v="2"/>
    <x v="1"/>
    <x v="1"/>
    <n v="3"/>
    <s v="Single"/>
    <n v="2809"/>
    <n v="2725"/>
    <n v="2"/>
    <s v="Y"/>
    <x v="1"/>
    <n v="14"/>
    <n v="3"/>
    <n v="4"/>
    <n v="80"/>
    <n v="0"/>
    <n v="8"/>
    <n v="2"/>
    <n v="3"/>
    <n v="2"/>
    <n v="2"/>
    <n v="2"/>
    <n v="2"/>
    <n v="0"/>
    <x v="0"/>
  </r>
  <r>
    <n v="35"/>
    <s v="No"/>
    <s v="Travel_Frequently"/>
    <n v="1199"/>
    <x v="1"/>
    <n v="18"/>
    <n v="4"/>
    <x v="0"/>
    <n v="1"/>
    <x v="1456"/>
    <n v="3"/>
    <s v="Male"/>
    <n v="80"/>
    <n v="3"/>
    <x v="0"/>
    <x v="4"/>
    <n v="3"/>
    <s v="Married"/>
    <n v="5689"/>
    <n v="24594"/>
    <n v="1"/>
    <s v="Y"/>
    <x v="0"/>
    <n v="14"/>
    <n v="3"/>
    <n v="4"/>
    <n v="80"/>
    <n v="2"/>
    <n v="10"/>
    <n v="2"/>
    <n v="4"/>
    <n v="10"/>
    <n v="2"/>
    <n v="0"/>
    <n v="2"/>
    <n v="0"/>
    <x v="2"/>
  </r>
  <r>
    <n v="40"/>
    <s v="No"/>
    <s v="Travel_Rarely"/>
    <n v="1194"/>
    <x v="1"/>
    <n v="2"/>
    <n v="4"/>
    <x v="2"/>
    <n v="1"/>
    <x v="1457"/>
    <n v="3"/>
    <s v="Female"/>
    <n v="98"/>
    <n v="3"/>
    <x v="1"/>
    <x v="1"/>
    <n v="3"/>
    <s v="Married"/>
    <n v="2001"/>
    <n v="12549"/>
    <n v="2"/>
    <s v="Y"/>
    <x v="1"/>
    <n v="14"/>
    <n v="3"/>
    <n v="2"/>
    <n v="80"/>
    <n v="3"/>
    <n v="20"/>
    <n v="2"/>
    <n v="3"/>
    <n v="5"/>
    <n v="3"/>
    <n v="0"/>
    <n v="2"/>
    <n v="0"/>
    <x v="0"/>
  </r>
  <r>
    <n v="35"/>
    <s v="No"/>
    <s v="Travel_Rarely"/>
    <n v="287"/>
    <x v="1"/>
    <n v="1"/>
    <n v="4"/>
    <x v="0"/>
    <n v="1"/>
    <x v="1458"/>
    <n v="3"/>
    <s v="Female"/>
    <n v="62"/>
    <n v="1"/>
    <x v="1"/>
    <x v="1"/>
    <n v="4"/>
    <s v="Married"/>
    <n v="2977"/>
    <n v="8952"/>
    <n v="1"/>
    <s v="Y"/>
    <x v="1"/>
    <n v="12"/>
    <n v="3"/>
    <n v="4"/>
    <n v="80"/>
    <n v="1"/>
    <n v="4"/>
    <n v="5"/>
    <n v="3"/>
    <n v="4"/>
    <n v="3"/>
    <n v="1"/>
    <n v="1"/>
    <n v="0"/>
    <x v="2"/>
  </r>
  <r>
    <n v="29"/>
    <s v="No"/>
    <s v="Travel_Rarely"/>
    <n v="1378"/>
    <x v="1"/>
    <n v="13"/>
    <n v="2"/>
    <x v="1"/>
    <n v="1"/>
    <x v="1459"/>
    <n v="4"/>
    <s v="Male"/>
    <n v="46"/>
    <n v="2"/>
    <x v="0"/>
    <x v="2"/>
    <n v="2"/>
    <s v="Married"/>
    <n v="4025"/>
    <n v="23679"/>
    <n v="4"/>
    <s v="Y"/>
    <x v="0"/>
    <n v="13"/>
    <n v="3"/>
    <n v="1"/>
    <n v="80"/>
    <n v="1"/>
    <n v="10"/>
    <n v="2"/>
    <n v="3"/>
    <n v="4"/>
    <n v="3"/>
    <n v="0"/>
    <n v="3"/>
    <n v="0"/>
    <x v="2"/>
  </r>
  <r>
    <n v="29"/>
    <s v="No"/>
    <s v="Travel_Rarely"/>
    <n v="468"/>
    <x v="1"/>
    <n v="28"/>
    <n v="4"/>
    <x v="2"/>
    <n v="1"/>
    <x v="1460"/>
    <n v="4"/>
    <s v="Female"/>
    <n v="73"/>
    <n v="2"/>
    <x v="1"/>
    <x v="1"/>
    <n v="1"/>
    <s v="Single"/>
    <n v="3785"/>
    <n v="8489"/>
    <n v="1"/>
    <s v="Y"/>
    <x v="1"/>
    <n v="14"/>
    <n v="3"/>
    <n v="2"/>
    <n v="80"/>
    <n v="0"/>
    <n v="5"/>
    <n v="3"/>
    <n v="1"/>
    <n v="5"/>
    <n v="4"/>
    <n v="0"/>
    <n v="4"/>
    <n v="0"/>
    <x v="2"/>
  </r>
  <r>
    <n v="50"/>
    <s v="Yes"/>
    <s v="Travel_Rarely"/>
    <n v="410"/>
    <x v="0"/>
    <n v="28"/>
    <n v="3"/>
    <x v="3"/>
    <n v="1"/>
    <x v="1461"/>
    <n v="4"/>
    <s v="Male"/>
    <n v="39"/>
    <n v="2"/>
    <x v="2"/>
    <x v="0"/>
    <n v="1"/>
    <s v="Divorced"/>
    <n v="10854"/>
    <n v="16586"/>
    <n v="4"/>
    <s v="Y"/>
    <x v="0"/>
    <n v="13"/>
    <n v="3"/>
    <n v="2"/>
    <n v="80"/>
    <n v="1"/>
    <n v="20"/>
    <n v="3"/>
    <n v="3"/>
    <n v="3"/>
    <n v="2"/>
    <n v="2"/>
    <n v="0"/>
    <n v="1"/>
    <x v="1"/>
  </r>
  <r>
    <n v="39"/>
    <s v="No"/>
    <s v="Travel_Rarely"/>
    <n v="722"/>
    <x v="0"/>
    <n v="24"/>
    <n v="1"/>
    <x v="3"/>
    <n v="1"/>
    <x v="1462"/>
    <n v="2"/>
    <s v="Female"/>
    <n v="60"/>
    <n v="2"/>
    <x v="3"/>
    <x v="0"/>
    <n v="4"/>
    <s v="Married"/>
    <n v="12031"/>
    <n v="8828"/>
    <n v="0"/>
    <s v="Y"/>
    <x v="1"/>
    <n v="11"/>
    <n v="3"/>
    <n v="1"/>
    <n v="80"/>
    <n v="1"/>
    <n v="21"/>
    <n v="2"/>
    <n v="2"/>
    <n v="20"/>
    <n v="9"/>
    <n v="9"/>
    <n v="6"/>
    <n v="0"/>
    <x v="0"/>
  </r>
  <r>
    <n v="31"/>
    <s v="No"/>
    <s v="Non-Travel"/>
    <n v="325"/>
    <x v="1"/>
    <n v="5"/>
    <n v="3"/>
    <x v="2"/>
    <n v="1"/>
    <x v="1463"/>
    <n v="2"/>
    <s v="Male"/>
    <n v="74"/>
    <n v="3"/>
    <x v="0"/>
    <x v="3"/>
    <n v="1"/>
    <s v="Single"/>
    <n v="9936"/>
    <n v="3787"/>
    <n v="0"/>
    <s v="Y"/>
    <x v="1"/>
    <n v="19"/>
    <n v="3"/>
    <n v="2"/>
    <n v="80"/>
    <n v="0"/>
    <n v="10"/>
    <n v="2"/>
    <n v="3"/>
    <n v="9"/>
    <n v="4"/>
    <n v="1"/>
    <n v="7"/>
    <n v="0"/>
    <x v="2"/>
  </r>
  <r>
    <n v="26"/>
    <s v="No"/>
    <s v="Travel_Rarely"/>
    <n v="1167"/>
    <x v="0"/>
    <n v="5"/>
    <n v="3"/>
    <x v="1"/>
    <n v="1"/>
    <x v="1464"/>
    <n v="4"/>
    <s v="Female"/>
    <n v="30"/>
    <n v="2"/>
    <x v="1"/>
    <x v="6"/>
    <n v="3"/>
    <s v="Single"/>
    <n v="2966"/>
    <n v="21378"/>
    <n v="0"/>
    <s v="Y"/>
    <x v="1"/>
    <n v="18"/>
    <n v="3"/>
    <n v="4"/>
    <n v="80"/>
    <n v="0"/>
    <n v="5"/>
    <n v="2"/>
    <n v="3"/>
    <n v="4"/>
    <n v="2"/>
    <n v="0"/>
    <n v="0"/>
    <n v="0"/>
    <x v="2"/>
  </r>
  <r>
    <n v="36"/>
    <s v="No"/>
    <s v="Travel_Frequently"/>
    <n v="884"/>
    <x v="1"/>
    <n v="23"/>
    <n v="2"/>
    <x v="2"/>
    <n v="1"/>
    <x v="1465"/>
    <n v="3"/>
    <s v="Male"/>
    <n v="41"/>
    <n v="4"/>
    <x v="0"/>
    <x v="2"/>
    <n v="4"/>
    <s v="Married"/>
    <n v="2571"/>
    <n v="12290"/>
    <n v="4"/>
    <s v="Y"/>
    <x v="1"/>
    <n v="17"/>
    <n v="3"/>
    <n v="3"/>
    <n v="80"/>
    <n v="1"/>
    <n v="17"/>
    <n v="3"/>
    <n v="3"/>
    <n v="5"/>
    <n v="2"/>
    <n v="0"/>
    <n v="3"/>
    <n v="0"/>
    <x v="0"/>
  </r>
  <r>
    <n v="39"/>
    <s v="No"/>
    <s v="Travel_Rarely"/>
    <n v="613"/>
    <x v="1"/>
    <n v="6"/>
    <n v="1"/>
    <x v="2"/>
    <n v="1"/>
    <x v="1466"/>
    <n v="4"/>
    <s v="Male"/>
    <n v="42"/>
    <n v="2"/>
    <x v="2"/>
    <x v="4"/>
    <n v="1"/>
    <s v="Married"/>
    <n v="9991"/>
    <n v="21457"/>
    <n v="4"/>
    <s v="Y"/>
    <x v="1"/>
    <n v="15"/>
    <n v="3"/>
    <n v="1"/>
    <n v="80"/>
    <n v="1"/>
    <n v="9"/>
    <n v="5"/>
    <n v="3"/>
    <n v="7"/>
    <n v="7"/>
    <n v="1"/>
    <n v="7"/>
    <n v="0"/>
    <x v="0"/>
  </r>
  <r>
    <n v="27"/>
    <s v="No"/>
    <s v="Travel_Rarely"/>
    <n v="155"/>
    <x v="1"/>
    <n v="4"/>
    <n v="3"/>
    <x v="0"/>
    <n v="1"/>
    <x v="1467"/>
    <n v="2"/>
    <s v="Male"/>
    <n v="87"/>
    <n v="4"/>
    <x v="0"/>
    <x v="3"/>
    <n v="2"/>
    <s v="Married"/>
    <n v="6142"/>
    <n v="5174"/>
    <n v="1"/>
    <s v="Y"/>
    <x v="0"/>
    <n v="20"/>
    <n v="4"/>
    <n v="2"/>
    <n v="80"/>
    <n v="1"/>
    <n v="6"/>
    <n v="0"/>
    <n v="3"/>
    <n v="6"/>
    <n v="2"/>
    <n v="0"/>
    <n v="3"/>
    <n v="0"/>
    <x v="2"/>
  </r>
  <r>
    <n v="49"/>
    <s v="No"/>
    <s v="Travel_Frequently"/>
    <n v="1023"/>
    <x v="0"/>
    <n v="2"/>
    <n v="3"/>
    <x v="2"/>
    <n v="1"/>
    <x v="1468"/>
    <n v="4"/>
    <s v="Male"/>
    <n v="63"/>
    <n v="2"/>
    <x v="0"/>
    <x v="0"/>
    <n v="2"/>
    <s v="Married"/>
    <n v="5390"/>
    <n v="13243"/>
    <n v="2"/>
    <s v="Y"/>
    <x v="1"/>
    <n v="14"/>
    <n v="3"/>
    <n v="4"/>
    <n v="80"/>
    <n v="0"/>
    <n v="17"/>
    <n v="3"/>
    <n v="2"/>
    <n v="9"/>
    <n v="6"/>
    <n v="0"/>
    <n v="8"/>
    <n v="0"/>
    <x v="1"/>
  </r>
  <r>
    <n v="34"/>
    <s v="No"/>
    <s v="Travel_Rarely"/>
    <n v="628"/>
    <x v="1"/>
    <n v="8"/>
    <n v="3"/>
    <x v="2"/>
    <n v="1"/>
    <x v="1469"/>
    <n v="2"/>
    <s v="Male"/>
    <n v="82"/>
    <n v="4"/>
    <x v="0"/>
    <x v="2"/>
    <n v="3"/>
    <s v="Married"/>
    <n v="4404"/>
    <n v="10228"/>
    <n v="2"/>
    <s v="Y"/>
    <x v="1"/>
    <n v="12"/>
    <n v="3"/>
    <n v="1"/>
    <n v="80"/>
    <n v="0"/>
    <n v="6"/>
    <n v="3"/>
    <n v="4"/>
    <n v="4"/>
    <n v="3"/>
    <n v="1"/>
    <n v="2"/>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868D4B-0657-4A82-82C8-3AFC15B40316}" name="PT_AttritionByJobLevel" cacheId="1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28:H34" firstHeaderRow="0" firstDataRow="1" firstDataCol="1"/>
  <pivotFields count="37">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6">
        <item x="1"/>
        <item x="0"/>
        <item x="2"/>
        <item x="3"/>
        <item x="4"/>
        <item t="default"/>
      </items>
    </pivotField>
    <pivotField compact="0" outline="0" showAll="0">
      <items count="10">
        <item x="4"/>
        <item x="8"/>
        <item x="2"/>
        <item x="5"/>
        <item x="3"/>
        <item x="7"/>
        <item x="1"/>
        <item x="0"/>
        <item x="6"/>
        <item t="default"/>
      </items>
    </pivotField>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3" outline="0" showAll="0"/>
    <pivotField compact="0" outline="0" showAll="0"/>
  </pivotFields>
  <rowFields count="1">
    <field x="14"/>
  </rowFields>
  <rowItems count="6">
    <i>
      <x/>
    </i>
    <i>
      <x v="1"/>
    </i>
    <i>
      <x v="2"/>
    </i>
    <i>
      <x v="3"/>
    </i>
    <i>
      <x v="4"/>
    </i>
    <i t="grand">
      <x/>
    </i>
  </rowItems>
  <colFields count="1">
    <field x="-2"/>
  </colFields>
  <colItems count="2">
    <i>
      <x/>
    </i>
    <i i="1">
      <x v="1"/>
    </i>
  </colItems>
  <dataFields count="2">
    <dataField name="Headcount" fld="9" subtotal="count" baseField="0" baseItem="0"/>
    <dataField name="Exits" fld="35" baseField="0" baseItem="0" numFmtId="3"/>
  </dataFields>
  <formats count="13">
    <format dxfId="83">
      <pivotArea outline="0" collapsedLevelsAreSubtotals="1" fieldPosition="0"/>
    </format>
    <format dxfId="84">
      <pivotArea type="all" dataOnly="0" outline="0" fieldPosition="0"/>
    </format>
    <format dxfId="85">
      <pivotArea outline="0" collapsedLevelsAreSubtotals="1" fieldPosition="0"/>
    </format>
    <format dxfId="86">
      <pivotArea field="14" type="button" dataOnly="0" labelOnly="1" outline="0" axis="axisRow" fieldPosition="0"/>
    </format>
    <format dxfId="87">
      <pivotArea dataOnly="0" labelOnly="1" outline="0" fieldPosition="0">
        <references count="1">
          <reference field="14" count="0"/>
        </references>
      </pivotArea>
    </format>
    <format dxfId="88">
      <pivotArea dataOnly="0" labelOnly="1" grandRow="1" outline="0" fieldPosition="0"/>
    </format>
    <format dxfId="89">
      <pivotArea dataOnly="0" labelOnly="1" outline="0" fieldPosition="0">
        <references count="1">
          <reference field="4294967294" count="2">
            <x v="0"/>
            <x v="1"/>
          </reference>
        </references>
      </pivotArea>
    </format>
    <format dxfId="90">
      <pivotArea type="all" dataOnly="0" outline="0" fieldPosition="0"/>
    </format>
    <format dxfId="91">
      <pivotArea outline="0" collapsedLevelsAreSubtotals="1" fieldPosition="0"/>
    </format>
    <format dxfId="92">
      <pivotArea field="14" type="button" dataOnly="0" labelOnly="1" outline="0" axis="axisRow" fieldPosition="0"/>
    </format>
    <format dxfId="93">
      <pivotArea dataOnly="0" labelOnly="1" outline="0" fieldPosition="0">
        <references count="1">
          <reference field="14" count="0"/>
        </references>
      </pivotArea>
    </format>
    <format dxfId="94">
      <pivotArea dataOnly="0" labelOnly="1" grandRow="1" outline="0" fieldPosition="0"/>
    </format>
    <format dxfId="9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451BAD-99D0-4A32-B808-DF36B3DF4C8B}" name="PT_AttritionByJobRole" cacheId="1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8:B38" firstHeaderRow="1" firstDataRow="1" firstDataCol="1"/>
  <pivotFields count="37">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4"/>
        <item x="8"/>
        <item x="2"/>
        <item x="5"/>
        <item x="3"/>
        <item x="7"/>
        <item x="1"/>
        <item x="0"/>
        <item x="6"/>
        <item t="default"/>
      </items>
    </pivotField>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3" outline="0" showAll="0"/>
    <pivotField compact="0" outline="0" showAll="0"/>
  </pivotFields>
  <rowFields count="1">
    <field x="15"/>
  </rowFields>
  <rowItems count="10">
    <i>
      <x/>
    </i>
    <i>
      <x v="1"/>
    </i>
    <i>
      <x v="2"/>
    </i>
    <i>
      <x v="3"/>
    </i>
    <i>
      <x v="4"/>
    </i>
    <i>
      <x v="5"/>
    </i>
    <i>
      <x v="6"/>
    </i>
    <i>
      <x v="7"/>
    </i>
    <i>
      <x v="8"/>
    </i>
    <i t="grand">
      <x/>
    </i>
  </rowItems>
  <colItems count="1">
    <i/>
  </colItems>
  <dataFields count="1">
    <dataField name="Exits" fld="35" baseField="0" baseItem="0" numFmtId="3"/>
  </dataFields>
  <formats count="12">
    <format dxfId="96">
      <pivotArea type="all" dataOnly="0" outline="0" fieldPosition="0"/>
    </format>
    <format dxfId="97">
      <pivotArea outline="0" collapsedLevelsAreSubtotals="1" fieldPosition="0"/>
    </format>
    <format dxfId="98">
      <pivotArea field="15" type="button" dataOnly="0" labelOnly="1" outline="0" axis="axisRow" fieldPosition="0"/>
    </format>
    <format dxfId="99">
      <pivotArea dataOnly="0" labelOnly="1" outline="0" fieldPosition="0">
        <references count="1">
          <reference field="15" count="0"/>
        </references>
      </pivotArea>
    </format>
    <format dxfId="100">
      <pivotArea dataOnly="0" labelOnly="1" grandRow="1" outline="0" fieldPosition="0"/>
    </format>
    <format dxfId="101">
      <pivotArea dataOnly="0" labelOnly="1" outline="0" axis="axisValues" fieldPosition="0"/>
    </format>
    <format dxfId="102">
      <pivotArea type="all" dataOnly="0" outline="0" fieldPosition="0"/>
    </format>
    <format dxfId="103">
      <pivotArea outline="0" collapsedLevelsAreSubtotals="1" fieldPosition="0"/>
    </format>
    <format dxfId="104">
      <pivotArea field="15" type="button" dataOnly="0" labelOnly="1" outline="0" axis="axisRow" fieldPosition="0"/>
    </format>
    <format dxfId="105">
      <pivotArea dataOnly="0" labelOnly="1" outline="0" fieldPosition="0">
        <references count="1">
          <reference field="15" count="0"/>
        </references>
      </pivotArea>
    </format>
    <format dxfId="106">
      <pivotArea dataOnly="0" labelOnly="1" grandRow="1" outline="0" fieldPosition="0"/>
    </format>
    <format dxfId="1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A6B4F2-AD2B-4169-8114-49F7D45F04FF}" name="PT_KPI"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U4" firstHeaderRow="0" firstDataRow="1" firstDataCol="0"/>
  <pivotFields count="37">
    <pivotField dataField="1" showAll="0"/>
    <pivotField showAll="0"/>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numFmtId="3" showAll="0"/>
    <pivotField showAll="0"/>
  </pivotFields>
  <rowItems count="1">
    <i/>
  </rowItems>
  <colFields count="1">
    <field x="-2"/>
  </colFields>
  <colItems count="5">
    <i>
      <x/>
    </i>
    <i i="1">
      <x v="1"/>
    </i>
    <i i="2">
      <x v="2"/>
    </i>
    <i i="3">
      <x v="3"/>
    </i>
    <i i="4">
      <x v="4"/>
    </i>
  </colItems>
  <dataFields count="5">
    <dataField name="Headcount" fld="9" subtotal="count" baseField="0" baseItem="0" numFmtId="3"/>
    <dataField name="Exits" fld="35" baseField="0" baseItem="0" numFmtId="3"/>
    <dataField name="Avg Monthly Income" fld="18" subtotal="average" baseField="0" baseItem="0" numFmtId="164"/>
    <dataField name="Avg Tenure" fld="31" subtotal="average" baseField="0" baseItem="0" numFmtId="165"/>
    <dataField name="Avg Age" fld="0" subtotal="average" baseField="0" baseItem="0" numFmtId="165"/>
  </dataFields>
  <formats count="9">
    <format dxfId="108">
      <pivotArea outline="0" collapsedLevelsAreSubtotals="1" fieldPosition="0">
        <references count="1">
          <reference field="4294967294" count="1" selected="0">
            <x v="0"/>
          </reference>
        </references>
      </pivotArea>
    </format>
    <format dxfId="109">
      <pivotArea outline="0" collapsedLevelsAreSubtotals="1" fieldPosition="0">
        <references count="1">
          <reference field="4294967294" count="1" selected="0">
            <x v="3"/>
          </reference>
        </references>
      </pivotArea>
    </format>
    <format dxfId="110">
      <pivotArea outline="0" collapsedLevelsAreSubtotals="1" fieldPosition="0">
        <references count="1">
          <reference field="4294967294" count="1" selected="0">
            <x v="4"/>
          </reference>
        </references>
      </pivotArea>
    </format>
    <format dxfId="111">
      <pivotArea type="all" dataOnly="0" outline="0" fieldPosition="0"/>
    </format>
    <format dxfId="112">
      <pivotArea outline="0" collapsedLevelsAreSubtotals="1" fieldPosition="0"/>
    </format>
    <format dxfId="113">
      <pivotArea dataOnly="0" labelOnly="1" outline="0" fieldPosition="0">
        <references count="1">
          <reference field="4294967294" count="5">
            <x v="0"/>
            <x v="1"/>
            <x v="2"/>
            <x v="3"/>
            <x v="4"/>
          </reference>
        </references>
      </pivotArea>
    </format>
    <format dxfId="114">
      <pivotArea type="all" dataOnly="0" outline="0" fieldPosition="0"/>
    </format>
    <format dxfId="115">
      <pivotArea outline="0" collapsedLevelsAreSubtotals="1" fieldPosition="0"/>
    </format>
    <format dxfId="116">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43F374-6130-4B99-AAD1-19B0D617CD62}" name="PT_AttritionByOverTime" cacheId="1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M3:O6" firstHeaderRow="0" firstDataRow="1" firstDataCol="1"/>
  <pivotFields count="37">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numFmtId="164"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3" outline="0" showAll="0"/>
    <pivotField compact="0" outline="0" showAll="0"/>
  </pivotFields>
  <rowFields count="1">
    <field x="22"/>
  </rowFields>
  <rowItems count="3">
    <i>
      <x/>
    </i>
    <i>
      <x v="1"/>
    </i>
    <i t="grand">
      <x/>
    </i>
  </rowItems>
  <colFields count="1">
    <field x="-2"/>
  </colFields>
  <colItems count="2">
    <i>
      <x/>
    </i>
    <i i="1">
      <x v="1"/>
    </i>
  </colItems>
  <dataFields count="2">
    <dataField name="Headcount" fld="9" subtotal="count" baseField="0" baseItem="0"/>
    <dataField name="Exits" fld="35" baseField="0" baseItem="0" numFmtId="3"/>
  </dataFields>
  <formats count="13">
    <format dxfId="117">
      <pivotArea outline="0" collapsedLevelsAreSubtotals="1" fieldPosition="0"/>
    </format>
    <format dxfId="118">
      <pivotArea type="all" dataOnly="0" outline="0" fieldPosition="0"/>
    </format>
    <format dxfId="119">
      <pivotArea outline="0" collapsedLevelsAreSubtotals="1" fieldPosition="0"/>
    </format>
    <format dxfId="120">
      <pivotArea field="22" type="button" dataOnly="0" labelOnly="1" outline="0" axis="axisRow" fieldPosition="0"/>
    </format>
    <format dxfId="121">
      <pivotArea dataOnly="0" labelOnly="1" outline="0" fieldPosition="0">
        <references count="1">
          <reference field="22" count="0"/>
        </references>
      </pivotArea>
    </format>
    <format dxfId="122">
      <pivotArea dataOnly="0" labelOnly="1" grandRow="1" outline="0" fieldPosition="0"/>
    </format>
    <format dxfId="123">
      <pivotArea dataOnly="0" labelOnly="1" outline="0" fieldPosition="0">
        <references count="1">
          <reference field="4294967294" count="2">
            <x v="0"/>
            <x v="1"/>
          </reference>
        </references>
      </pivotArea>
    </format>
    <format dxfId="124">
      <pivotArea type="all" dataOnly="0" outline="0" fieldPosition="0"/>
    </format>
    <format dxfId="125">
      <pivotArea outline="0" collapsedLevelsAreSubtotals="1" fieldPosition="0"/>
    </format>
    <format dxfId="126">
      <pivotArea field="22" type="button" dataOnly="0" labelOnly="1" outline="0" axis="axisRow" fieldPosition="0"/>
    </format>
    <format dxfId="127">
      <pivotArea dataOnly="0" labelOnly="1" outline="0" fieldPosition="0">
        <references count="1">
          <reference field="22" count="0"/>
        </references>
      </pivotArea>
    </format>
    <format dxfId="128">
      <pivotArea dataOnly="0" labelOnly="1" grandRow="1" outline="0" fieldPosition="0"/>
    </format>
    <format dxfId="12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20074E-4CCF-4566-A724-5385D0CD3AF7}" name="PT_AttritionByAgeBand" cacheId="1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3:K9" firstHeaderRow="0" firstDataRow="1" firstDataCol="1"/>
  <pivotFields count="37">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3" outline="0" showAll="0"/>
    <pivotField axis="axisRow" compact="0" outline="0" showAll="0" sortType="ascending">
      <items count="6">
        <item x="4"/>
        <item x="2"/>
        <item x="0"/>
        <item x="1"/>
        <item x="3"/>
        <item t="default"/>
      </items>
    </pivotField>
  </pivotFields>
  <rowFields count="1">
    <field x="36"/>
  </rowFields>
  <rowItems count="6">
    <i>
      <x/>
    </i>
    <i>
      <x v="1"/>
    </i>
    <i>
      <x v="2"/>
    </i>
    <i>
      <x v="3"/>
    </i>
    <i>
      <x v="4"/>
    </i>
    <i t="grand">
      <x/>
    </i>
  </rowItems>
  <colFields count="1">
    <field x="-2"/>
  </colFields>
  <colItems count="2">
    <i>
      <x/>
    </i>
    <i i="1">
      <x v="1"/>
    </i>
  </colItems>
  <dataFields count="2">
    <dataField name="Headcount" fld="9" subtotal="count" baseField="0" baseItem="0"/>
    <dataField name="Exits" fld="35" baseField="0" baseItem="0" numFmtId="3"/>
  </dataFields>
  <formats count="13">
    <format dxfId="130">
      <pivotArea outline="0" collapsedLevelsAreSubtotals="1" fieldPosition="0"/>
    </format>
    <format dxfId="131">
      <pivotArea type="all" dataOnly="0" outline="0" fieldPosition="0"/>
    </format>
    <format dxfId="132">
      <pivotArea outline="0" collapsedLevelsAreSubtotals="1" fieldPosition="0"/>
    </format>
    <format dxfId="133">
      <pivotArea field="36" type="button" dataOnly="0" labelOnly="1" outline="0" axis="axisRow" fieldPosition="0"/>
    </format>
    <format dxfId="134">
      <pivotArea dataOnly="0" labelOnly="1" outline="0" fieldPosition="0">
        <references count="1">
          <reference field="36" count="0"/>
        </references>
      </pivotArea>
    </format>
    <format dxfId="135">
      <pivotArea dataOnly="0" labelOnly="1" grandRow="1" outline="0" fieldPosition="0"/>
    </format>
    <format dxfId="136">
      <pivotArea dataOnly="0" labelOnly="1" outline="0" fieldPosition="0">
        <references count="1">
          <reference field="4294967294" count="2">
            <x v="0"/>
            <x v="1"/>
          </reference>
        </references>
      </pivotArea>
    </format>
    <format dxfId="137">
      <pivotArea type="all" dataOnly="0" outline="0" fieldPosition="0"/>
    </format>
    <format dxfId="138">
      <pivotArea outline="0" collapsedLevelsAreSubtotals="1" fieldPosition="0"/>
    </format>
    <format dxfId="139">
      <pivotArea field="36" type="button" dataOnly="0" labelOnly="1" outline="0" axis="axisRow" fieldPosition="0"/>
    </format>
    <format dxfId="140">
      <pivotArea dataOnly="0" labelOnly="1" outline="0" fieldPosition="0">
        <references count="1">
          <reference field="36" count="0"/>
        </references>
      </pivotArea>
    </format>
    <format dxfId="141">
      <pivotArea dataOnly="0" labelOnly="1" grandRow="1" outline="0" fieldPosition="0"/>
    </format>
    <format dxfId="14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6574E0-5149-4B63-A892-62BA03945D26}" name="PT_AttritionByEducationField" cacheId="1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F10" firstHeaderRow="1" firstDataRow="1" firstDataCol="1"/>
  <pivotFields count="37">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axis="axisRow" compact="0" outline="0" showAll="0">
      <items count="7">
        <item x="5"/>
        <item x="0"/>
        <item x="3"/>
        <item x="2"/>
        <item x="1"/>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3" outline="0" showAll="0"/>
    <pivotField compact="0" outline="0" showAll="0"/>
  </pivotFields>
  <rowFields count="1">
    <field x="7"/>
  </rowFields>
  <rowItems count="7">
    <i>
      <x/>
    </i>
    <i>
      <x v="1"/>
    </i>
    <i>
      <x v="2"/>
    </i>
    <i>
      <x v="3"/>
    </i>
    <i>
      <x v="4"/>
    </i>
    <i>
      <x v="5"/>
    </i>
    <i t="grand">
      <x/>
    </i>
  </rowItems>
  <colItems count="1">
    <i/>
  </colItems>
  <dataFields count="1">
    <dataField name="Exits" fld="35" baseField="0" baseItem="0" numFmtId="3"/>
  </dataFields>
  <formats count="12">
    <format dxfId="143">
      <pivotArea type="all" dataOnly="0" outline="0" fieldPosition="0"/>
    </format>
    <format dxfId="144">
      <pivotArea outline="0" collapsedLevelsAreSubtotals="1" fieldPosition="0"/>
    </format>
    <format dxfId="145">
      <pivotArea field="7" type="button" dataOnly="0" labelOnly="1" outline="0" axis="axisRow" fieldPosition="0"/>
    </format>
    <format dxfId="146">
      <pivotArea dataOnly="0" labelOnly="1" outline="0" fieldPosition="0">
        <references count="1">
          <reference field="7" count="0"/>
        </references>
      </pivotArea>
    </format>
    <format dxfId="147">
      <pivotArea dataOnly="0" labelOnly="1" grandRow="1" outline="0" fieldPosition="0"/>
    </format>
    <format dxfId="148">
      <pivotArea dataOnly="0" labelOnly="1" outline="0" axis="axisValues" fieldPosition="0"/>
    </format>
    <format dxfId="149">
      <pivotArea type="all" dataOnly="0" outline="0" fieldPosition="0"/>
    </format>
    <format dxfId="150">
      <pivotArea outline="0" collapsedLevelsAreSubtotals="1" fieldPosition="0"/>
    </format>
    <format dxfId="151">
      <pivotArea field="7" type="button" dataOnly="0" labelOnly="1" outline="0" axis="axisRow" fieldPosition="0"/>
    </format>
    <format dxfId="152">
      <pivotArea dataOnly="0" labelOnly="1" outline="0" fieldPosition="0">
        <references count="1">
          <reference field="7" count="0"/>
        </references>
      </pivotArea>
    </format>
    <format dxfId="153">
      <pivotArea dataOnly="0" labelOnly="1" grandRow="1" outline="0" fieldPosition="0"/>
    </format>
    <format dxfId="1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80C8DF-F346-40C1-B547-5EE764A44DC2}" name="PT_AttritionByDepartment" cacheId="10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7" firstHeaderRow="0" firstDataRow="1" firstDataCol="1"/>
  <pivotFields count="37">
    <pivotField compact="0" outline="0" showAll="0"/>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0">
        <item x="4"/>
        <item x="8"/>
        <item x="2"/>
        <item x="5"/>
        <item x="3"/>
        <item x="7"/>
        <item x="1"/>
        <item x="0"/>
        <item x="6"/>
        <item t="default"/>
      </items>
    </pivotField>
    <pivotField compact="0" outline="0" showAll="0"/>
    <pivotField compact="0" outline="0" showAll="0"/>
    <pivotField compact="0" numFmtId="16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3" outline="0" showAll="0"/>
    <pivotField compact="0" outline="0" showAll="0"/>
  </pivotFields>
  <rowFields count="1">
    <field x="4"/>
  </rowFields>
  <rowItems count="4">
    <i>
      <x/>
    </i>
    <i>
      <x v="1"/>
    </i>
    <i>
      <x v="2"/>
    </i>
    <i t="grand">
      <x/>
    </i>
  </rowItems>
  <colFields count="1">
    <field x="-2"/>
  </colFields>
  <colItems count="2">
    <i>
      <x/>
    </i>
    <i i="1">
      <x v="1"/>
    </i>
  </colItems>
  <dataFields count="2">
    <dataField name="Headcount" fld="9" subtotal="count" baseField="0" baseItem="0"/>
    <dataField name="Exits" fld="35" baseField="0" baseItem="0" numFmtId="3"/>
  </dataFields>
  <formats count="11">
    <format dxfId="155">
      <pivotArea outline="0" collapsedLevelsAreSubtotals="1" fieldPosition="0"/>
    </format>
    <format dxfId="156">
      <pivotArea type="all" dataOnly="0" outline="0" fieldPosition="0"/>
    </format>
    <format dxfId="157">
      <pivotArea outline="0" collapsedLevelsAreSubtotals="1" fieldPosition="0"/>
    </format>
    <format dxfId="158">
      <pivotArea field="4" type="button" dataOnly="0" labelOnly="1" outline="0" axis="axisRow" fieldPosition="0"/>
    </format>
    <format dxfId="159">
      <pivotArea dataOnly="0" labelOnly="1" grandRow="1" outline="0" fieldPosition="0"/>
    </format>
    <format dxfId="160">
      <pivotArea dataOnly="0" labelOnly="1" outline="0" fieldPosition="0">
        <references count="1">
          <reference field="4294967294" count="2">
            <x v="0"/>
            <x v="1"/>
          </reference>
        </references>
      </pivotArea>
    </format>
    <format dxfId="161">
      <pivotArea type="all" dataOnly="0" outline="0" fieldPosition="0"/>
    </format>
    <format dxfId="162">
      <pivotArea outline="0" collapsedLevelsAreSubtotals="1" fieldPosition="0"/>
    </format>
    <format dxfId="163">
      <pivotArea field="4" type="button" dataOnly="0" labelOnly="1" outline="0" axis="axisRow" fieldPosition="0"/>
    </format>
    <format dxfId="164">
      <pivotArea dataOnly="0" labelOnly="1" grandRow="1" outline="0" fieldPosition="0"/>
    </format>
    <format dxfId="16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2D7F5D8F-6122-4773-9068-EC7FBD623DFB}" sourceName="JobRole">
  <pivotTables>
    <pivotTable tabId="2" name="PT_AttritionByDepartment"/>
    <pivotTable tabId="2" name="PT_AttritionByEducationField"/>
    <pivotTable tabId="2" name="PT_AttritionByAgeBand"/>
    <pivotTable tabId="2" name="PT_AttritionByOverTime"/>
    <pivotTable tabId="2" name="PT_KPI"/>
    <pivotTable tabId="2" name="PT_AttritionByJobRole"/>
    <pivotTable tabId="2" name="PT_AttritionByJobLevel"/>
  </pivotTables>
  <data>
    <tabular pivotCacheId="1714243767">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6934B45-6E8D-4BC6-8A87-7563306FB3E0}" sourceName="Department">
  <pivotTables>
    <pivotTable tabId="2" name="PT_AttritionByDepartment"/>
    <pivotTable tabId="2" name="PT_AttritionByEducationField"/>
    <pivotTable tabId="2" name="PT_AttritionByAgeBand"/>
    <pivotTable tabId="2" name="PT_AttritionByOverTime"/>
    <pivotTable tabId="2" name="PT_KPI"/>
    <pivotTable tabId="2" name="PT_AttritionByJobRole"/>
    <pivotTable tabId="2" name="PT_AttritionByJobLevel"/>
  </pivotTables>
  <data>
    <tabular pivotCacheId="171424376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3FEF988B-0E74-41D7-97A5-7B80FC9F5B67}" cache="Slicer_JobRole" caption="Job Role" columnCount="3" style="SlicerStyleLight2" rowHeight="257175"/>
  <slicer name="Department" xr10:uid="{9D498211-FD6A-42BA-8E18-3D7F1CEB3874}" cache="Slicer_Department" caption="Department" columnCount="3"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9D2CD-B54D-4F35-8FFC-EF7884E9215F}" name="tblHR" displayName="tblHR" ref="A1:AK1471" totalsRowShown="0" headerRowDxfId="3084">
  <autoFilter ref="A1:AK1471" xr:uid="{9799D2CD-B54D-4F35-8FFC-EF7884E9215F}"/>
  <tableColumns count="37">
    <tableColumn id="1" xr3:uid="{F3080516-5DBC-4B91-8FA7-DC2DAE4FEF0A}" name="Age"/>
    <tableColumn id="2" xr3:uid="{A6F2C321-AEFA-4210-B843-B26C73D15BDB}" name="Attrition"/>
    <tableColumn id="3" xr3:uid="{23AA8176-BA45-4295-9C39-0902FACB9173}" name="BusinessTravel"/>
    <tableColumn id="4" xr3:uid="{310F4C2A-43BC-4DFE-9E9A-1B8CEA4EAD02}" name="DailyRate"/>
    <tableColumn id="5" xr3:uid="{2FD0E294-935B-42D6-AF53-A585BF558D75}" name="Department"/>
    <tableColumn id="6" xr3:uid="{A2F4EF1C-6E4D-42F2-B737-D198048884C3}" name="DistanceFromHome"/>
    <tableColumn id="7" xr3:uid="{7945573F-F15E-42CA-92C6-27F6C0197ED2}" name="Education"/>
    <tableColumn id="8" xr3:uid="{6FBB70F4-55A8-4CAC-8AB4-F6FE1124CC9C}" name="EducationField"/>
    <tableColumn id="9" xr3:uid="{8F0B41EB-F3FA-41BE-B407-15B7699D34D7}" name="EmployeeCount"/>
    <tableColumn id="10" xr3:uid="{14D6F940-091D-4F60-8984-C3BD6EC3D4C5}" name="EmployeeNumber"/>
    <tableColumn id="11" xr3:uid="{7DD38710-865A-4AF3-BE6F-24FCF0527251}" name="EnvironmentSatisfaction"/>
    <tableColumn id="12" xr3:uid="{25356F96-E5A0-4711-A431-D889B26C1BE6}" name="Gender"/>
    <tableColumn id="13" xr3:uid="{875061C0-8541-498D-9C71-2E0FC721FFAA}" name="HourlyRate"/>
    <tableColumn id="14" xr3:uid="{07F4DBBE-09BB-423D-B414-1575F8BAC9D3}" name="JobInvolvement"/>
    <tableColumn id="15" xr3:uid="{CA37A885-83E2-4399-9B4B-B12909753996}" name="JobLevel"/>
    <tableColumn id="16" xr3:uid="{DE5B908F-B44E-4FE0-BBF3-FF7FFF84BE30}" name="JobRole"/>
    <tableColumn id="17" xr3:uid="{BA1F2F13-6994-47F3-907B-7637C09AEA28}" name="JobSatisfaction"/>
    <tableColumn id="18" xr3:uid="{D77EABEE-57F2-4BAA-8559-380158C44399}" name="MaritalStatus"/>
    <tableColumn id="19" xr3:uid="{D6545509-08B9-42A5-AEB4-BF95935A0C22}" name="MonthlyIncome" dataDxfId="3086"/>
    <tableColumn id="20" xr3:uid="{38BDE4D1-7E2A-4654-8376-E800822C903A}" name="MonthlyRate"/>
    <tableColumn id="21" xr3:uid="{224279D3-1C38-40D4-AF51-973CB38C6966}" name="NumCompaniesWorked"/>
    <tableColumn id="22" xr3:uid="{C4C355E5-B81F-41BB-A9DC-E6387EF60C62}" name="Over18"/>
    <tableColumn id="23" xr3:uid="{DB388AD2-C63D-4311-A642-4D1ACCD8A074}" name="OverTime"/>
    <tableColumn id="24" xr3:uid="{68626D22-F629-46A9-B67D-36ACADEA1804}" name="PercentSalaryHike"/>
    <tableColumn id="25" xr3:uid="{ABE74047-D438-40C1-A5FB-E6213A0D16C5}" name="PerformanceRating"/>
    <tableColumn id="26" xr3:uid="{02827712-CE90-42E4-A667-BE4300F33181}" name="RelationshipSatisfaction"/>
    <tableColumn id="27" xr3:uid="{2A3C76B4-A837-4211-AB57-63EE435982CC}" name="StandardHours"/>
    <tableColumn id="28" xr3:uid="{0E0280D8-B8F9-4362-8B1C-01CF68C922C3}" name="StockOptionLevel"/>
    <tableColumn id="29" xr3:uid="{C426DA62-5057-4305-BE68-DC6D64AC5CC1}" name="TotalWorkingYears"/>
    <tableColumn id="30" xr3:uid="{F2D47EBF-B710-4CBF-807E-ADBFBC9FA960}" name="TrainingTimesLastYear"/>
    <tableColumn id="31" xr3:uid="{EEDFBFED-88A8-489D-A9EF-B8BAAC1A7815}" name="WorkLifeBalance"/>
    <tableColumn id="32" xr3:uid="{CD0303B4-BF4B-4D07-BA46-3713422F413C}" name="YearsAtCompany"/>
    <tableColumn id="33" xr3:uid="{A76B5C76-5B1A-462A-A196-3C125688001B}" name="YearsInCurrentRole"/>
    <tableColumn id="34" xr3:uid="{7E90B3E7-E7AB-4980-B303-28828834BC22}" name="YearsSinceLastPromotion"/>
    <tableColumn id="35" xr3:uid="{3CA122A4-C00B-47D2-B7E6-5A8233DB9E2D}" name="YearsWithCurrManager"/>
    <tableColumn id="36" xr3:uid="{930E0047-B520-4713-90BC-88B6A9598BFE}" name="AttritionFlag" dataDxfId="3085">
      <calculatedColumnFormula>IF(tblHR[[#This Row],[Attrition]]="Yes",1,0)</calculatedColumnFormula>
    </tableColumn>
    <tableColumn id="37" xr3:uid="{A7A595E6-13A5-4B31-881C-A3B393332DAD}" name="AgeBand">
      <calculatedColumnFormula>IF(tblHR[[#This Row],[Age]]&lt;26,"18-25",IF(tblHR[[#This Row],[Age]]&lt;36,"26-35",IF(tblHR[[#This Row],[Age]]&lt;46,"36-45",IF(tblHR[[#This Row],[Age]]&lt;56,"46-55","56+"))))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74A65-E8ED-47AA-A66F-E213F2A2CBBC}">
  <sheetPr codeName="Sheet2">
    <pageSetUpPr fitToPage="1"/>
  </sheetPr>
  <dimension ref="A1:AG29"/>
  <sheetViews>
    <sheetView showGridLines="0" tabSelected="1" topLeftCell="B1" zoomScaleNormal="100" workbookViewId="0">
      <selection activeCell="AG18" sqref="AG18"/>
    </sheetView>
  </sheetViews>
  <sheetFormatPr defaultRowHeight="13.5" x14ac:dyDescent="0.25"/>
  <cols>
    <col min="1" max="30" width="8" style="10" customWidth="1"/>
    <col min="31" max="31" width="9.140625" style="10"/>
    <col min="32" max="33" width="9.7109375" style="10" customWidth="1"/>
    <col min="34" max="16384" width="9.140625" style="10"/>
  </cols>
  <sheetData>
    <row r="1" spans="1:32" ht="21.95" customHeight="1" x14ac:dyDescent="0.25">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row>
    <row r="2" spans="1:32" ht="21.95" customHeight="1"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F2" s="11">
        <f>IFERROR(GETPIVOTDATA("Headcount",Pivot!$Q$3),0)</f>
        <v>1470</v>
      </c>
    </row>
    <row r="3" spans="1:32" ht="21.95" customHeight="1" x14ac:dyDescent="0.2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F3" s="11">
        <f>IFERROR(GETPIVOTDATA("Exits",Pivot!$Q$3),0)</f>
        <v>237</v>
      </c>
    </row>
    <row r="4" spans="1:32" ht="18" customHeight="1" x14ac:dyDescent="0.25">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F4" s="12">
        <f>IFERROR(AF3/AF2,0)</f>
        <v>0.16122448979591836</v>
      </c>
    </row>
    <row r="5" spans="1:32" ht="18" customHeight="1" x14ac:dyDescent="0.25">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F5" s="13">
        <f>IFERROR(GETPIVOTDATA("Avg Monthly Income",Pivot!$Q$3),0)</f>
        <v>6502.931292517007</v>
      </c>
    </row>
    <row r="6" spans="1:32" ht="18" customHeight="1" x14ac:dyDescent="0.25">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F6" s="14">
        <f>IFERROR(GETPIVOTDATA("Avg Tenure",Pivot!$Q$3),0)</f>
        <v>7.0081632653061225</v>
      </c>
    </row>
    <row r="7" spans="1:32" ht="18" customHeight="1" x14ac:dyDescent="0.25">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F7" s="14">
        <f>IFERROR(GETPIVOTDATA("Avg Age",Pivot!$Q$3),0)</f>
        <v>36.923809523809524</v>
      </c>
    </row>
    <row r="8" spans="1:32" ht="18" customHeight="1" x14ac:dyDescent="0.25">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row>
    <row r="9" spans="1:32" ht="18" customHeight="1" x14ac:dyDescent="0.25">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row>
    <row r="10" spans="1:32" ht="18" customHeight="1" x14ac:dyDescent="0.2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row>
    <row r="11" spans="1:32" ht="18" customHeight="1" x14ac:dyDescent="0.2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row>
    <row r="12" spans="1:32" ht="18" customHeight="1" x14ac:dyDescent="0.2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row>
    <row r="13" spans="1:32" ht="18" customHeight="1" x14ac:dyDescent="0.2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row>
    <row r="14" spans="1:32" ht="18" customHeight="1" x14ac:dyDescent="0.2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row>
    <row r="15" spans="1:32" ht="18" customHeight="1" x14ac:dyDescent="0.2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row>
    <row r="16" spans="1:32" ht="18"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row>
    <row r="17" spans="1:30" ht="18" customHeight="1" x14ac:dyDescent="0.2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row>
    <row r="18" spans="1:30" ht="18" customHeight="1" x14ac:dyDescent="0.2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row>
    <row r="19" spans="1:30" ht="18"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row>
    <row r="20" spans="1:30" ht="18" customHeight="1" x14ac:dyDescent="0.2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row>
    <row r="21" spans="1:30" ht="18" customHeight="1" x14ac:dyDescent="0.2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row>
    <row r="22" spans="1:30" ht="18" customHeight="1" x14ac:dyDescent="0.2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row>
    <row r="23" spans="1:30" ht="18" customHeight="1" x14ac:dyDescent="0.2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 customHeight="1" x14ac:dyDescent="0.2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row>
    <row r="25" spans="1:30" ht="18" customHeight="1" x14ac:dyDescent="0.2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row>
    <row r="26" spans="1:30" ht="18" customHeight="1" x14ac:dyDescent="0.2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row>
    <row r="27" spans="1:30" ht="18" customHeight="1" x14ac:dyDescent="0.2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row>
    <row r="28" spans="1:30" ht="18" customHeight="1" x14ac:dyDescent="0.2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row>
    <row r="29" spans="1:30" ht="18" customHeight="1" x14ac:dyDescent="0.2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7C41F-ADC0-4AD6-8D70-A1102D56818D}">
  <sheetPr codeName="Sheet1"/>
  <dimension ref="A1:AK1471"/>
  <sheetViews>
    <sheetView topLeftCell="D1" workbookViewId="0">
      <selection activeCell="AF4" sqref="AF4"/>
    </sheetView>
  </sheetViews>
  <sheetFormatPr defaultRowHeight="15" x14ac:dyDescent="0.25"/>
  <cols>
    <col min="1" max="1" width="6.5703125" bestFit="1" customWidth="1"/>
    <col min="2" max="2" width="10.7109375" bestFit="1" customWidth="1"/>
    <col min="3" max="3" width="17" bestFit="1" customWidth="1"/>
    <col min="4" max="4" width="12" bestFit="1" customWidth="1"/>
    <col min="5" max="5" width="23.140625" bestFit="1" customWidth="1"/>
    <col min="6" max="6" width="21.5703125" bestFit="1" customWidth="1"/>
    <col min="7" max="7" width="12.28515625" bestFit="1" customWidth="1"/>
    <col min="8" max="8" width="17.28515625" bestFit="1" customWidth="1"/>
    <col min="9" max="9" width="18" bestFit="1" customWidth="1"/>
    <col min="10" max="10" width="19.85546875" bestFit="1" customWidth="1"/>
    <col min="11" max="11" width="26" bestFit="1" customWidth="1"/>
    <col min="12" max="12" width="10" bestFit="1" customWidth="1"/>
    <col min="13" max="13" width="13.42578125" bestFit="1" customWidth="1"/>
    <col min="14" max="14" width="17.7109375" bestFit="1" customWidth="1"/>
    <col min="15" max="15" width="11.140625" bestFit="1" customWidth="1"/>
    <col min="16" max="16" width="24.28515625" bestFit="1" customWidth="1"/>
    <col min="17" max="17" width="17.140625" bestFit="1" customWidth="1"/>
    <col min="18" max="18" width="15.140625" bestFit="1" customWidth="1"/>
    <col min="19" max="19" width="17.42578125" bestFit="1" customWidth="1"/>
    <col min="20" max="20" width="14.7109375" bestFit="1" customWidth="1"/>
    <col min="21" max="21" width="25.28515625" bestFit="1" customWidth="1"/>
    <col min="22" max="22" width="9.5703125" bestFit="1" customWidth="1"/>
    <col min="23" max="23" width="12" bestFit="1" customWidth="1"/>
    <col min="24" max="24" width="20.140625" bestFit="1" customWidth="1"/>
    <col min="25" max="25" width="20.85546875" bestFit="1" customWidth="1"/>
    <col min="26" max="26" width="25.85546875" bestFit="1" customWidth="1"/>
    <col min="27" max="27" width="16.85546875" bestFit="1" customWidth="1"/>
    <col min="28" max="28" width="19.5703125" bestFit="1" customWidth="1"/>
    <col min="29" max="29" width="20.42578125" bestFit="1" customWidth="1"/>
    <col min="30" max="30" width="24" bestFit="1" customWidth="1"/>
    <col min="31" max="31" width="18.5703125" bestFit="1" customWidth="1"/>
    <col min="32" max="32" width="18.85546875" bestFit="1" customWidth="1"/>
    <col min="33" max="33" width="21.42578125" bestFit="1" customWidth="1"/>
    <col min="34" max="34" width="26.85546875" bestFit="1" customWidth="1"/>
    <col min="35" max="35" width="24.5703125" bestFit="1" customWidth="1"/>
    <col min="36" max="36" width="14.28515625" bestFit="1" customWidth="1"/>
    <col min="37" max="37" width="11" bestFit="1" customWidth="1"/>
  </cols>
  <sheetData>
    <row r="1" spans="1:37" s="3" customForma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63</v>
      </c>
      <c r="AK1" s="3" t="s">
        <v>64</v>
      </c>
    </row>
    <row r="2" spans="1:37" x14ac:dyDescent="0.25">
      <c r="A2">
        <v>41</v>
      </c>
      <c r="B2" t="s">
        <v>35</v>
      </c>
      <c r="C2" t="s">
        <v>36</v>
      </c>
      <c r="D2">
        <v>1102</v>
      </c>
      <c r="E2" t="s">
        <v>37</v>
      </c>
      <c r="F2">
        <v>1</v>
      </c>
      <c r="G2">
        <v>2</v>
      </c>
      <c r="H2" t="s">
        <v>38</v>
      </c>
      <c r="I2">
        <v>1</v>
      </c>
      <c r="J2">
        <v>1</v>
      </c>
      <c r="K2">
        <v>2</v>
      </c>
      <c r="L2" t="s">
        <v>39</v>
      </c>
      <c r="M2">
        <v>94</v>
      </c>
      <c r="N2">
        <v>3</v>
      </c>
      <c r="O2">
        <v>2</v>
      </c>
      <c r="P2" t="s">
        <v>40</v>
      </c>
      <c r="Q2">
        <v>4</v>
      </c>
      <c r="R2" t="s">
        <v>41</v>
      </c>
      <c r="S2" s="1">
        <v>5993</v>
      </c>
      <c r="T2">
        <v>19479</v>
      </c>
      <c r="U2">
        <v>8</v>
      </c>
      <c r="V2" t="s">
        <v>42</v>
      </c>
      <c r="W2" t="s">
        <v>35</v>
      </c>
      <c r="X2">
        <v>11</v>
      </c>
      <c r="Y2">
        <v>3</v>
      </c>
      <c r="Z2">
        <v>1</v>
      </c>
      <c r="AA2">
        <v>80</v>
      </c>
      <c r="AB2">
        <v>0</v>
      </c>
      <c r="AC2">
        <v>8</v>
      </c>
      <c r="AD2">
        <v>0</v>
      </c>
      <c r="AE2">
        <v>1</v>
      </c>
      <c r="AF2">
        <v>6</v>
      </c>
      <c r="AG2">
        <v>4</v>
      </c>
      <c r="AH2">
        <v>0</v>
      </c>
      <c r="AI2">
        <v>5</v>
      </c>
      <c r="AJ2" s="2">
        <f>IF(tblHR[[#This Row],[Attrition]]="Yes",1,0)</f>
        <v>1</v>
      </c>
      <c r="AK2" t="str">
        <f>IF(tblHR[[#This Row],[Age]]&lt;26,"18-25",IF(tblHR[[#This Row],[Age]]&lt;36,"26-35",IF(tblHR[[#This Row],[Age]]&lt;46,"36-45",IF(tblHR[[#This Row],[Age]]&lt;56,"46-55","56+"))))</f>
        <v>36-45</v>
      </c>
    </row>
    <row r="3" spans="1:37" x14ac:dyDescent="0.25">
      <c r="A3">
        <v>49</v>
      </c>
      <c r="B3" t="s">
        <v>43</v>
      </c>
      <c r="C3" t="s">
        <v>44</v>
      </c>
      <c r="D3">
        <v>279</v>
      </c>
      <c r="E3" t="s">
        <v>45</v>
      </c>
      <c r="F3">
        <v>8</v>
      </c>
      <c r="G3">
        <v>1</v>
      </c>
      <c r="H3" t="s">
        <v>38</v>
      </c>
      <c r="I3">
        <v>1</v>
      </c>
      <c r="J3">
        <v>2</v>
      </c>
      <c r="K3">
        <v>3</v>
      </c>
      <c r="L3" t="s">
        <v>46</v>
      </c>
      <c r="M3">
        <v>61</v>
      </c>
      <c r="N3">
        <v>2</v>
      </c>
      <c r="O3">
        <v>2</v>
      </c>
      <c r="P3" t="s">
        <v>47</v>
      </c>
      <c r="Q3">
        <v>2</v>
      </c>
      <c r="R3" t="s">
        <v>48</v>
      </c>
      <c r="S3" s="1">
        <v>5130</v>
      </c>
      <c r="T3">
        <v>24907</v>
      </c>
      <c r="U3">
        <v>1</v>
      </c>
      <c r="V3" t="s">
        <v>42</v>
      </c>
      <c r="W3" t="s">
        <v>43</v>
      </c>
      <c r="X3">
        <v>23</v>
      </c>
      <c r="Y3">
        <v>4</v>
      </c>
      <c r="Z3">
        <v>4</v>
      </c>
      <c r="AA3">
        <v>80</v>
      </c>
      <c r="AB3">
        <v>1</v>
      </c>
      <c r="AC3">
        <v>10</v>
      </c>
      <c r="AD3">
        <v>3</v>
      </c>
      <c r="AE3">
        <v>3</v>
      </c>
      <c r="AF3">
        <v>10</v>
      </c>
      <c r="AG3">
        <v>7</v>
      </c>
      <c r="AH3">
        <v>1</v>
      </c>
      <c r="AI3">
        <v>7</v>
      </c>
      <c r="AJ3" s="2">
        <f>IF(tblHR[[#This Row],[Attrition]]="Yes",1,0)</f>
        <v>0</v>
      </c>
      <c r="AK3" t="str">
        <f>IF(tblHR[[#This Row],[Age]]&lt;26,"18-25",IF(tblHR[[#This Row],[Age]]&lt;36,"26-35",IF(tblHR[[#This Row],[Age]]&lt;46,"36-45",IF(tblHR[[#This Row],[Age]]&lt;56,"46-55","56+"))))</f>
        <v>46-55</v>
      </c>
    </row>
    <row r="4" spans="1:37" x14ac:dyDescent="0.25">
      <c r="A4">
        <v>37</v>
      </c>
      <c r="B4" t="s">
        <v>35</v>
      </c>
      <c r="C4" t="s">
        <v>36</v>
      </c>
      <c r="D4">
        <v>1373</v>
      </c>
      <c r="E4" t="s">
        <v>45</v>
      </c>
      <c r="F4">
        <v>2</v>
      </c>
      <c r="G4">
        <v>2</v>
      </c>
      <c r="H4" t="s">
        <v>49</v>
      </c>
      <c r="I4">
        <v>1</v>
      </c>
      <c r="J4">
        <v>4</v>
      </c>
      <c r="K4">
        <v>4</v>
      </c>
      <c r="L4" t="s">
        <v>46</v>
      </c>
      <c r="M4">
        <v>92</v>
      </c>
      <c r="N4">
        <v>2</v>
      </c>
      <c r="O4">
        <v>1</v>
      </c>
      <c r="P4" t="s">
        <v>50</v>
      </c>
      <c r="Q4">
        <v>3</v>
      </c>
      <c r="R4" t="s">
        <v>41</v>
      </c>
      <c r="S4" s="1">
        <v>2090</v>
      </c>
      <c r="T4">
        <v>2396</v>
      </c>
      <c r="U4">
        <v>6</v>
      </c>
      <c r="V4" t="s">
        <v>42</v>
      </c>
      <c r="W4" t="s">
        <v>35</v>
      </c>
      <c r="X4">
        <v>15</v>
      </c>
      <c r="Y4">
        <v>3</v>
      </c>
      <c r="Z4">
        <v>2</v>
      </c>
      <c r="AA4">
        <v>80</v>
      </c>
      <c r="AB4">
        <v>0</v>
      </c>
      <c r="AC4">
        <v>7</v>
      </c>
      <c r="AD4">
        <v>3</v>
      </c>
      <c r="AE4">
        <v>3</v>
      </c>
      <c r="AF4">
        <v>0</v>
      </c>
      <c r="AG4">
        <v>0</v>
      </c>
      <c r="AH4">
        <v>0</v>
      </c>
      <c r="AI4">
        <v>0</v>
      </c>
      <c r="AJ4" s="2">
        <f>IF(tblHR[[#This Row],[Attrition]]="Yes",1,0)</f>
        <v>1</v>
      </c>
      <c r="AK4" t="str">
        <f>IF(tblHR[[#This Row],[Age]]&lt;26,"18-25",IF(tblHR[[#This Row],[Age]]&lt;36,"26-35",IF(tblHR[[#This Row],[Age]]&lt;46,"36-45",IF(tblHR[[#This Row],[Age]]&lt;56,"46-55","56+"))))</f>
        <v>36-45</v>
      </c>
    </row>
    <row r="5" spans="1:37" x14ac:dyDescent="0.25">
      <c r="A5">
        <v>33</v>
      </c>
      <c r="B5" t="s">
        <v>43</v>
      </c>
      <c r="C5" t="s">
        <v>44</v>
      </c>
      <c r="D5">
        <v>1392</v>
      </c>
      <c r="E5" t="s">
        <v>45</v>
      </c>
      <c r="F5">
        <v>3</v>
      </c>
      <c r="G5">
        <v>4</v>
      </c>
      <c r="H5" t="s">
        <v>38</v>
      </c>
      <c r="I5">
        <v>1</v>
      </c>
      <c r="J5">
        <v>5</v>
      </c>
      <c r="K5">
        <v>4</v>
      </c>
      <c r="L5" t="s">
        <v>39</v>
      </c>
      <c r="M5">
        <v>56</v>
      </c>
      <c r="N5">
        <v>3</v>
      </c>
      <c r="O5">
        <v>1</v>
      </c>
      <c r="P5" t="s">
        <v>47</v>
      </c>
      <c r="Q5">
        <v>3</v>
      </c>
      <c r="R5" t="s">
        <v>48</v>
      </c>
      <c r="S5" s="1">
        <v>2909</v>
      </c>
      <c r="T5">
        <v>23159</v>
      </c>
      <c r="U5">
        <v>1</v>
      </c>
      <c r="V5" t="s">
        <v>42</v>
      </c>
      <c r="W5" t="s">
        <v>35</v>
      </c>
      <c r="X5">
        <v>11</v>
      </c>
      <c r="Y5">
        <v>3</v>
      </c>
      <c r="Z5">
        <v>3</v>
      </c>
      <c r="AA5">
        <v>80</v>
      </c>
      <c r="AB5">
        <v>0</v>
      </c>
      <c r="AC5">
        <v>8</v>
      </c>
      <c r="AD5">
        <v>3</v>
      </c>
      <c r="AE5">
        <v>3</v>
      </c>
      <c r="AF5">
        <v>8</v>
      </c>
      <c r="AG5">
        <v>7</v>
      </c>
      <c r="AH5">
        <v>3</v>
      </c>
      <c r="AI5">
        <v>0</v>
      </c>
      <c r="AJ5" s="2">
        <f>IF(tblHR[[#This Row],[Attrition]]="Yes",1,0)</f>
        <v>0</v>
      </c>
      <c r="AK5" t="str">
        <f>IF(tblHR[[#This Row],[Age]]&lt;26,"18-25",IF(tblHR[[#This Row],[Age]]&lt;36,"26-35",IF(tblHR[[#This Row],[Age]]&lt;46,"36-45",IF(tblHR[[#This Row],[Age]]&lt;56,"46-55","56+"))))</f>
        <v>26-35</v>
      </c>
    </row>
    <row r="6" spans="1:37" x14ac:dyDescent="0.25">
      <c r="A6">
        <v>27</v>
      </c>
      <c r="B6" t="s">
        <v>43</v>
      </c>
      <c r="C6" t="s">
        <v>36</v>
      </c>
      <c r="D6">
        <v>591</v>
      </c>
      <c r="E6" t="s">
        <v>45</v>
      </c>
      <c r="F6">
        <v>2</v>
      </c>
      <c r="G6">
        <v>1</v>
      </c>
      <c r="H6" t="s">
        <v>51</v>
      </c>
      <c r="I6">
        <v>1</v>
      </c>
      <c r="J6">
        <v>7</v>
      </c>
      <c r="K6">
        <v>1</v>
      </c>
      <c r="L6" t="s">
        <v>46</v>
      </c>
      <c r="M6">
        <v>40</v>
      </c>
      <c r="N6">
        <v>3</v>
      </c>
      <c r="O6">
        <v>1</v>
      </c>
      <c r="P6" t="s">
        <v>50</v>
      </c>
      <c r="Q6">
        <v>2</v>
      </c>
      <c r="R6" t="s">
        <v>48</v>
      </c>
      <c r="S6" s="1">
        <v>3468</v>
      </c>
      <c r="T6">
        <v>16632</v>
      </c>
      <c r="U6">
        <v>9</v>
      </c>
      <c r="V6" t="s">
        <v>42</v>
      </c>
      <c r="W6" t="s">
        <v>43</v>
      </c>
      <c r="X6">
        <v>12</v>
      </c>
      <c r="Y6">
        <v>3</v>
      </c>
      <c r="Z6">
        <v>4</v>
      </c>
      <c r="AA6">
        <v>80</v>
      </c>
      <c r="AB6">
        <v>1</v>
      </c>
      <c r="AC6">
        <v>6</v>
      </c>
      <c r="AD6">
        <v>3</v>
      </c>
      <c r="AE6">
        <v>3</v>
      </c>
      <c r="AF6">
        <v>2</v>
      </c>
      <c r="AG6">
        <v>2</v>
      </c>
      <c r="AH6">
        <v>2</v>
      </c>
      <c r="AI6">
        <v>2</v>
      </c>
      <c r="AJ6" s="2">
        <f>IF(tblHR[[#This Row],[Attrition]]="Yes",1,0)</f>
        <v>0</v>
      </c>
      <c r="AK6" t="str">
        <f>IF(tblHR[[#This Row],[Age]]&lt;26,"18-25",IF(tblHR[[#This Row],[Age]]&lt;36,"26-35",IF(tblHR[[#This Row],[Age]]&lt;46,"36-45",IF(tblHR[[#This Row],[Age]]&lt;56,"46-55","56+"))))</f>
        <v>26-35</v>
      </c>
    </row>
    <row r="7" spans="1:37" x14ac:dyDescent="0.25">
      <c r="A7">
        <v>32</v>
      </c>
      <c r="B7" t="s">
        <v>43</v>
      </c>
      <c r="C7" t="s">
        <v>44</v>
      </c>
      <c r="D7">
        <v>1005</v>
      </c>
      <c r="E7" t="s">
        <v>45</v>
      </c>
      <c r="F7">
        <v>2</v>
      </c>
      <c r="G7">
        <v>2</v>
      </c>
      <c r="H7" t="s">
        <v>38</v>
      </c>
      <c r="I7">
        <v>1</v>
      </c>
      <c r="J7">
        <v>8</v>
      </c>
      <c r="K7">
        <v>4</v>
      </c>
      <c r="L7" t="s">
        <v>46</v>
      </c>
      <c r="M7">
        <v>79</v>
      </c>
      <c r="N7">
        <v>3</v>
      </c>
      <c r="O7">
        <v>1</v>
      </c>
      <c r="P7" t="s">
        <v>50</v>
      </c>
      <c r="Q7">
        <v>4</v>
      </c>
      <c r="R7" t="s">
        <v>41</v>
      </c>
      <c r="S7" s="1">
        <v>3068</v>
      </c>
      <c r="T7">
        <v>11864</v>
      </c>
      <c r="U7">
        <v>0</v>
      </c>
      <c r="V7" t="s">
        <v>42</v>
      </c>
      <c r="W7" t="s">
        <v>43</v>
      </c>
      <c r="X7">
        <v>13</v>
      </c>
      <c r="Y7">
        <v>3</v>
      </c>
      <c r="Z7">
        <v>3</v>
      </c>
      <c r="AA7">
        <v>80</v>
      </c>
      <c r="AB7">
        <v>0</v>
      </c>
      <c r="AC7">
        <v>8</v>
      </c>
      <c r="AD7">
        <v>2</v>
      </c>
      <c r="AE7">
        <v>2</v>
      </c>
      <c r="AF7">
        <v>7</v>
      </c>
      <c r="AG7">
        <v>7</v>
      </c>
      <c r="AH7">
        <v>3</v>
      </c>
      <c r="AI7">
        <v>6</v>
      </c>
      <c r="AJ7" s="2">
        <f>IF(tblHR[[#This Row],[Attrition]]="Yes",1,0)</f>
        <v>0</v>
      </c>
      <c r="AK7" t="str">
        <f>IF(tblHR[[#This Row],[Age]]&lt;26,"18-25",IF(tblHR[[#This Row],[Age]]&lt;36,"26-35",IF(tblHR[[#This Row],[Age]]&lt;46,"36-45",IF(tblHR[[#This Row],[Age]]&lt;56,"46-55","56+"))))</f>
        <v>26-35</v>
      </c>
    </row>
    <row r="8" spans="1:37" x14ac:dyDescent="0.25">
      <c r="A8">
        <v>59</v>
      </c>
      <c r="B8" t="s">
        <v>43</v>
      </c>
      <c r="C8" t="s">
        <v>36</v>
      </c>
      <c r="D8">
        <v>1324</v>
      </c>
      <c r="E8" t="s">
        <v>45</v>
      </c>
      <c r="F8">
        <v>3</v>
      </c>
      <c r="G8">
        <v>3</v>
      </c>
      <c r="H8" t="s">
        <v>51</v>
      </c>
      <c r="I8">
        <v>1</v>
      </c>
      <c r="J8">
        <v>10</v>
      </c>
      <c r="K8">
        <v>3</v>
      </c>
      <c r="L8" t="s">
        <v>39</v>
      </c>
      <c r="M8">
        <v>81</v>
      </c>
      <c r="N8">
        <v>4</v>
      </c>
      <c r="O8">
        <v>1</v>
      </c>
      <c r="P8" t="s">
        <v>50</v>
      </c>
      <c r="Q8">
        <v>1</v>
      </c>
      <c r="R8" t="s">
        <v>48</v>
      </c>
      <c r="S8" s="1">
        <v>2670</v>
      </c>
      <c r="T8">
        <v>9964</v>
      </c>
      <c r="U8">
        <v>4</v>
      </c>
      <c r="V8" t="s">
        <v>42</v>
      </c>
      <c r="W8" t="s">
        <v>35</v>
      </c>
      <c r="X8">
        <v>20</v>
      </c>
      <c r="Y8">
        <v>4</v>
      </c>
      <c r="Z8">
        <v>1</v>
      </c>
      <c r="AA8">
        <v>80</v>
      </c>
      <c r="AB8">
        <v>3</v>
      </c>
      <c r="AC8">
        <v>12</v>
      </c>
      <c r="AD8">
        <v>3</v>
      </c>
      <c r="AE8">
        <v>2</v>
      </c>
      <c r="AF8">
        <v>1</v>
      </c>
      <c r="AG8">
        <v>0</v>
      </c>
      <c r="AH8">
        <v>0</v>
      </c>
      <c r="AI8">
        <v>0</v>
      </c>
      <c r="AJ8" s="2">
        <f>IF(tblHR[[#This Row],[Attrition]]="Yes",1,0)</f>
        <v>0</v>
      </c>
      <c r="AK8" t="str">
        <f>IF(tblHR[[#This Row],[Age]]&lt;26,"18-25",IF(tblHR[[#This Row],[Age]]&lt;36,"26-35",IF(tblHR[[#This Row],[Age]]&lt;46,"36-45",IF(tblHR[[#This Row],[Age]]&lt;56,"46-55","56+"))))</f>
        <v>56+</v>
      </c>
    </row>
    <row r="9" spans="1:37" x14ac:dyDescent="0.25">
      <c r="A9">
        <v>30</v>
      </c>
      <c r="B9" t="s">
        <v>43</v>
      </c>
      <c r="C9" t="s">
        <v>36</v>
      </c>
      <c r="D9">
        <v>1358</v>
      </c>
      <c r="E9" t="s">
        <v>45</v>
      </c>
      <c r="F9">
        <v>24</v>
      </c>
      <c r="G9">
        <v>1</v>
      </c>
      <c r="H9" t="s">
        <v>38</v>
      </c>
      <c r="I9">
        <v>1</v>
      </c>
      <c r="J9">
        <v>11</v>
      </c>
      <c r="K9">
        <v>4</v>
      </c>
      <c r="L9" t="s">
        <v>46</v>
      </c>
      <c r="M9">
        <v>67</v>
      </c>
      <c r="N9">
        <v>3</v>
      </c>
      <c r="O9">
        <v>1</v>
      </c>
      <c r="P9" t="s">
        <v>50</v>
      </c>
      <c r="Q9">
        <v>3</v>
      </c>
      <c r="R9" t="s">
        <v>52</v>
      </c>
      <c r="S9" s="1">
        <v>2693</v>
      </c>
      <c r="T9">
        <v>13335</v>
      </c>
      <c r="U9">
        <v>1</v>
      </c>
      <c r="V9" t="s">
        <v>42</v>
      </c>
      <c r="W9" t="s">
        <v>43</v>
      </c>
      <c r="X9">
        <v>22</v>
      </c>
      <c r="Y9">
        <v>4</v>
      </c>
      <c r="Z9">
        <v>2</v>
      </c>
      <c r="AA9">
        <v>80</v>
      </c>
      <c r="AB9">
        <v>1</v>
      </c>
      <c r="AC9">
        <v>1</v>
      </c>
      <c r="AD9">
        <v>2</v>
      </c>
      <c r="AE9">
        <v>3</v>
      </c>
      <c r="AF9">
        <v>1</v>
      </c>
      <c r="AG9">
        <v>0</v>
      </c>
      <c r="AH9">
        <v>0</v>
      </c>
      <c r="AI9">
        <v>0</v>
      </c>
      <c r="AJ9" s="2">
        <f>IF(tblHR[[#This Row],[Attrition]]="Yes",1,0)</f>
        <v>0</v>
      </c>
      <c r="AK9" t="str">
        <f>IF(tblHR[[#This Row],[Age]]&lt;26,"18-25",IF(tblHR[[#This Row],[Age]]&lt;36,"26-35",IF(tblHR[[#This Row],[Age]]&lt;46,"36-45",IF(tblHR[[#This Row],[Age]]&lt;56,"46-55","56+"))))</f>
        <v>26-35</v>
      </c>
    </row>
    <row r="10" spans="1:37"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s="1">
        <v>9526</v>
      </c>
      <c r="T10">
        <v>8787</v>
      </c>
      <c r="U10">
        <v>0</v>
      </c>
      <c r="V10" t="s">
        <v>42</v>
      </c>
      <c r="W10" t="s">
        <v>43</v>
      </c>
      <c r="X10">
        <v>21</v>
      </c>
      <c r="Y10">
        <v>4</v>
      </c>
      <c r="Z10">
        <v>2</v>
      </c>
      <c r="AA10">
        <v>80</v>
      </c>
      <c r="AB10">
        <v>0</v>
      </c>
      <c r="AC10">
        <v>10</v>
      </c>
      <c r="AD10">
        <v>2</v>
      </c>
      <c r="AE10">
        <v>3</v>
      </c>
      <c r="AF10">
        <v>9</v>
      </c>
      <c r="AG10">
        <v>7</v>
      </c>
      <c r="AH10">
        <v>1</v>
      </c>
      <c r="AI10">
        <v>8</v>
      </c>
      <c r="AJ10" s="2">
        <f>IF(tblHR[[#This Row],[Attrition]]="Yes",1,0)</f>
        <v>0</v>
      </c>
      <c r="AK10" t="str">
        <f>IF(tblHR[[#This Row],[Age]]&lt;26,"18-25",IF(tblHR[[#This Row],[Age]]&lt;36,"26-35",IF(tblHR[[#This Row],[Age]]&lt;46,"36-45",IF(tblHR[[#This Row],[Age]]&lt;56,"46-55","56+"))))</f>
        <v>36-45</v>
      </c>
    </row>
    <row r="11" spans="1:37"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s="1">
        <v>5237</v>
      </c>
      <c r="T11">
        <v>16577</v>
      </c>
      <c r="U11">
        <v>6</v>
      </c>
      <c r="V11" t="s">
        <v>42</v>
      </c>
      <c r="W11" t="s">
        <v>43</v>
      </c>
      <c r="X11">
        <v>13</v>
      </c>
      <c r="Y11">
        <v>3</v>
      </c>
      <c r="Z11">
        <v>2</v>
      </c>
      <c r="AA11">
        <v>80</v>
      </c>
      <c r="AB11">
        <v>2</v>
      </c>
      <c r="AC11">
        <v>17</v>
      </c>
      <c r="AD11">
        <v>3</v>
      </c>
      <c r="AE11">
        <v>2</v>
      </c>
      <c r="AF11">
        <v>7</v>
      </c>
      <c r="AG11">
        <v>7</v>
      </c>
      <c r="AH11">
        <v>7</v>
      </c>
      <c r="AI11">
        <v>7</v>
      </c>
      <c r="AJ11" s="2">
        <f>IF(tblHR[[#This Row],[Attrition]]="Yes",1,0)</f>
        <v>0</v>
      </c>
      <c r="AK11" t="str">
        <f>IF(tblHR[[#This Row],[Age]]&lt;26,"18-25",IF(tblHR[[#This Row],[Age]]&lt;36,"26-35",IF(tblHR[[#This Row],[Age]]&lt;46,"36-45",IF(tblHR[[#This Row],[Age]]&lt;56,"46-55","56+"))))</f>
        <v>36-45</v>
      </c>
    </row>
    <row r="12" spans="1:37"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s="1">
        <v>2426</v>
      </c>
      <c r="T12">
        <v>16479</v>
      </c>
      <c r="U12">
        <v>0</v>
      </c>
      <c r="V12" t="s">
        <v>42</v>
      </c>
      <c r="W12" t="s">
        <v>43</v>
      </c>
      <c r="X12">
        <v>13</v>
      </c>
      <c r="Y12">
        <v>3</v>
      </c>
      <c r="Z12">
        <v>3</v>
      </c>
      <c r="AA12">
        <v>80</v>
      </c>
      <c r="AB12">
        <v>1</v>
      </c>
      <c r="AC12">
        <v>6</v>
      </c>
      <c r="AD12">
        <v>5</v>
      </c>
      <c r="AE12">
        <v>3</v>
      </c>
      <c r="AF12">
        <v>5</v>
      </c>
      <c r="AG12">
        <v>4</v>
      </c>
      <c r="AH12">
        <v>0</v>
      </c>
      <c r="AI12">
        <v>3</v>
      </c>
      <c r="AJ12" s="2">
        <f>IF(tblHR[[#This Row],[Attrition]]="Yes",1,0)</f>
        <v>0</v>
      </c>
      <c r="AK12" t="str">
        <f>IF(tblHR[[#This Row],[Age]]&lt;26,"18-25",IF(tblHR[[#This Row],[Age]]&lt;36,"26-35",IF(tblHR[[#This Row],[Age]]&lt;46,"36-45",IF(tblHR[[#This Row],[Age]]&lt;56,"46-55","56+"))))</f>
        <v>26-35</v>
      </c>
    </row>
    <row r="13" spans="1:37"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s="1">
        <v>4193</v>
      </c>
      <c r="T13">
        <v>12682</v>
      </c>
      <c r="U13">
        <v>0</v>
      </c>
      <c r="V13" t="s">
        <v>42</v>
      </c>
      <c r="W13" t="s">
        <v>35</v>
      </c>
      <c r="X13">
        <v>12</v>
      </c>
      <c r="Y13">
        <v>3</v>
      </c>
      <c r="Z13">
        <v>4</v>
      </c>
      <c r="AA13">
        <v>80</v>
      </c>
      <c r="AB13">
        <v>0</v>
      </c>
      <c r="AC13">
        <v>10</v>
      </c>
      <c r="AD13">
        <v>3</v>
      </c>
      <c r="AE13">
        <v>3</v>
      </c>
      <c r="AF13">
        <v>9</v>
      </c>
      <c r="AG13">
        <v>5</v>
      </c>
      <c r="AH13">
        <v>0</v>
      </c>
      <c r="AI13">
        <v>8</v>
      </c>
      <c r="AJ13" s="2">
        <f>IF(tblHR[[#This Row],[Attrition]]="Yes",1,0)</f>
        <v>0</v>
      </c>
      <c r="AK13" t="str">
        <f>IF(tblHR[[#This Row],[Age]]&lt;26,"18-25",IF(tblHR[[#This Row],[Age]]&lt;36,"26-35",IF(tblHR[[#This Row],[Age]]&lt;46,"36-45",IF(tblHR[[#This Row],[Age]]&lt;56,"46-55","56+"))))</f>
        <v>26-35</v>
      </c>
    </row>
    <row r="14" spans="1:37"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s="1">
        <v>2911</v>
      </c>
      <c r="T14">
        <v>15170</v>
      </c>
      <c r="U14">
        <v>1</v>
      </c>
      <c r="V14" t="s">
        <v>42</v>
      </c>
      <c r="W14" t="s">
        <v>43</v>
      </c>
      <c r="X14">
        <v>17</v>
      </c>
      <c r="Y14">
        <v>3</v>
      </c>
      <c r="Z14">
        <v>4</v>
      </c>
      <c r="AA14">
        <v>80</v>
      </c>
      <c r="AB14">
        <v>1</v>
      </c>
      <c r="AC14">
        <v>5</v>
      </c>
      <c r="AD14">
        <v>1</v>
      </c>
      <c r="AE14">
        <v>2</v>
      </c>
      <c r="AF14">
        <v>5</v>
      </c>
      <c r="AG14">
        <v>2</v>
      </c>
      <c r="AH14">
        <v>4</v>
      </c>
      <c r="AI14">
        <v>3</v>
      </c>
      <c r="AJ14" s="2">
        <f>IF(tblHR[[#This Row],[Attrition]]="Yes",1,0)</f>
        <v>0</v>
      </c>
      <c r="AK14" t="str">
        <f>IF(tblHR[[#This Row],[Age]]&lt;26,"18-25",IF(tblHR[[#This Row],[Age]]&lt;36,"26-35",IF(tblHR[[#This Row],[Age]]&lt;46,"36-45",IF(tblHR[[#This Row],[Age]]&lt;56,"46-55","56+"))))</f>
        <v>26-35</v>
      </c>
    </row>
    <row r="15" spans="1:37"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s="1">
        <v>2661</v>
      </c>
      <c r="T15">
        <v>8758</v>
      </c>
      <c r="U15">
        <v>0</v>
      </c>
      <c r="V15" t="s">
        <v>42</v>
      </c>
      <c r="W15" t="s">
        <v>43</v>
      </c>
      <c r="X15">
        <v>11</v>
      </c>
      <c r="Y15">
        <v>3</v>
      </c>
      <c r="Z15">
        <v>3</v>
      </c>
      <c r="AA15">
        <v>80</v>
      </c>
      <c r="AB15">
        <v>1</v>
      </c>
      <c r="AC15">
        <v>3</v>
      </c>
      <c r="AD15">
        <v>2</v>
      </c>
      <c r="AE15">
        <v>3</v>
      </c>
      <c r="AF15">
        <v>2</v>
      </c>
      <c r="AG15">
        <v>2</v>
      </c>
      <c r="AH15">
        <v>1</v>
      </c>
      <c r="AI15">
        <v>2</v>
      </c>
      <c r="AJ15" s="2">
        <f>IF(tblHR[[#This Row],[Attrition]]="Yes",1,0)</f>
        <v>0</v>
      </c>
      <c r="AK15" t="str">
        <f>IF(tblHR[[#This Row],[Age]]&lt;26,"18-25",IF(tblHR[[#This Row],[Age]]&lt;36,"26-35",IF(tblHR[[#This Row],[Age]]&lt;46,"36-45",IF(tblHR[[#This Row],[Age]]&lt;56,"46-55","56+"))))</f>
        <v>26-35</v>
      </c>
    </row>
    <row r="16" spans="1:37"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s="1">
        <v>2028</v>
      </c>
      <c r="T16">
        <v>12947</v>
      </c>
      <c r="U16">
        <v>5</v>
      </c>
      <c r="V16" t="s">
        <v>42</v>
      </c>
      <c r="W16" t="s">
        <v>35</v>
      </c>
      <c r="X16">
        <v>14</v>
      </c>
      <c r="Y16">
        <v>3</v>
      </c>
      <c r="Z16">
        <v>2</v>
      </c>
      <c r="AA16">
        <v>80</v>
      </c>
      <c r="AB16">
        <v>0</v>
      </c>
      <c r="AC16">
        <v>6</v>
      </c>
      <c r="AD16">
        <v>4</v>
      </c>
      <c r="AE16">
        <v>3</v>
      </c>
      <c r="AF16">
        <v>4</v>
      </c>
      <c r="AG16">
        <v>2</v>
      </c>
      <c r="AH16">
        <v>0</v>
      </c>
      <c r="AI16">
        <v>3</v>
      </c>
      <c r="AJ16" s="2">
        <f>IF(tblHR[[#This Row],[Attrition]]="Yes",1,0)</f>
        <v>1</v>
      </c>
      <c r="AK16" t="str">
        <f>IF(tblHR[[#This Row],[Age]]&lt;26,"18-25",IF(tblHR[[#This Row],[Age]]&lt;36,"26-35",IF(tblHR[[#This Row],[Age]]&lt;46,"36-45",IF(tblHR[[#This Row],[Age]]&lt;56,"46-55","56+"))))</f>
        <v>26-35</v>
      </c>
    </row>
    <row r="17" spans="1:37"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s="1">
        <v>9980</v>
      </c>
      <c r="T17">
        <v>10195</v>
      </c>
      <c r="U17">
        <v>1</v>
      </c>
      <c r="V17" t="s">
        <v>42</v>
      </c>
      <c r="W17" t="s">
        <v>43</v>
      </c>
      <c r="X17">
        <v>11</v>
      </c>
      <c r="Y17">
        <v>3</v>
      </c>
      <c r="Z17">
        <v>3</v>
      </c>
      <c r="AA17">
        <v>80</v>
      </c>
      <c r="AB17">
        <v>1</v>
      </c>
      <c r="AC17">
        <v>10</v>
      </c>
      <c r="AD17">
        <v>1</v>
      </c>
      <c r="AE17">
        <v>3</v>
      </c>
      <c r="AF17">
        <v>10</v>
      </c>
      <c r="AG17">
        <v>9</v>
      </c>
      <c r="AH17">
        <v>8</v>
      </c>
      <c r="AI17">
        <v>8</v>
      </c>
      <c r="AJ17" s="2">
        <f>IF(tblHR[[#This Row],[Attrition]]="Yes",1,0)</f>
        <v>0</v>
      </c>
      <c r="AK17" t="str">
        <f>IF(tblHR[[#This Row],[Age]]&lt;26,"18-25",IF(tblHR[[#This Row],[Age]]&lt;36,"26-35",IF(tblHR[[#This Row],[Age]]&lt;46,"36-45",IF(tblHR[[#This Row],[Age]]&lt;56,"46-55","56+"))))</f>
        <v>26-35</v>
      </c>
    </row>
    <row r="18" spans="1:37"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s="1">
        <v>3298</v>
      </c>
      <c r="T18">
        <v>15053</v>
      </c>
      <c r="U18">
        <v>0</v>
      </c>
      <c r="V18" t="s">
        <v>42</v>
      </c>
      <c r="W18" t="s">
        <v>35</v>
      </c>
      <c r="X18">
        <v>12</v>
      </c>
      <c r="Y18">
        <v>3</v>
      </c>
      <c r="Z18">
        <v>4</v>
      </c>
      <c r="AA18">
        <v>80</v>
      </c>
      <c r="AB18">
        <v>2</v>
      </c>
      <c r="AC18">
        <v>7</v>
      </c>
      <c r="AD18">
        <v>5</v>
      </c>
      <c r="AE18">
        <v>2</v>
      </c>
      <c r="AF18">
        <v>6</v>
      </c>
      <c r="AG18">
        <v>2</v>
      </c>
      <c r="AH18">
        <v>0</v>
      </c>
      <c r="AI18">
        <v>5</v>
      </c>
      <c r="AJ18" s="2">
        <f>IF(tblHR[[#This Row],[Attrition]]="Yes",1,0)</f>
        <v>0</v>
      </c>
      <c r="AK18" t="str">
        <f>IF(tblHR[[#This Row],[Age]]&lt;26,"18-25",IF(tblHR[[#This Row],[Age]]&lt;36,"26-35",IF(tblHR[[#This Row],[Age]]&lt;46,"36-45",IF(tblHR[[#This Row],[Age]]&lt;56,"46-55","56+"))))</f>
        <v>26-35</v>
      </c>
    </row>
    <row r="19" spans="1:37"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s="1">
        <v>2935</v>
      </c>
      <c r="T19">
        <v>7324</v>
      </c>
      <c r="U19">
        <v>1</v>
      </c>
      <c r="V19" t="s">
        <v>42</v>
      </c>
      <c r="W19" t="s">
        <v>35</v>
      </c>
      <c r="X19">
        <v>13</v>
      </c>
      <c r="Y19">
        <v>3</v>
      </c>
      <c r="Z19">
        <v>2</v>
      </c>
      <c r="AA19">
        <v>80</v>
      </c>
      <c r="AB19">
        <v>2</v>
      </c>
      <c r="AC19">
        <v>1</v>
      </c>
      <c r="AD19">
        <v>2</v>
      </c>
      <c r="AE19">
        <v>2</v>
      </c>
      <c r="AF19">
        <v>1</v>
      </c>
      <c r="AG19">
        <v>0</v>
      </c>
      <c r="AH19">
        <v>0</v>
      </c>
      <c r="AI19">
        <v>0</v>
      </c>
      <c r="AJ19" s="2">
        <f>IF(tblHR[[#This Row],[Attrition]]="Yes",1,0)</f>
        <v>0</v>
      </c>
      <c r="AK19" t="str">
        <f>IF(tblHR[[#This Row],[Age]]&lt;26,"18-25",IF(tblHR[[#This Row],[Age]]&lt;36,"26-35",IF(tblHR[[#This Row],[Age]]&lt;46,"36-45",IF(tblHR[[#This Row],[Age]]&lt;56,"46-55","56+"))))</f>
        <v>18-25</v>
      </c>
    </row>
    <row r="20" spans="1:37"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s="1">
        <v>15427</v>
      </c>
      <c r="T20">
        <v>22021</v>
      </c>
      <c r="U20">
        <v>2</v>
      </c>
      <c r="V20" t="s">
        <v>42</v>
      </c>
      <c r="W20" t="s">
        <v>43</v>
      </c>
      <c r="X20">
        <v>16</v>
      </c>
      <c r="Y20">
        <v>3</v>
      </c>
      <c r="Z20">
        <v>3</v>
      </c>
      <c r="AA20">
        <v>80</v>
      </c>
      <c r="AB20">
        <v>0</v>
      </c>
      <c r="AC20">
        <v>31</v>
      </c>
      <c r="AD20">
        <v>3</v>
      </c>
      <c r="AE20">
        <v>3</v>
      </c>
      <c r="AF20">
        <v>25</v>
      </c>
      <c r="AG20">
        <v>8</v>
      </c>
      <c r="AH20">
        <v>3</v>
      </c>
      <c r="AI20">
        <v>7</v>
      </c>
      <c r="AJ20" s="2">
        <f>IF(tblHR[[#This Row],[Attrition]]="Yes",1,0)</f>
        <v>0</v>
      </c>
      <c r="AK20" t="str">
        <f>IF(tblHR[[#This Row],[Age]]&lt;26,"18-25",IF(tblHR[[#This Row],[Age]]&lt;36,"26-35",IF(tblHR[[#This Row],[Age]]&lt;46,"36-45",IF(tblHR[[#This Row],[Age]]&lt;56,"46-55","56+"))))</f>
        <v>46-55</v>
      </c>
    </row>
    <row r="21" spans="1:37"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s="1">
        <v>3944</v>
      </c>
      <c r="T21">
        <v>4306</v>
      </c>
      <c r="U21">
        <v>5</v>
      </c>
      <c r="V21" t="s">
        <v>42</v>
      </c>
      <c r="W21" t="s">
        <v>35</v>
      </c>
      <c r="X21">
        <v>11</v>
      </c>
      <c r="Y21">
        <v>3</v>
      </c>
      <c r="Z21">
        <v>3</v>
      </c>
      <c r="AA21">
        <v>80</v>
      </c>
      <c r="AB21">
        <v>0</v>
      </c>
      <c r="AC21">
        <v>6</v>
      </c>
      <c r="AD21">
        <v>3</v>
      </c>
      <c r="AE21">
        <v>3</v>
      </c>
      <c r="AF21">
        <v>3</v>
      </c>
      <c r="AG21">
        <v>2</v>
      </c>
      <c r="AH21">
        <v>1</v>
      </c>
      <c r="AI21">
        <v>2</v>
      </c>
      <c r="AJ21" s="2">
        <f>IF(tblHR[[#This Row],[Attrition]]="Yes",1,0)</f>
        <v>0</v>
      </c>
      <c r="AK21" t="str">
        <f>IF(tblHR[[#This Row],[Age]]&lt;26,"18-25",IF(tblHR[[#This Row],[Age]]&lt;36,"26-35",IF(tblHR[[#This Row],[Age]]&lt;46,"36-45",IF(tblHR[[#This Row],[Age]]&lt;56,"46-55","56+"))))</f>
        <v>36-45</v>
      </c>
    </row>
    <row r="22" spans="1:37"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s="1">
        <v>4011</v>
      </c>
      <c r="T22">
        <v>8232</v>
      </c>
      <c r="U22">
        <v>0</v>
      </c>
      <c r="V22" t="s">
        <v>42</v>
      </c>
      <c r="W22" t="s">
        <v>43</v>
      </c>
      <c r="X22">
        <v>18</v>
      </c>
      <c r="Y22">
        <v>3</v>
      </c>
      <c r="Z22">
        <v>4</v>
      </c>
      <c r="AA22">
        <v>80</v>
      </c>
      <c r="AB22">
        <v>1</v>
      </c>
      <c r="AC22">
        <v>5</v>
      </c>
      <c r="AD22">
        <v>5</v>
      </c>
      <c r="AE22">
        <v>2</v>
      </c>
      <c r="AF22">
        <v>4</v>
      </c>
      <c r="AG22">
        <v>2</v>
      </c>
      <c r="AH22">
        <v>1</v>
      </c>
      <c r="AI22">
        <v>3</v>
      </c>
      <c r="AJ22" s="2">
        <f>IF(tblHR[[#This Row],[Attrition]]="Yes",1,0)</f>
        <v>0</v>
      </c>
      <c r="AK22" t="str">
        <f>IF(tblHR[[#This Row],[Age]]&lt;26,"18-25",IF(tblHR[[#This Row],[Age]]&lt;36,"26-35",IF(tblHR[[#This Row],[Age]]&lt;46,"36-45",IF(tblHR[[#This Row],[Age]]&lt;56,"46-55","56+"))))</f>
        <v>18-25</v>
      </c>
    </row>
    <row r="23" spans="1:37"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s="1">
        <v>3407</v>
      </c>
      <c r="T23">
        <v>6986</v>
      </c>
      <c r="U23">
        <v>7</v>
      </c>
      <c r="V23" t="s">
        <v>42</v>
      </c>
      <c r="W23" t="s">
        <v>43</v>
      </c>
      <c r="X23">
        <v>23</v>
      </c>
      <c r="Y23">
        <v>4</v>
      </c>
      <c r="Z23">
        <v>2</v>
      </c>
      <c r="AA23">
        <v>80</v>
      </c>
      <c r="AB23">
        <v>0</v>
      </c>
      <c r="AC23">
        <v>10</v>
      </c>
      <c r="AD23">
        <v>4</v>
      </c>
      <c r="AE23">
        <v>3</v>
      </c>
      <c r="AF23">
        <v>5</v>
      </c>
      <c r="AG23">
        <v>3</v>
      </c>
      <c r="AH23">
        <v>0</v>
      </c>
      <c r="AI23">
        <v>3</v>
      </c>
      <c r="AJ23" s="2">
        <f>IF(tblHR[[#This Row],[Attrition]]="Yes",1,0)</f>
        <v>1</v>
      </c>
      <c r="AK23" t="str">
        <f>IF(tblHR[[#This Row],[Age]]&lt;26,"18-25",IF(tblHR[[#This Row],[Age]]&lt;36,"26-35",IF(tblHR[[#This Row],[Age]]&lt;46,"36-45",IF(tblHR[[#This Row],[Age]]&lt;56,"46-55","56+"))))</f>
        <v>36-45</v>
      </c>
    </row>
    <row r="24" spans="1:37"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s="1">
        <v>11994</v>
      </c>
      <c r="T24">
        <v>21293</v>
      </c>
      <c r="U24">
        <v>0</v>
      </c>
      <c r="V24" t="s">
        <v>42</v>
      </c>
      <c r="W24" t="s">
        <v>43</v>
      </c>
      <c r="X24">
        <v>11</v>
      </c>
      <c r="Y24">
        <v>3</v>
      </c>
      <c r="Z24">
        <v>3</v>
      </c>
      <c r="AA24">
        <v>80</v>
      </c>
      <c r="AB24">
        <v>0</v>
      </c>
      <c r="AC24">
        <v>13</v>
      </c>
      <c r="AD24">
        <v>4</v>
      </c>
      <c r="AE24">
        <v>3</v>
      </c>
      <c r="AF24">
        <v>12</v>
      </c>
      <c r="AG24">
        <v>6</v>
      </c>
      <c r="AH24">
        <v>2</v>
      </c>
      <c r="AI24">
        <v>11</v>
      </c>
      <c r="AJ24" s="2">
        <f>IF(tblHR[[#This Row],[Attrition]]="Yes",1,0)</f>
        <v>0</v>
      </c>
      <c r="AK24" t="str">
        <f>IF(tblHR[[#This Row],[Age]]&lt;26,"18-25",IF(tblHR[[#This Row],[Age]]&lt;36,"26-35",IF(tblHR[[#This Row],[Age]]&lt;46,"36-45",IF(tblHR[[#This Row],[Age]]&lt;56,"46-55","56+"))))</f>
        <v>26-35</v>
      </c>
    </row>
    <row r="25" spans="1:37"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s="1">
        <v>1232</v>
      </c>
      <c r="T25">
        <v>19281</v>
      </c>
      <c r="U25">
        <v>1</v>
      </c>
      <c r="V25" t="s">
        <v>42</v>
      </c>
      <c r="W25" t="s">
        <v>43</v>
      </c>
      <c r="X25">
        <v>14</v>
      </c>
      <c r="Y25">
        <v>3</v>
      </c>
      <c r="Z25">
        <v>4</v>
      </c>
      <c r="AA25">
        <v>80</v>
      </c>
      <c r="AB25">
        <v>0</v>
      </c>
      <c r="AC25">
        <v>0</v>
      </c>
      <c r="AD25">
        <v>6</v>
      </c>
      <c r="AE25">
        <v>3</v>
      </c>
      <c r="AF25">
        <v>0</v>
      </c>
      <c r="AG25">
        <v>0</v>
      </c>
      <c r="AH25">
        <v>0</v>
      </c>
      <c r="AI25">
        <v>0</v>
      </c>
      <c r="AJ25" s="2">
        <f>IF(tblHR[[#This Row],[Attrition]]="Yes",1,0)</f>
        <v>0</v>
      </c>
      <c r="AK25" t="str">
        <f>IF(tblHR[[#This Row],[Age]]&lt;26,"18-25",IF(tblHR[[#This Row],[Age]]&lt;36,"26-35",IF(tblHR[[#This Row],[Age]]&lt;46,"36-45",IF(tblHR[[#This Row],[Age]]&lt;56,"46-55","56+"))))</f>
        <v>18-25</v>
      </c>
    </row>
    <row r="26" spans="1:37"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s="1">
        <v>2960</v>
      </c>
      <c r="T26">
        <v>17102</v>
      </c>
      <c r="U26">
        <v>2</v>
      </c>
      <c r="V26" t="s">
        <v>42</v>
      </c>
      <c r="W26" t="s">
        <v>43</v>
      </c>
      <c r="X26">
        <v>11</v>
      </c>
      <c r="Y26">
        <v>3</v>
      </c>
      <c r="Z26">
        <v>3</v>
      </c>
      <c r="AA26">
        <v>80</v>
      </c>
      <c r="AB26">
        <v>0</v>
      </c>
      <c r="AC26">
        <v>8</v>
      </c>
      <c r="AD26">
        <v>2</v>
      </c>
      <c r="AE26">
        <v>3</v>
      </c>
      <c r="AF26">
        <v>4</v>
      </c>
      <c r="AG26">
        <v>2</v>
      </c>
      <c r="AH26">
        <v>1</v>
      </c>
      <c r="AI26">
        <v>3</v>
      </c>
      <c r="AJ26" s="2">
        <f>IF(tblHR[[#This Row],[Attrition]]="Yes",1,0)</f>
        <v>1</v>
      </c>
      <c r="AK26" t="str">
        <f>IF(tblHR[[#This Row],[Age]]&lt;26,"18-25",IF(tblHR[[#This Row],[Age]]&lt;36,"26-35",IF(tblHR[[#This Row],[Age]]&lt;46,"36-45",IF(tblHR[[#This Row],[Age]]&lt;56,"46-55","56+"))))</f>
        <v>26-35</v>
      </c>
    </row>
    <row r="27" spans="1:37"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s="1">
        <v>19094</v>
      </c>
      <c r="T27">
        <v>10735</v>
      </c>
      <c r="U27">
        <v>4</v>
      </c>
      <c r="V27" t="s">
        <v>42</v>
      </c>
      <c r="W27" t="s">
        <v>43</v>
      </c>
      <c r="X27">
        <v>11</v>
      </c>
      <c r="Y27">
        <v>3</v>
      </c>
      <c r="Z27">
        <v>4</v>
      </c>
      <c r="AA27">
        <v>80</v>
      </c>
      <c r="AB27">
        <v>1</v>
      </c>
      <c r="AC27">
        <v>26</v>
      </c>
      <c r="AD27">
        <v>3</v>
      </c>
      <c r="AE27">
        <v>2</v>
      </c>
      <c r="AF27">
        <v>14</v>
      </c>
      <c r="AG27">
        <v>13</v>
      </c>
      <c r="AH27">
        <v>4</v>
      </c>
      <c r="AI27">
        <v>8</v>
      </c>
      <c r="AJ27" s="2">
        <f>IF(tblHR[[#This Row],[Attrition]]="Yes",1,0)</f>
        <v>0</v>
      </c>
      <c r="AK27" t="str">
        <f>IF(tblHR[[#This Row],[Age]]&lt;26,"18-25",IF(tblHR[[#This Row],[Age]]&lt;36,"26-35",IF(tblHR[[#This Row],[Age]]&lt;46,"36-45",IF(tblHR[[#This Row],[Age]]&lt;56,"46-55","56+"))))</f>
        <v>46-55</v>
      </c>
    </row>
    <row r="28" spans="1:37"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s="1">
        <v>3919</v>
      </c>
      <c r="T28">
        <v>4681</v>
      </c>
      <c r="U28">
        <v>1</v>
      </c>
      <c r="V28" t="s">
        <v>42</v>
      </c>
      <c r="W28" t="s">
        <v>35</v>
      </c>
      <c r="X28">
        <v>22</v>
      </c>
      <c r="Y28">
        <v>4</v>
      </c>
      <c r="Z28">
        <v>2</v>
      </c>
      <c r="AA28">
        <v>80</v>
      </c>
      <c r="AB28">
        <v>0</v>
      </c>
      <c r="AC28">
        <v>10</v>
      </c>
      <c r="AD28">
        <v>5</v>
      </c>
      <c r="AE28">
        <v>3</v>
      </c>
      <c r="AF28">
        <v>10</v>
      </c>
      <c r="AG28">
        <v>2</v>
      </c>
      <c r="AH28">
        <v>6</v>
      </c>
      <c r="AI28">
        <v>7</v>
      </c>
      <c r="AJ28" s="2">
        <f>IF(tblHR[[#This Row],[Attrition]]="Yes",1,0)</f>
        <v>1</v>
      </c>
      <c r="AK28" t="str">
        <f>IF(tblHR[[#This Row],[Age]]&lt;26,"18-25",IF(tblHR[[#This Row],[Age]]&lt;36,"26-35",IF(tblHR[[#This Row],[Age]]&lt;46,"36-45",IF(tblHR[[#This Row],[Age]]&lt;56,"46-55","56+"))))</f>
        <v>26-35</v>
      </c>
    </row>
    <row r="29" spans="1:37"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s="1">
        <v>6825</v>
      </c>
      <c r="T29">
        <v>21173</v>
      </c>
      <c r="U29">
        <v>0</v>
      </c>
      <c r="V29" t="s">
        <v>42</v>
      </c>
      <c r="W29" t="s">
        <v>43</v>
      </c>
      <c r="X29">
        <v>11</v>
      </c>
      <c r="Y29">
        <v>3</v>
      </c>
      <c r="Z29">
        <v>4</v>
      </c>
      <c r="AA29">
        <v>80</v>
      </c>
      <c r="AB29">
        <v>1</v>
      </c>
      <c r="AC29">
        <v>10</v>
      </c>
      <c r="AD29">
        <v>2</v>
      </c>
      <c r="AE29">
        <v>3</v>
      </c>
      <c r="AF29">
        <v>9</v>
      </c>
      <c r="AG29">
        <v>7</v>
      </c>
      <c r="AH29">
        <v>4</v>
      </c>
      <c r="AI29">
        <v>2</v>
      </c>
      <c r="AJ29" s="2">
        <f>IF(tblHR[[#This Row],[Attrition]]="Yes",1,0)</f>
        <v>0</v>
      </c>
      <c r="AK29" t="str">
        <f>IF(tblHR[[#This Row],[Age]]&lt;26,"18-25",IF(tblHR[[#This Row],[Age]]&lt;36,"26-35",IF(tblHR[[#This Row],[Age]]&lt;46,"36-45",IF(tblHR[[#This Row],[Age]]&lt;56,"46-55","56+"))))</f>
        <v>36-45</v>
      </c>
    </row>
    <row r="30" spans="1:37"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s="1">
        <v>10248</v>
      </c>
      <c r="T30">
        <v>2094</v>
      </c>
      <c r="U30">
        <v>3</v>
      </c>
      <c r="V30" t="s">
        <v>42</v>
      </c>
      <c r="W30" t="s">
        <v>43</v>
      </c>
      <c r="X30">
        <v>14</v>
      </c>
      <c r="Y30">
        <v>3</v>
      </c>
      <c r="Z30">
        <v>4</v>
      </c>
      <c r="AA30">
        <v>80</v>
      </c>
      <c r="AB30">
        <v>1</v>
      </c>
      <c r="AC30">
        <v>24</v>
      </c>
      <c r="AD30">
        <v>4</v>
      </c>
      <c r="AE30">
        <v>3</v>
      </c>
      <c r="AF30">
        <v>22</v>
      </c>
      <c r="AG30">
        <v>6</v>
      </c>
      <c r="AH30">
        <v>5</v>
      </c>
      <c r="AI30">
        <v>17</v>
      </c>
      <c r="AJ30" s="2">
        <f>IF(tblHR[[#This Row],[Attrition]]="Yes",1,0)</f>
        <v>0</v>
      </c>
      <c r="AK30" t="str">
        <f>IF(tblHR[[#This Row],[Age]]&lt;26,"18-25",IF(tblHR[[#This Row],[Age]]&lt;36,"26-35",IF(tblHR[[#This Row],[Age]]&lt;46,"36-45",IF(tblHR[[#This Row],[Age]]&lt;56,"46-55","56+"))))</f>
        <v>36-45</v>
      </c>
    </row>
    <row r="31" spans="1:37"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s="1">
        <v>18947</v>
      </c>
      <c r="T31">
        <v>22822</v>
      </c>
      <c r="U31">
        <v>3</v>
      </c>
      <c r="V31" t="s">
        <v>42</v>
      </c>
      <c r="W31" t="s">
        <v>43</v>
      </c>
      <c r="X31">
        <v>12</v>
      </c>
      <c r="Y31">
        <v>3</v>
      </c>
      <c r="Z31">
        <v>4</v>
      </c>
      <c r="AA31">
        <v>80</v>
      </c>
      <c r="AB31">
        <v>0</v>
      </c>
      <c r="AC31">
        <v>22</v>
      </c>
      <c r="AD31">
        <v>2</v>
      </c>
      <c r="AE31">
        <v>2</v>
      </c>
      <c r="AF31">
        <v>2</v>
      </c>
      <c r="AG31">
        <v>2</v>
      </c>
      <c r="AH31">
        <v>2</v>
      </c>
      <c r="AI31">
        <v>1</v>
      </c>
      <c r="AJ31" s="2">
        <f>IF(tblHR[[#This Row],[Attrition]]="Yes",1,0)</f>
        <v>0</v>
      </c>
      <c r="AK31" t="str">
        <f>IF(tblHR[[#This Row],[Age]]&lt;26,"18-25",IF(tblHR[[#This Row],[Age]]&lt;36,"26-35",IF(tblHR[[#This Row],[Age]]&lt;46,"36-45",IF(tblHR[[#This Row],[Age]]&lt;56,"46-55","56+"))))</f>
        <v>46-55</v>
      </c>
    </row>
    <row r="32" spans="1:37"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s="1">
        <v>2496</v>
      </c>
      <c r="T32">
        <v>6670</v>
      </c>
      <c r="U32">
        <v>4</v>
      </c>
      <c r="V32" t="s">
        <v>42</v>
      </c>
      <c r="W32" t="s">
        <v>43</v>
      </c>
      <c r="X32">
        <v>11</v>
      </c>
      <c r="Y32">
        <v>3</v>
      </c>
      <c r="Z32">
        <v>4</v>
      </c>
      <c r="AA32">
        <v>80</v>
      </c>
      <c r="AB32">
        <v>0</v>
      </c>
      <c r="AC32">
        <v>7</v>
      </c>
      <c r="AD32">
        <v>3</v>
      </c>
      <c r="AE32">
        <v>3</v>
      </c>
      <c r="AF32">
        <v>1</v>
      </c>
      <c r="AG32">
        <v>1</v>
      </c>
      <c r="AH32">
        <v>0</v>
      </c>
      <c r="AI32">
        <v>0</v>
      </c>
      <c r="AJ32" s="2">
        <f>IF(tblHR[[#This Row],[Attrition]]="Yes",1,0)</f>
        <v>0</v>
      </c>
      <c r="AK32" t="str">
        <f>IF(tblHR[[#This Row],[Age]]&lt;26,"18-25",IF(tblHR[[#This Row],[Age]]&lt;36,"26-35",IF(tblHR[[#This Row],[Age]]&lt;46,"36-45",IF(tblHR[[#This Row],[Age]]&lt;56,"46-55","56+"))))</f>
        <v>26-35</v>
      </c>
    </row>
    <row r="33" spans="1:37"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s="1">
        <v>6465</v>
      </c>
      <c r="T33">
        <v>19121</v>
      </c>
      <c r="U33">
        <v>2</v>
      </c>
      <c r="V33" t="s">
        <v>42</v>
      </c>
      <c r="W33" t="s">
        <v>35</v>
      </c>
      <c r="X33">
        <v>13</v>
      </c>
      <c r="Y33">
        <v>3</v>
      </c>
      <c r="Z33">
        <v>4</v>
      </c>
      <c r="AA33">
        <v>80</v>
      </c>
      <c r="AB33">
        <v>0</v>
      </c>
      <c r="AC33">
        <v>9</v>
      </c>
      <c r="AD33">
        <v>5</v>
      </c>
      <c r="AE33">
        <v>4</v>
      </c>
      <c r="AF33">
        <v>4</v>
      </c>
      <c r="AG33">
        <v>2</v>
      </c>
      <c r="AH33">
        <v>1</v>
      </c>
      <c r="AI33">
        <v>3</v>
      </c>
      <c r="AJ33" s="2">
        <f>IF(tblHR[[#This Row],[Attrition]]="Yes",1,0)</f>
        <v>0</v>
      </c>
      <c r="AK33" t="str">
        <f>IF(tblHR[[#This Row],[Age]]&lt;26,"18-25",IF(tblHR[[#This Row],[Age]]&lt;36,"26-35",IF(tblHR[[#This Row],[Age]]&lt;46,"36-45",IF(tblHR[[#This Row],[Age]]&lt;56,"46-55","56+"))))</f>
        <v>36-45</v>
      </c>
    </row>
    <row r="34" spans="1:37"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s="1">
        <v>2206</v>
      </c>
      <c r="T34">
        <v>16117</v>
      </c>
      <c r="U34">
        <v>1</v>
      </c>
      <c r="V34" t="s">
        <v>42</v>
      </c>
      <c r="W34" t="s">
        <v>43</v>
      </c>
      <c r="X34">
        <v>13</v>
      </c>
      <c r="Y34">
        <v>3</v>
      </c>
      <c r="Z34">
        <v>1</v>
      </c>
      <c r="AA34">
        <v>80</v>
      </c>
      <c r="AB34">
        <v>0</v>
      </c>
      <c r="AC34">
        <v>10</v>
      </c>
      <c r="AD34">
        <v>5</v>
      </c>
      <c r="AE34">
        <v>3</v>
      </c>
      <c r="AF34">
        <v>10</v>
      </c>
      <c r="AG34">
        <v>0</v>
      </c>
      <c r="AH34">
        <v>1</v>
      </c>
      <c r="AI34">
        <v>8</v>
      </c>
      <c r="AJ34" s="2">
        <f>IF(tblHR[[#This Row],[Attrition]]="Yes",1,0)</f>
        <v>0</v>
      </c>
      <c r="AK34" t="str">
        <f>IF(tblHR[[#This Row],[Age]]&lt;26,"18-25",IF(tblHR[[#This Row],[Age]]&lt;36,"26-35",IF(tblHR[[#This Row],[Age]]&lt;46,"36-45",IF(tblHR[[#This Row],[Age]]&lt;56,"46-55","56+"))))</f>
        <v>26-35</v>
      </c>
    </row>
    <row r="35" spans="1:37"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s="1">
        <v>2086</v>
      </c>
      <c r="T35">
        <v>3335</v>
      </c>
      <c r="U35">
        <v>3</v>
      </c>
      <c r="V35" t="s">
        <v>42</v>
      </c>
      <c r="W35" t="s">
        <v>43</v>
      </c>
      <c r="X35">
        <v>14</v>
      </c>
      <c r="Y35">
        <v>3</v>
      </c>
      <c r="Z35">
        <v>3</v>
      </c>
      <c r="AA35">
        <v>80</v>
      </c>
      <c r="AB35">
        <v>1</v>
      </c>
      <c r="AC35">
        <v>19</v>
      </c>
      <c r="AD35">
        <v>6</v>
      </c>
      <c r="AE35">
        <v>4</v>
      </c>
      <c r="AF35">
        <v>1</v>
      </c>
      <c r="AG35">
        <v>0</v>
      </c>
      <c r="AH35">
        <v>0</v>
      </c>
      <c r="AI35">
        <v>0</v>
      </c>
      <c r="AJ35" s="2">
        <f>IF(tblHR[[#This Row],[Attrition]]="Yes",1,0)</f>
        <v>1</v>
      </c>
      <c r="AK35" t="str">
        <f>IF(tblHR[[#This Row],[Age]]&lt;26,"18-25",IF(tblHR[[#This Row],[Age]]&lt;36,"26-35",IF(tblHR[[#This Row],[Age]]&lt;46,"36-45",IF(tblHR[[#This Row],[Age]]&lt;56,"46-55","56+"))))</f>
        <v>36-45</v>
      </c>
    </row>
    <row r="36" spans="1:37"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s="1">
        <v>2293</v>
      </c>
      <c r="T36">
        <v>3020</v>
      </c>
      <c r="U36">
        <v>2</v>
      </c>
      <c r="V36" t="s">
        <v>42</v>
      </c>
      <c r="W36" t="s">
        <v>35</v>
      </c>
      <c r="X36">
        <v>16</v>
      </c>
      <c r="Y36">
        <v>3</v>
      </c>
      <c r="Z36">
        <v>1</v>
      </c>
      <c r="AA36">
        <v>80</v>
      </c>
      <c r="AB36">
        <v>1</v>
      </c>
      <c r="AC36">
        <v>6</v>
      </c>
      <c r="AD36">
        <v>2</v>
      </c>
      <c r="AE36">
        <v>2</v>
      </c>
      <c r="AF36">
        <v>2</v>
      </c>
      <c r="AG36">
        <v>0</v>
      </c>
      <c r="AH36">
        <v>2</v>
      </c>
      <c r="AI36">
        <v>0</v>
      </c>
      <c r="AJ36" s="2">
        <f>IF(tblHR[[#This Row],[Attrition]]="Yes",1,0)</f>
        <v>1</v>
      </c>
      <c r="AK36" t="str">
        <f>IF(tblHR[[#This Row],[Age]]&lt;26,"18-25",IF(tblHR[[#This Row],[Age]]&lt;36,"26-35",IF(tblHR[[#This Row],[Age]]&lt;46,"36-45",IF(tblHR[[#This Row],[Age]]&lt;56,"46-55","56+"))))</f>
        <v>18-25</v>
      </c>
    </row>
    <row r="37" spans="1:37"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s="1">
        <v>2645</v>
      </c>
      <c r="T37">
        <v>21923</v>
      </c>
      <c r="U37">
        <v>1</v>
      </c>
      <c r="V37" t="s">
        <v>42</v>
      </c>
      <c r="W37" t="s">
        <v>43</v>
      </c>
      <c r="X37">
        <v>12</v>
      </c>
      <c r="Y37">
        <v>3</v>
      </c>
      <c r="Z37">
        <v>4</v>
      </c>
      <c r="AA37">
        <v>80</v>
      </c>
      <c r="AB37">
        <v>2</v>
      </c>
      <c r="AC37">
        <v>6</v>
      </c>
      <c r="AD37">
        <v>3</v>
      </c>
      <c r="AE37">
        <v>2</v>
      </c>
      <c r="AF37">
        <v>5</v>
      </c>
      <c r="AG37">
        <v>3</v>
      </c>
      <c r="AH37">
        <v>1</v>
      </c>
      <c r="AI37">
        <v>4</v>
      </c>
      <c r="AJ37" s="2">
        <f>IF(tblHR[[#This Row],[Attrition]]="Yes",1,0)</f>
        <v>0</v>
      </c>
      <c r="AK37" t="str">
        <f>IF(tblHR[[#This Row],[Age]]&lt;26,"18-25",IF(tblHR[[#This Row],[Age]]&lt;36,"26-35",IF(tblHR[[#This Row],[Age]]&lt;46,"36-45",IF(tblHR[[#This Row],[Age]]&lt;56,"46-55","56+"))))</f>
        <v>36-45</v>
      </c>
    </row>
    <row r="38" spans="1:37"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s="1">
        <v>2683</v>
      </c>
      <c r="T38">
        <v>3810</v>
      </c>
      <c r="U38">
        <v>1</v>
      </c>
      <c r="V38" t="s">
        <v>42</v>
      </c>
      <c r="W38" t="s">
        <v>35</v>
      </c>
      <c r="X38">
        <v>14</v>
      </c>
      <c r="Y38">
        <v>3</v>
      </c>
      <c r="Z38">
        <v>3</v>
      </c>
      <c r="AA38">
        <v>80</v>
      </c>
      <c r="AB38">
        <v>0</v>
      </c>
      <c r="AC38">
        <v>3</v>
      </c>
      <c r="AD38">
        <v>2</v>
      </c>
      <c r="AE38">
        <v>3</v>
      </c>
      <c r="AF38">
        <v>3</v>
      </c>
      <c r="AG38">
        <v>2</v>
      </c>
      <c r="AH38">
        <v>0</v>
      </c>
      <c r="AI38">
        <v>2</v>
      </c>
      <c r="AJ38" s="2">
        <f>IF(tblHR[[#This Row],[Attrition]]="Yes",1,0)</f>
        <v>1</v>
      </c>
      <c r="AK38" t="str">
        <f>IF(tblHR[[#This Row],[Age]]&lt;26,"18-25",IF(tblHR[[#This Row],[Age]]&lt;36,"26-35",IF(tblHR[[#This Row],[Age]]&lt;46,"36-45",IF(tblHR[[#This Row],[Age]]&lt;56,"46-55","56+"))))</f>
        <v>46-55</v>
      </c>
    </row>
    <row r="39" spans="1:37"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s="1">
        <v>2014</v>
      </c>
      <c r="T39">
        <v>9687</v>
      </c>
      <c r="U39">
        <v>1</v>
      </c>
      <c r="V39" t="s">
        <v>42</v>
      </c>
      <c r="W39" t="s">
        <v>43</v>
      </c>
      <c r="X39">
        <v>13</v>
      </c>
      <c r="Y39">
        <v>3</v>
      </c>
      <c r="Z39">
        <v>1</v>
      </c>
      <c r="AA39">
        <v>80</v>
      </c>
      <c r="AB39">
        <v>0</v>
      </c>
      <c r="AC39">
        <v>2</v>
      </c>
      <c r="AD39">
        <v>3</v>
      </c>
      <c r="AE39">
        <v>3</v>
      </c>
      <c r="AF39">
        <v>2</v>
      </c>
      <c r="AG39">
        <v>2</v>
      </c>
      <c r="AH39">
        <v>2</v>
      </c>
      <c r="AI39">
        <v>2</v>
      </c>
      <c r="AJ39" s="2">
        <f>IF(tblHR[[#This Row],[Attrition]]="Yes",1,0)</f>
        <v>0</v>
      </c>
      <c r="AK39" t="str">
        <f>IF(tblHR[[#This Row],[Age]]&lt;26,"18-25",IF(tblHR[[#This Row],[Age]]&lt;36,"26-35",IF(tblHR[[#This Row],[Age]]&lt;46,"36-45",IF(tblHR[[#This Row],[Age]]&lt;56,"46-55","56+"))))</f>
        <v>26-35</v>
      </c>
    </row>
    <row r="40" spans="1:37"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s="1">
        <v>3419</v>
      </c>
      <c r="T40">
        <v>13072</v>
      </c>
      <c r="U40">
        <v>9</v>
      </c>
      <c r="V40" t="s">
        <v>42</v>
      </c>
      <c r="W40" t="s">
        <v>35</v>
      </c>
      <c r="X40">
        <v>14</v>
      </c>
      <c r="Y40">
        <v>3</v>
      </c>
      <c r="Z40">
        <v>4</v>
      </c>
      <c r="AA40">
        <v>80</v>
      </c>
      <c r="AB40">
        <v>1</v>
      </c>
      <c r="AC40">
        <v>6</v>
      </c>
      <c r="AD40">
        <v>3</v>
      </c>
      <c r="AE40">
        <v>4</v>
      </c>
      <c r="AF40">
        <v>1</v>
      </c>
      <c r="AG40">
        <v>1</v>
      </c>
      <c r="AH40">
        <v>0</v>
      </c>
      <c r="AI40">
        <v>0</v>
      </c>
      <c r="AJ40" s="2">
        <f>IF(tblHR[[#This Row],[Attrition]]="Yes",1,0)</f>
        <v>0</v>
      </c>
      <c r="AK40" t="str">
        <f>IF(tblHR[[#This Row],[Age]]&lt;26,"18-25",IF(tblHR[[#This Row],[Age]]&lt;36,"26-35",IF(tblHR[[#This Row],[Age]]&lt;46,"36-45",IF(tblHR[[#This Row],[Age]]&lt;56,"46-55","56+"))))</f>
        <v>36-45</v>
      </c>
    </row>
    <row r="41" spans="1:37"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s="1">
        <v>5376</v>
      </c>
      <c r="T41">
        <v>3193</v>
      </c>
      <c r="U41">
        <v>2</v>
      </c>
      <c r="V41" t="s">
        <v>42</v>
      </c>
      <c r="W41" t="s">
        <v>43</v>
      </c>
      <c r="X41">
        <v>19</v>
      </c>
      <c r="Y41">
        <v>3</v>
      </c>
      <c r="Z41">
        <v>1</v>
      </c>
      <c r="AA41">
        <v>80</v>
      </c>
      <c r="AB41">
        <v>2</v>
      </c>
      <c r="AC41">
        <v>10</v>
      </c>
      <c r="AD41">
        <v>3</v>
      </c>
      <c r="AE41">
        <v>3</v>
      </c>
      <c r="AF41">
        <v>5</v>
      </c>
      <c r="AG41">
        <v>3</v>
      </c>
      <c r="AH41">
        <v>1</v>
      </c>
      <c r="AI41">
        <v>3</v>
      </c>
      <c r="AJ41" s="2">
        <f>IF(tblHR[[#This Row],[Attrition]]="Yes",1,0)</f>
        <v>0</v>
      </c>
      <c r="AK41" t="str">
        <f>IF(tblHR[[#This Row],[Age]]&lt;26,"18-25",IF(tblHR[[#This Row],[Age]]&lt;36,"26-35",IF(tblHR[[#This Row],[Age]]&lt;46,"36-45",IF(tblHR[[#This Row],[Age]]&lt;56,"46-55","56+"))))</f>
        <v>26-35</v>
      </c>
    </row>
    <row r="42" spans="1:37"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s="1">
        <v>1951</v>
      </c>
      <c r="T42">
        <v>10910</v>
      </c>
      <c r="U42">
        <v>1</v>
      </c>
      <c r="V42" t="s">
        <v>42</v>
      </c>
      <c r="W42" t="s">
        <v>43</v>
      </c>
      <c r="X42">
        <v>12</v>
      </c>
      <c r="Y42">
        <v>3</v>
      </c>
      <c r="Z42">
        <v>3</v>
      </c>
      <c r="AA42">
        <v>80</v>
      </c>
      <c r="AB42">
        <v>1</v>
      </c>
      <c r="AC42">
        <v>1</v>
      </c>
      <c r="AD42">
        <v>3</v>
      </c>
      <c r="AE42">
        <v>3</v>
      </c>
      <c r="AF42">
        <v>1</v>
      </c>
      <c r="AG42">
        <v>0</v>
      </c>
      <c r="AH42">
        <v>0</v>
      </c>
      <c r="AI42">
        <v>0</v>
      </c>
      <c r="AJ42" s="2">
        <f>IF(tblHR[[#This Row],[Attrition]]="Yes",1,0)</f>
        <v>0</v>
      </c>
      <c r="AK42" t="str">
        <f>IF(tblHR[[#This Row],[Age]]&lt;26,"18-25",IF(tblHR[[#This Row],[Age]]&lt;36,"26-35",IF(tblHR[[#This Row],[Age]]&lt;46,"36-45",IF(tblHR[[#This Row],[Age]]&lt;56,"46-55","56+"))))</f>
        <v>26-35</v>
      </c>
    </row>
    <row r="43" spans="1:37"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s="1">
        <v>2341</v>
      </c>
      <c r="T43">
        <v>19715</v>
      </c>
      <c r="U43">
        <v>1</v>
      </c>
      <c r="V43" t="s">
        <v>42</v>
      </c>
      <c r="W43" t="s">
        <v>43</v>
      </c>
      <c r="X43">
        <v>13</v>
      </c>
      <c r="Y43">
        <v>3</v>
      </c>
      <c r="Z43">
        <v>4</v>
      </c>
      <c r="AA43">
        <v>80</v>
      </c>
      <c r="AB43">
        <v>1</v>
      </c>
      <c r="AC43">
        <v>1</v>
      </c>
      <c r="AD43">
        <v>6</v>
      </c>
      <c r="AE43">
        <v>3</v>
      </c>
      <c r="AF43">
        <v>1</v>
      </c>
      <c r="AG43">
        <v>0</v>
      </c>
      <c r="AH43">
        <v>0</v>
      </c>
      <c r="AI43">
        <v>0</v>
      </c>
      <c r="AJ43" s="2">
        <f>IF(tblHR[[#This Row],[Attrition]]="Yes",1,0)</f>
        <v>0</v>
      </c>
      <c r="AK43" t="str">
        <f>IF(tblHR[[#This Row],[Age]]&lt;26,"18-25",IF(tblHR[[#This Row],[Age]]&lt;36,"26-35",IF(tblHR[[#This Row],[Age]]&lt;46,"36-45",IF(tblHR[[#This Row],[Age]]&lt;56,"46-55","56+"))))</f>
        <v>26-35</v>
      </c>
    </row>
    <row r="44" spans="1:37"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s="1">
        <v>2293</v>
      </c>
      <c r="T44">
        <v>10558</v>
      </c>
      <c r="U44">
        <v>1</v>
      </c>
      <c r="V44" t="s">
        <v>42</v>
      </c>
      <c r="W44" t="s">
        <v>43</v>
      </c>
      <c r="X44">
        <v>12</v>
      </c>
      <c r="Y44">
        <v>3</v>
      </c>
      <c r="Z44">
        <v>3</v>
      </c>
      <c r="AA44">
        <v>80</v>
      </c>
      <c r="AB44">
        <v>0</v>
      </c>
      <c r="AC44">
        <v>1</v>
      </c>
      <c r="AD44">
        <v>2</v>
      </c>
      <c r="AE44">
        <v>2</v>
      </c>
      <c r="AF44">
        <v>1</v>
      </c>
      <c r="AG44">
        <v>0</v>
      </c>
      <c r="AH44">
        <v>0</v>
      </c>
      <c r="AI44">
        <v>1</v>
      </c>
      <c r="AJ44" s="2">
        <f>IF(tblHR[[#This Row],[Attrition]]="Yes",1,0)</f>
        <v>1</v>
      </c>
      <c r="AK44" t="str">
        <f>IF(tblHR[[#This Row],[Age]]&lt;26,"18-25",IF(tblHR[[#This Row],[Age]]&lt;36,"26-35",IF(tblHR[[#This Row],[Age]]&lt;46,"36-45",IF(tblHR[[#This Row],[Age]]&lt;56,"46-55","56+"))))</f>
        <v>26-35</v>
      </c>
    </row>
    <row r="45" spans="1:37"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s="1">
        <v>8726</v>
      </c>
      <c r="T45">
        <v>2975</v>
      </c>
      <c r="U45">
        <v>1</v>
      </c>
      <c r="V45" t="s">
        <v>42</v>
      </c>
      <c r="W45" t="s">
        <v>43</v>
      </c>
      <c r="X45">
        <v>15</v>
      </c>
      <c r="Y45">
        <v>3</v>
      </c>
      <c r="Z45">
        <v>4</v>
      </c>
      <c r="AA45">
        <v>80</v>
      </c>
      <c r="AB45">
        <v>0</v>
      </c>
      <c r="AC45">
        <v>9</v>
      </c>
      <c r="AD45">
        <v>0</v>
      </c>
      <c r="AE45">
        <v>3</v>
      </c>
      <c r="AF45">
        <v>9</v>
      </c>
      <c r="AG45">
        <v>8</v>
      </c>
      <c r="AH45">
        <v>1</v>
      </c>
      <c r="AI45">
        <v>7</v>
      </c>
      <c r="AJ45" s="2">
        <f>IF(tblHR[[#This Row],[Attrition]]="Yes",1,0)</f>
        <v>0</v>
      </c>
      <c r="AK45" t="str">
        <f>IF(tblHR[[#This Row],[Age]]&lt;26,"18-25",IF(tblHR[[#This Row],[Age]]&lt;36,"26-35",IF(tblHR[[#This Row],[Age]]&lt;46,"36-45",IF(tblHR[[#This Row],[Age]]&lt;56,"46-55","56+"))))</f>
        <v>26-35</v>
      </c>
    </row>
    <row r="46" spans="1:37"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s="1">
        <v>4011</v>
      </c>
      <c r="T46">
        <v>10781</v>
      </c>
      <c r="U46">
        <v>1</v>
      </c>
      <c r="V46" t="s">
        <v>42</v>
      </c>
      <c r="W46" t="s">
        <v>43</v>
      </c>
      <c r="X46">
        <v>23</v>
      </c>
      <c r="Y46">
        <v>4</v>
      </c>
      <c r="Z46">
        <v>4</v>
      </c>
      <c r="AA46">
        <v>80</v>
      </c>
      <c r="AB46">
        <v>0</v>
      </c>
      <c r="AC46">
        <v>12</v>
      </c>
      <c r="AD46">
        <v>2</v>
      </c>
      <c r="AE46">
        <v>3</v>
      </c>
      <c r="AF46">
        <v>12</v>
      </c>
      <c r="AG46">
        <v>8</v>
      </c>
      <c r="AH46">
        <v>3</v>
      </c>
      <c r="AI46">
        <v>7</v>
      </c>
      <c r="AJ46" s="2">
        <f>IF(tblHR[[#This Row],[Attrition]]="Yes",1,0)</f>
        <v>0</v>
      </c>
      <c r="AK46" t="str">
        <f>IF(tblHR[[#This Row],[Age]]&lt;26,"18-25",IF(tblHR[[#This Row],[Age]]&lt;36,"26-35",IF(tblHR[[#This Row],[Age]]&lt;46,"36-45",IF(tblHR[[#This Row],[Age]]&lt;56,"46-55","56+"))))</f>
        <v>26-35</v>
      </c>
    </row>
    <row r="47" spans="1:37"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s="1">
        <v>19545</v>
      </c>
      <c r="T47">
        <v>16280</v>
      </c>
      <c r="U47">
        <v>1</v>
      </c>
      <c r="V47" t="s">
        <v>42</v>
      </c>
      <c r="W47" t="s">
        <v>43</v>
      </c>
      <c r="X47">
        <v>12</v>
      </c>
      <c r="Y47">
        <v>3</v>
      </c>
      <c r="Z47">
        <v>4</v>
      </c>
      <c r="AA47">
        <v>80</v>
      </c>
      <c r="AB47">
        <v>0</v>
      </c>
      <c r="AC47">
        <v>23</v>
      </c>
      <c r="AD47">
        <v>0</v>
      </c>
      <c r="AE47">
        <v>3</v>
      </c>
      <c r="AF47">
        <v>22</v>
      </c>
      <c r="AG47">
        <v>15</v>
      </c>
      <c r="AH47">
        <v>15</v>
      </c>
      <c r="AI47">
        <v>8</v>
      </c>
      <c r="AJ47" s="2">
        <f>IF(tblHR[[#This Row],[Attrition]]="Yes",1,0)</f>
        <v>1</v>
      </c>
      <c r="AK47" t="str">
        <f>IF(tblHR[[#This Row],[Age]]&lt;26,"18-25",IF(tblHR[[#This Row],[Age]]&lt;36,"26-35",IF(tblHR[[#This Row],[Age]]&lt;46,"36-45",IF(tblHR[[#This Row],[Age]]&lt;56,"46-55","56+"))))</f>
        <v>36-45</v>
      </c>
    </row>
    <row r="48" spans="1:37"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s="1">
        <v>4568</v>
      </c>
      <c r="T48">
        <v>10034</v>
      </c>
      <c r="U48">
        <v>0</v>
      </c>
      <c r="V48" t="s">
        <v>42</v>
      </c>
      <c r="W48" t="s">
        <v>43</v>
      </c>
      <c r="X48">
        <v>20</v>
      </c>
      <c r="Y48">
        <v>4</v>
      </c>
      <c r="Z48">
        <v>3</v>
      </c>
      <c r="AA48">
        <v>80</v>
      </c>
      <c r="AB48">
        <v>0</v>
      </c>
      <c r="AC48">
        <v>10</v>
      </c>
      <c r="AD48">
        <v>2</v>
      </c>
      <c r="AE48">
        <v>3</v>
      </c>
      <c r="AF48">
        <v>9</v>
      </c>
      <c r="AG48">
        <v>5</v>
      </c>
      <c r="AH48">
        <v>8</v>
      </c>
      <c r="AI48">
        <v>7</v>
      </c>
      <c r="AJ48" s="2">
        <f>IF(tblHR[[#This Row],[Attrition]]="Yes",1,0)</f>
        <v>0</v>
      </c>
      <c r="AK48" t="str">
        <f>IF(tblHR[[#This Row],[Age]]&lt;26,"18-25",IF(tblHR[[#This Row],[Age]]&lt;36,"26-35",IF(tblHR[[#This Row],[Age]]&lt;46,"36-45",IF(tblHR[[#This Row],[Age]]&lt;56,"46-55","56+"))))</f>
        <v>26-35</v>
      </c>
    </row>
    <row r="49" spans="1:37"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s="1">
        <v>3022</v>
      </c>
      <c r="T49">
        <v>10227</v>
      </c>
      <c r="U49">
        <v>4</v>
      </c>
      <c r="V49" t="s">
        <v>42</v>
      </c>
      <c r="W49" t="s">
        <v>43</v>
      </c>
      <c r="X49">
        <v>21</v>
      </c>
      <c r="Y49">
        <v>4</v>
      </c>
      <c r="Z49">
        <v>1</v>
      </c>
      <c r="AA49">
        <v>80</v>
      </c>
      <c r="AB49">
        <v>0</v>
      </c>
      <c r="AC49">
        <v>8</v>
      </c>
      <c r="AD49">
        <v>1</v>
      </c>
      <c r="AE49">
        <v>3</v>
      </c>
      <c r="AF49">
        <v>1</v>
      </c>
      <c r="AG49">
        <v>0</v>
      </c>
      <c r="AH49">
        <v>0</v>
      </c>
      <c r="AI49">
        <v>0</v>
      </c>
      <c r="AJ49" s="2">
        <f>IF(tblHR[[#This Row],[Attrition]]="Yes",1,0)</f>
        <v>0</v>
      </c>
      <c r="AK49" t="str">
        <f>IF(tblHR[[#This Row],[Age]]&lt;26,"18-25",IF(tblHR[[#This Row],[Age]]&lt;36,"26-35",IF(tblHR[[#This Row],[Age]]&lt;46,"36-45",IF(tblHR[[#This Row],[Age]]&lt;56,"46-55","56+"))))</f>
        <v>36-45</v>
      </c>
    </row>
    <row r="50" spans="1:37"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s="1">
        <v>5772</v>
      </c>
      <c r="T50">
        <v>20445</v>
      </c>
      <c r="U50">
        <v>4</v>
      </c>
      <c r="V50" t="s">
        <v>42</v>
      </c>
      <c r="W50" t="s">
        <v>35</v>
      </c>
      <c r="X50">
        <v>21</v>
      </c>
      <c r="Y50">
        <v>4</v>
      </c>
      <c r="Z50">
        <v>3</v>
      </c>
      <c r="AA50">
        <v>80</v>
      </c>
      <c r="AB50">
        <v>0</v>
      </c>
      <c r="AC50">
        <v>14</v>
      </c>
      <c r="AD50">
        <v>4</v>
      </c>
      <c r="AE50">
        <v>3</v>
      </c>
      <c r="AF50">
        <v>9</v>
      </c>
      <c r="AG50">
        <v>6</v>
      </c>
      <c r="AH50">
        <v>0</v>
      </c>
      <c r="AI50">
        <v>8</v>
      </c>
      <c r="AJ50" s="2">
        <f>IF(tblHR[[#This Row],[Attrition]]="Yes",1,0)</f>
        <v>0</v>
      </c>
      <c r="AK50" t="str">
        <f>IF(tblHR[[#This Row],[Age]]&lt;26,"18-25",IF(tblHR[[#This Row],[Age]]&lt;36,"26-35",IF(tblHR[[#This Row],[Age]]&lt;46,"36-45",IF(tblHR[[#This Row],[Age]]&lt;56,"46-55","56+"))))</f>
        <v>46-55</v>
      </c>
    </row>
    <row r="51" spans="1:37"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s="1">
        <v>2269</v>
      </c>
      <c r="T51">
        <v>4892</v>
      </c>
      <c r="U51">
        <v>1</v>
      </c>
      <c r="V51" t="s">
        <v>42</v>
      </c>
      <c r="W51" t="s">
        <v>43</v>
      </c>
      <c r="X51">
        <v>19</v>
      </c>
      <c r="Y51">
        <v>3</v>
      </c>
      <c r="Z51">
        <v>4</v>
      </c>
      <c r="AA51">
        <v>80</v>
      </c>
      <c r="AB51">
        <v>0</v>
      </c>
      <c r="AC51">
        <v>1</v>
      </c>
      <c r="AD51">
        <v>2</v>
      </c>
      <c r="AE51">
        <v>3</v>
      </c>
      <c r="AF51">
        <v>1</v>
      </c>
      <c r="AG51">
        <v>0</v>
      </c>
      <c r="AH51">
        <v>0</v>
      </c>
      <c r="AI51">
        <v>1</v>
      </c>
      <c r="AJ51" s="2">
        <f>IF(tblHR[[#This Row],[Attrition]]="Yes",1,0)</f>
        <v>0</v>
      </c>
      <c r="AK51" t="str">
        <f>IF(tblHR[[#This Row],[Age]]&lt;26,"18-25",IF(tblHR[[#This Row],[Age]]&lt;36,"26-35",IF(tblHR[[#This Row],[Age]]&lt;46,"36-45",IF(tblHR[[#This Row],[Age]]&lt;56,"46-55","56+"))))</f>
        <v>26-35</v>
      </c>
    </row>
    <row r="52" spans="1:37"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s="1">
        <v>5381</v>
      </c>
      <c r="T52">
        <v>19294</v>
      </c>
      <c r="U52">
        <v>9</v>
      </c>
      <c r="V52" t="s">
        <v>42</v>
      </c>
      <c r="W52" t="s">
        <v>35</v>
      </c>
      <c r="X52">
        <v>13</v>
      </c>
      <c r="Y52">
        <v>3</v>
      </c>
      <c r="Z52">
        <v>4</v>
      </c>
      <c r="AA52">
        <v>80</v>
      </c>
      <c r="AB52">
        <v>0</v>
      </c>
      <c r="AC52">
        <v>23</v>
      </c>
      <c r="AD52">
        <v>2</v>
      </c>
      <c r="AE52">
        <v>3</v>
      </c>
      <c r="AF52">
        <v>1</v>
      </c>
      <c r="AG52">
        <v>0</v>
      </c>
      <c r="AH52">
        <v>0</v>
      </c>
      <c r="AI52">
        <v>0</v>
      </c>
      <c r="AJ52" s="2">
        <f>IF(tblHR[[#This Row],[Attrition]]="Yes",1,0)</f>
        <v>1</v>
      </c>
      <c r="AK52" t="str">
        <f>IF(tblHR[[#This Row],[Age]]&lt;26,"18-25",IF(tblHR[[#This Row],[Age]]&lt;36,"26-35",IF(tblHR[[#This Row],[Age]]&lt;46,"36-45",IF(tblHR[[#This Row],[Age]]&lt;56,"46-55","56+"))))</f>
        <v>46-55</v>
      </c>
    </row>
    <row r="53" spans="1:37"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s="1">
        <v>3441</v>
      </c>
      <c r="T53">
        <v>11179</v>
      </c>
      <c r="U53">
        <v>1</v>
      </c>
      <c r="V53" t="s">
        <v>42</v>
      </c>
      <c r="W53" t="s">
        <v>35</v>
      </c>
      <c r="X53">
        <v>13</v>
      </c>
      <c r="Y53">
        <v>3</v>
      </c>
      <c r="Z53">
        <v>3</v>
      </c>
      <c r="AA53">
        <v>80</v>
      </c>
      <c r="AB53">
        <v>0</v>
      </c>
      <c r="AC53">
        <v>2</v>
      </c>
      <c r="AD53">
        <v>3</v>
      </c>
      <c r="AE53">
        <v>2</v>
      </c>
      <c r="AF53">
        <v>2</v>
      </c>
      <c r="AG53">
        <v>2</v>
      </c>
      <c r="AH53">
        <v>2</v>
      </c>
      <c r="AI53">
        <v>2</v>
      </c>
      <c r="AJ53" s="2">
        <f>IF(tblHR[[#This Row],[Attrition]]="Yes",1,0)</f>
        <v>1</v>
      </c>
      <c r="AK53" t="str">
        <f>IF(tblHR[[#This Row],[Age]]&lt;26,"18-25",IF(tblHR[[#This Row],[Age]]&lt;36,"26-35",IF(tblHR[[#This Row],[Age]]&lt;46,"36-45",IF(tblHR[[#This Row],[Age]]&lt;56,"46-55","56+"))))</f>
        <v>26-35</v>
      </c>
    </row>
    <row r="54" spans="1:37"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s="1">
        <v>5454</v>
      </c>
      <c r="T54">
        <v>4009</v>
      </c>
      <c r="U54">
        <v>5</v>
      </c>
      <c r="V54" t="s">
        <v>42</v>
      </c>
      <c r="W54" t="s">
        <v>35</v>
      </c>
      <c r="X54">
        <v>21</v>
      </c>
      <c r="Y54">
        <v>4</v>
      </c>
      <c r="Z54">
        <v>3</v>
      </c>
      <c r="AA54">
        <v>80</v>
      </c>
      <c r="AB54">
        <v>1</v>
      </c>
      <c r="AC54">
        <v>9</v>
      </c>
      <c r="AD54">
        <v>2</v>
      </c>
      <c r="AE54">
        <v>2</v>
      </c>
      <c r="AF54">
        <v>4</v>
      </c>
      <c r="AG54">
        <v>3</v>
      </c>
      <c r="AH54">
        <v>1</v>
      </c>
      <c r="AI54">
        <v>3</v>
      </c>
      <c r="AJ54" s="2">
        <f>IF(tblHR[[#This Row],[Attrition]]="Yes",1,0)</f>
        <v>0</v>
      </c>
      <c r="AK54" t="str">
        <f>IF(tblHR[[#This Row],[Age]]&lt;26,"18-25",IF(tblHR[[#This Row],[Age]]&lt;36,"26-35",IF(tblHR[[#This Row],[Age]]&lt;46,"36-45",IF(tblHR[[#This Row],[Age]]&lt;56,"46-55","56+"))))</f>
        <v>36-45</v>
      </c>
    </row>
    <row r="55" spans="1:37"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s="1">
        <v>9884</v>
      </c>
      <c r="T55">
        <v>8302</v>
      </c>
      <c r="U55">
        <v>2</v>
      </c>
      <c r="V55" t="s">
        <v>42</v>
      </c>
      <c r="W55" t="s">
        <v>35</v>
      </c>
      <c r="X55">
        <v>13</v>
      </c>
      <c r="Y55">
        <v>3</v>
      </c>
      <c r="Z55">
        <v>3</v>
      </c>
      <c r="AA55">
        <v>80</v>
      </c>
      <c r="AB55">
        <v>1</v>
      </c>
      <c r="AC55">
        <v>10</v>
      </c>
      <c r="AD55">
        <v>3</v>
      </c>
      <c r="AE55">
        <v>3</v>
      </c>
      <c r="AF55">
        <v>4</v>
      </c>
      <c r="AG55">
        <v>0</v>
      </c>
      <c r="AH55">
        <v>2</v>
      </c>
      <c r="AI55">
        <v>3</v>
      </c>
      <c r="AJ55" s="2">
        <f>IF(tblHR[[#This Row],[Attrition]]="Yes",1,0)</f>
        <v>0</v>
      </c>
      <c r="AK55" t="str">
        <f>IF(tblHR[[#This Row],[Age]]&lt;26,"18-25",IF(tblHR[[#This Row],[Age]]&lt;36,"26-35",IF(tblHR[[#This Row],[Age]]&lt;46,"36-45",IF(tblHR[[#This Row],[Age]]&lt;56,"46-55","56+"))))</f>
        <v>26-35</v>
      </c>
    </row>
    <row r="56" spans="1:37"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s="1">
        <v>4157</v>
      </c>
      <c r="T56">
        <v>21436</v>
      </c>
      <c r="U56">
        <v>7</v>
      </c>
      <c r="V56" t="s">
        <v>42</v>
      </c>
      <c r="W56" t="s">
        <v>35</v>
      </c>
      <c r="X56">
        <v>19</v>
      </c>
      <c r="Y56">
        <v>3</v>
      </c>
      <c r="Z56">
        <v>3</v>
      </c>
      <c r="AA56">
        <v>80</v>
      </c>
      <c r="AB56">
        <v>1</v>
      </c>
      <c r="AC56">
        <v>5</v>
      </c>
      <c r="AD56">
        <v>2</v>
      </c>
      <c r="AE56">
        <v>2</v>
      </c>
      <c r="AF56">
        <v>2</v>
      </c>
      <c r="AG56">
        <v>2</v>
      </c>
      <c r="AH56">
        <v>0</v>
      </c>
      <c r="AI56">
        <v>0</v>
      </c>
      <c r="AJ56" s="2">
        <f>IF(tblHR[[#This Row],[Attrition]]="Yes",1,0)</f>
        <v>0</v>
      </c>
      <c r="AK56" t="str">
        <f>IF(tblHR[[#This Row],[Age]]&lt;26,"18-25",IF(tblHR[[#This Row],[Age]]&lt;36,"26-35",IF(tblHR[[#This Row],[Age]]&lt;46,"36-45",IF(tblHR[[#This Row],[Age]]&lt;56,"46-55","56+"))))</f>
        <v>26-35</v>
      </c>
    </row>
    <row r="57" spans="1:37"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s="1">
        <v>13458</v>
      </c>
      <c r="T57">
        <v>15146</v>
      </c>
      <c r="U57">
        <v>1</v>
      </c>
      <c r="V57" t="s">
        <v>42</v>
      </c>
      <c r="W57" t="s">
        <v>35</v>
      </c>
      <c r="X57">
        <v>12</v>
      </c>
      <c r="Y57">
        <v>3</v>
      </c>
      <c r="Z57">
        <v>3</v>
      </c>
      <c r="AA57">
        <v>80</v>
      </c>
      <c r="AB57">
        <v>0</v>
      </c>
      <c r="AC57">
        <v>15</v>
      </c>
      <c r="AD57">
        <v>1</v>
      </c>
      <c r="AE57">
        <v>3</v>
      </c>
      <c r="AF57">
        <v>15</v>
      </c>
      <c r="AG57">
        <v>14</v>
      </c>
      <c r="AH57">
        <v>8</v>
      </c>
      <c r="AI57">
        <v>12</v>
      </c>
      <c r="AJ57" s="2">
        <f>IF(tblHR[[#This Row],[Attrition]]="Yes",1,0)</f>
        <v>0</v>
      </c>
      <c r="AK57" t="str">
        <f>IF(tblHR[[#This Row],[Age]]&lt;26,"18-25",IF(tblHR[[#This Row],[Age]]&lt;36,"26-35",IF(tblHR[[#This Row],[Age]]&lt;46,"36-45",IF(tblHR[[#This Row],[Age]]&lt;56,"46-55","56+"))))</f>
        <v>26-35</v>
      </c>
    </row>
    <row r="58" spans="1:37"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s="1">
        <v>9069</v>
      </c>
      <c r="T58">
        <v>11031</v>
      </c>
      <c r="U58">
        <v>1</v>
      </c>
      <c r="V58" t="s">
        <v>42</v>
      </c>
      <c r="W58" t="s">
        <v>43</v>
      </c>
      <c r="X58">
        <v>22</v>
      </c>
      <c r="Y58">
        <v>4</v>
      </c>
      <c r="Z58">
        <v>4</v>
      </c>
      <c r="AA58">
        <v>80</v>
      </c>
      <c r="AB58">
        <v>1</v>
      </c>
      <c r="AC58">
        <v>9</v>
      </c>
      <c r="AD58">
        <v>3</v>
      </c>
      <c r="AE58">
        <v>2</v>
      </c>
      <c r="AF58">
        <v>9</v>
      </c>
      <c r="AG58">
        <v>8</v>
      </c>
      <c r="AH58">
        <v>1</v>
      </c>
      <c r="AI58">
        <v>8</v>
      </c>
      <c r="AJ58" s="2">
        <f>IF(tblHR[[#This Row],[Attrition]]="Yes",1,0)</f>
        <v>0</v>
      </c>
      <c r="AK58" t="str">
        <f>IF(tblHR[[#This Row],[Age]]&lt;26,"18-25",IF(tblHR[[#This Row],[Age]]&lt;36,"26-35",IF(tblHR[[#This Row],[Age]]&lt;46,"36-45",IF(tblHR[[#This Row],[Age]]&lt;56,"46-55","56+"))))</f>
        <v>26-35</v>
      </c>
    </row>
    <row r="59" spans="1:37"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s="1">
        <v>4014</v>
      </c>
      <c r="T59">
        <v>16002</v>
      </c>
      <c r="U59">
        <v>3</v>
      </c>
      <c r="V59" t="s">
        <v>42</v>
      </c>
      <c r="W59" t="s">
        <v>35</v>
      </c>
      <c r="X59">
        <v>15</v>
      </c>
      <c r="Y59">
        <v>3</v>
      </c>
      <c r="Z59">
        <v>3</v>
      </c>
      <c r="AA59">
        <v>80</v>
      </c>
      <c r="AB59">
        <v>1</v>
      </c>
      <c r="AC59">
        <v>4</v>
      </c>
      <c r="AD59">
        <v>3</v>
      </c>
      <c r="AE59">
        <v>3</v>
      </c>
      <c r="AF59">
        <v>2</v>
      </c>
      <c r="AG59">
        <v>2</v>
      </c>
      <c r="AH59">
        <v>2</v>
      </c>
      <c r="AI59">
        <v>2</v>
      </c>
      <c r="AJ59" s="2">
        <f>IF(tblHR[[#This Row],[Attrition]]="Yes",1,0)</f>
        <v>0</v>
      </c>
      <c r="AK59" t="str">
        <f>IF(tblHR[[#This Row],[Age]]&lt;26,"18-25",IF(tblHR[[#This Row],[Age]]&lt;36,"26-35",IF(tblHR[[#This Row],[Age]]&lt;46,"36-45",IF(tblHR[[#This Row],[Age]]&lt;56,"46-55","56+"))))</f>
        <v>26-35</v>
      </c>
    </row>
    <row r="60" spans="1:37"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s="1">
        <v>5915</v>
      </c>
      <c r="T60">
        <v>9528</v>
      </c>
      <c r="U60">
        <v>3</v>
      </c>
      <c r="V60" t="s">
        <v>42</v>
      </c>
      <c r="W60" t="s">
        <v>43</v>
      </c>
      <c r="X60">
        <v>22</v>
      </c>
      <c r="Y60">
        <v>4</v>
      </c>
      <c r="Z60">
        <v>4</v>
      </c>
      <c r="AA60">
        <v>80</v>
      </c>
      <c r="AB60">
        <v>1</v>
      </c>
      <c r="AC60">
        <v>10</v>
      </c>
      <c r="AD60">
        <v>3</v>
      </c>
      <c r="AE60">
        <v>2</v>
      </c>
      <c r="AF60">
        <v>7</v>
      </c>
      <c r="AG60">
        <v>7</v>
      </c>
      <c r="AH60">
        <v>1</v>
      </c>
      <c r="AI60">
        <v>7</v>
      </c>
      <c r="AJ60" s="2">
        <f>IF(tblHR[[#This Row],[Attrition]]="Yes",1,0)</f>
        <v>0</v>
      </c>
      <c r="AK60" t="str">
        <f>IF(tblHR[[#This Row],[Age]]&lt;26,"18-25",IF(tblHR[[#This Row],[Age]]&lt;36,"26-35",IF(tblHR[[#This Row],[Age]]&lt;46,"36-45",IF(tblHR[[#This Row],[Age]]&lt;56,"46-55","56+"))))</f>
        <v>26-35</v>
      </c>
    </row>
    <row r="61" spans="1:37"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s="1">
        <v>5993</v>
      </c>
      <c r="T61">
        <v>2689</v>
      </c>
      <c r="U61">
        <v>1</v>
      </c>
      <c r="V61" t="s">
        <v>42</v>
      </c>
      <c r="W61" t="s">
        <v>43</v>
      </c>
      <c r="X61">
        <v>18</v>
      </c>
      <c r="Y61">
        <v>3</v>
      </c>
      <c r="Z61">
        <v>3</v>
      </c>
      <c r="AA61">
        <v>80</v>
      </c>
      <c r="AB61">
        <v>1</v>
      </c>
      <c r="AC61">
        <v>7</v>
      </c>
      <c r="AD61">
        <v>2</v>
      </c>
      <c r="AE61">
        <v>4</v>
      </c>
      <c r="AF61">
        <v>7</v>
      </c>
      <c r="AG61">
        <v>5</v>
      </c>
      <c r="AH61">
        <v>0</v>
      </c>
      <c r="AI61">
        <v>7</v>
      </c>
      <c r="AJ61" s="2">
        <f>IF(tblHR[[#This Row],[Attrition]]="Yes",1,0)</f>
        <v>0</v>
      </c>
      <c r="AK61" t="str">
        <f>IF(tblHR[[#This Row],[Age]]&lt;26,"18-25",IF(tblHR[[#This Row],[Age]]&lt;36,"26-35",IF(tblHR[[#This Row],[Age]]&lt;46,"36-45",IF(tblHR[[#This Row],[Age]]&lt;56,"46-55","56+"))))</f>
        <v>36-45</v>
      </c>
    </row>
    <row r="62" spans="1:37"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s="1">
        <v>6162</v>
      </c>
      <c r="T62">
        <v>10877</v>
      </c>
      <c r="U62">
        <v>1</v>
      </c>
      <c r="V62" t="s">
        <v>42</v>
      </c>
      <c r="W62" t="s">
        <v>35</v>
      </c>
      <c r="X62">
        <v>22</v>
      </c>
      <c r="Y62">
        <v>4</v>
      </c>
      <c r="Z62">
        <v>2</v>
      </c>
      <c r="AA62">
        <v>80</v>
      </c>
      <c r="AB62">
        <v>1</v>
      </c>
      <c r="AC62">
        <v>9</v>
      </c>
      <c r="AD62">
        <v>3</v>
      </c>
      <c r="AE62">
        <v>3</v>
      </c>
      <c r="AF62">
        <v>9</v>
      </c>
      <c r="AG62">
        <v>8</v>
      </c>
      <c r="AH62">
        <v>7</v>
      </c>
      <c r="AI62">
        <v>8</v>
      </c>
      <c r="AJ62" s="2">
        <f>IF(tblHR[[#This Row],[Attrition]]="Yes",1,0)</f>
        <v>0</v>
      </c>
      <c r="AK62" t="str">
        <f>IF(tblHR[[#This Row],[Age]]&lt;26,"18-25",IF(tblHR[[#This Row],[Age]]&lt;36,"26-35",IF(tblHR[[#This Row],[Age]]&lt;46,"36-45",IF(tblHR[[#This Row],[Age]]&lt;56,"46-55","56+"))))</f>
        <v>26-35</v>
      </c>
    </row>
    <row r="63" spans="1:37"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s="1">
        <v>2406</v>
      </c>
      <c r="T63">
        <v>5456</v>
      </c>
      <c r="U63">
        <v>1</v>
      </c>
      <c r="V63" t="s">
        <v>42</v>
      </c>
      <c r="W63" t="s">
        <v>43</v>
      </c>
      <c r="X63">
        <v>11</v>
      </c>
      <c r="Y63">
        <v>3</v>
      </c>
      <c r="Z63">
        <v>4</v>
      </c>
      <c r="AA63">
        <v>80</v>
      </c>
      <c r="AB63">
        <v>0</v>
      </c>
      <c r="AC63">
        <v>10</v>
      </c>
      <c r="AD63">
        <v>2</v>
      </c>
      <c r="AE63">
        <v>3</v>
      </c>
      <c r="AF63">
        <v>10</v>
      </c>
      <c r="AG63">
        <v>3</v>
      </c>
      <c r="AH63">
        <v>9</v>
      </c>
      <c r="AI63">
        <v>9</v>
      </c>
      <c r="AJ63" s="2">
        <f>IF(tblHR[[#This Row],[Attrition]]="Yes",1,0)</f>
        <v>0</v>
      </c>
      <c r="AK63" t="str">
        <f>IF(tblHR[[#This Row],[Age]]&lt;26,"18-25",IF(tblHR[[#This Row],[Age]]&lt;36,"26-35",IF(tblHR[[#This Row],[Age]]&lt;46,"36-45",IF(tblHR[[#This Row],[Age]]&lt;56,"46-55","56+"))))</f>
        <v>36-45</v>
      </c>
    </row>
    <row r="64" spans="1:37"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s="1">
        <v>18740</v>
      </c>
      <c r="T64">
        <v>16701</v>
      </c>
      <c r="U64">
        <v>5</v>
      </c>
      <c r="V64" t="s">
        <v>42</v>
      </c>
      <c r="W64" t="s">
        <v>35</v>
      </c>
      <c r="X64">
        <v>12</v>
      </c>
      <c r="Y64">
        <v>3</v>
      </c>
      <c r="Z64">
        <v>4</v>
      </c>
      <c r="AA64">
        <v>80</v>
      </c>
      <c r="AB64">
        <v>1</v>
      </c>
      <c r="AC64">
        <v>29</v>
      </c>
      <c r="AD64">
        <v>2</v>
      </c>
      <c r="AE64">
        <v>2</v>
      </c>
      <c r="AF64">
        <v>27</v>
      </c>
      <c r="AG64">
        <v>3</v>
      </c>
      <c r="AH64">
        <v>13</v>
      </c>
      <c r="AI64">
        <v>8</v>
      </c>
      <c r="AJ64" s="2">
        <f>IF(tblHR[[#This Row],[Attrition]]="Yes",1,0)</f>
        <v>0</v>
      </c>
      <c r="AK64" t="str">
        <f>IF(tblHR[[#This Row],[Age]]&lt;26,"18-25",IF(tblHR[[#This Row],[Age]]&lt;36,"26-35",IF(tblHR[[#This Row],[Age]]&lt;46,"36-45",IF(tblHR[[#This Row],[Age]]&lt;56,"46-55","56+"))))</f>
        <v>46-55</v>
      </c>
    </row>
    <row r="65" spans="1:37"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s="1">
        <v>7637</v>
      </c>
      <c r="T65">
        <v>2354</v>
      </c>
      <c r="U65">
        <v>7</v>
      </c>
      <c r="V65" t="s">
        <v>42</v>
      </c>
      <c r="W65" t="s">
        <v>43</v>
      </c>
      <c r="X65">
        <v>11</v>
      </c>
      <c r="Y65">
        <v>3</v>
      </c>
      <c r="Z65">
        <v>4</v>
      </c>
      <c r="AA65">
        <v>80</v>
      </c>
      <c r="AB65">
        <v>0</v>
      </c>
      <c r="AC65">
        <v>28</v>
      </c>
      <c r="AD65">
        <v>3</v>
      </c>
      <c r="AE65">
        <v>2</v>
      </c>
      <c r="AF65">
        <v>21</v>
      </c>
      <c r="AG65">
        <v>16</v>
      </c>
      <c r="AH65">
        <v>7</v>
      </c>
      <c r="AI65">
        <v>9</v>
      </c>
      <c r="AJ65" s="2">
        <f>IF(tblHR[[#This Row],[Attrition]]="Yes",1,0)</f>
        <v>0</v>
      </c>
      <c r="AK65" t="str">
        <f>IF(tblHR[[#This Row],[Age]]&lt;26,"18-25",IF(tblHR[[#This Row],[Age]]&lt;36,"26-35",IF(tblHR[[#This Row],[Age]]&lt;46,"36-45",IF(tblHR[[#This Row],[Age]]&lt;56,"46-55","56+"))))</f>
        <v>56+</v>
      </c>
    </row>
    <row r="66" spans="1:37"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s="1">
        <v>10096</v>
      </c>
      <c r="T66">
        <v>8202</v>
      </c>
      <c r="U66">
        <v>1</v>
      </c>
      <c r="V66" t="s">
        <v>42</v>
      </c>
      <c r="W66" t="s">
        <v>43</v>
      </c>
      <c r="X66">
        <v>13</v>
      </c>
      <c r="Y66">
        <v>3</v>
      </c>
      <c r="Z66">
        <v>2</v>
      </c>
      <c r="AA66">
        <v>80</v>
      </c>
      <c r="AB66">
        <v>3</v>
      </c>
      <c r="AC66">
        <v>17</v>
      </c>
      <c r="AD66">
        <v>2</v>
      </c>
      <c r="AE66">
        <v>3</v>
      </c>
      <c r="AF66">
        <v>17</v>
      </c>
      <c r="AG66">
        <v>14</v>
      </c>
      <c r="AH66">
        <v>12</v>
      </c>
      <c r="AI66">
        <v>8</v>
      </c>
      <c r="AJ66" s="2">
        <f>IF(tblHR[[#This Row],[Attrition]]="Yes",1,0)</f>
        <v>0</v>
      </c>
      <c r="AK66" t="str">
        <f>IF(tblHR[[#This Row],[Age]]&lt;26,"18-25",IF(tblHR[[#This Row],[Age]]&lt;36,"26-35",IF(tblHR[[#This Row],[Age]]&lt;46,"36-45",IF(tblHR[[#This Row],[Age]]&lt;56,"46-55","56+"))))</f>
        <v>36-45</v>
      </c>
    </row>
    <row r="67" spans="1:37"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s="1">
        <v>14756</v>
      </c>
      <c r="T67">
        <v>19730</v>
      </c>
      <c r="U67">
        <v>2</v>
      </c>
      <c r="V67" t="s">
        <v>42</v>
      </c>
      <c r="W67" t="s">
        <v>35</v>
      </c>
      <c r="X67">
        <v>14</v>
      </c>
      <c r="Y67">
        <v>3</v>
      </c>
      <c r="Z67">
        <v>3</v>
      </c>
      <c r="AA67">
        <v>80</v>
      </c>
      <c r="AB67">
        <v>3</v>
      </c>
      <c r="AC67">
        <v>21</v>
      </c>
      <c r="AD67">
        <v>2</v>
      </c>
      <c r="AE67">
        <v>3</v>
      </c>
      <c r="AF67">
        <v>5</v>
      </c>
      <c r="AG67">
        <v>0</v>
      </c>
      <c r="AH67">
        <v>0</v>
      </c>
      <c r="AI67">
        <v>2</v>
      </c>
      <c r="AJ67" s="2">
        <f>IF(tblHR[[#This Row],[Attrition]]="Yes",1,0)</f>
        <v>0</v>
      </c>
      <c r="AK67" t="str">
        <f>IF(tblHR[[#This Row],[Age]]&lt;26,"18-25",IF(tblHR[[#This Row],[Age]]&lt;36,"26-35",IF(tblHR[[#This Row],[Age]]&lt;46,"36-45",IF(tblHR[[#This Row],[Age]]&lt;56,"46-55","56+"))))</f>
        <v>46-55</v>
      </c>
    </row>
    <row r="68" spans="1:37"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s="1">
        <v>6499</v>
      </c>
      <c r="T68">
        <v>22656</v>
      </c>
      <c r="U68">
        <v>1</v>
      </c>
      <c r="V68" t="s">
        <v>42</v>
      </c>
      <c r="W68" t="s">
        <v>43</v>
      </c>
      <c r="X68">
        <v>13</v>
      </c>
      <c r="Y68">
        <v>3</v>
      </c>
      <c r="Z68">
        <v>3</v>
      </c>
      <c r="AA68">
        <v>80</v>
      </c>
      <c r="AB68">
        <v>0</v>
      </c>
      <c r="AC68">
        <v>6</v>
      </c>
      <c r="AD68">
        <v>3</v>
      </c>
      <c r="AE68">
        <v>3</v>
      </c>
      <c r="AF68">
        <v>6</v>
      </c>
      <c r="AG68">
        <v>5</v>
      </c>
      <c r="AH68">
        <v>0</v>
      </c>
      <c r="AI68">
        <v>3</v>
      </c>
      <c r="AJ68" s="2">
        <f>IF(tblHR[[#This Row],[Attrition]]="Yes",1,0)</f>
        <v>0</v>
      </c>
      <c r="AK68" t="str">
        <f>IF(tblHR[[#This Row],[Age]]&lt;26,"18-25",IF(tblHR[[#This Row],[Age]]&lt;36,"26-35",IF(tblHR[[#This Row],[Age]]&lt;46,"36-45",IF(tblHR[[#This Row],[Age]]&lt;56,"46-55","56+"))))</f>
        <v>36-45</v>
      </c>
    </row>
    <row r="69" spans="1:37"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s="1">
        <v>9724</v>
      </c>
      <c r="T69">
        <v>18787</v>
      </c>
      <c r="U69">
        <v>2</v>
      </c>
      <c r="V69" t="s">
        <v>42</v>
      </c>
      <c r="W69" t="s">
        <v>43</v>
      </c>
      <c r="X69">
        <v>17</v>
      </c>
      <c r="Y69">
        <v>3</v>
      </c>
      <c r="Z69">
        <v>3</v>
      </c>
      <c r="AA69">
        <v>80</v>
      </c>
      <c r="AB69">
        <v>1</v>
      </c>
      <c r="AC69">
        <v>25</v>
      </c>
      <c r="AD69">
        <v>2</v>
      </c>
      <c r="AE69">
        <v>3</v>
      </c>
      <c r="AF69">
        <v>1</v>
      </c>
      <c r="AG69">
        <v>0</v>
      </c>
      <c r="AH69">
        <v>0</v>
      </c>
      <c r="AI69">
        <v>0</v>
      </c>
      <c r="AJ69" s="2">
        <f>IF(tblHR[[#This Row],[Attrition]]="Yes",1,0)</f>
        <v>0</v>
      </c>
      <c r="AK69" t="str">
        <f>IF(tblHR[[#This Row],[Age]]&lt;26,"18-25",IF(tblHR[[#This Row],[Age]]&lt;36,"26-35",IF(tblHR[[#This Row],[Age]]&lt;46,"36-45",IF(tblHR[[#This Row],[Age]]&lt;56,"46-55","56+"))))</f>
        <v>36-45</v>
      </c>
    </row>
    <row r="70" spans="1:37"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s="1">
        <v>2194</v>
      </c>
      <c r="T70">
        <v>5868</v>
      </c>
      <c r="U70">
        <v>4</v>
      </c>
      <c r="V70" t="s">
        <v>42</v>
      </c>
      <c r="W70" t="s">
        <v>43</v>
      </c>
      <c r="X70">
        <v>13</v>
      </c>
      <c r="Y70">
        <v>3</v>
      </c>
      <c r="Z70">
        <v>4</v>
      </c>
      <c r="AA70">
        <v>80</v>
      </c>
      <c r="AB70">
        <v>1</v>
      </c>
      <c r="AC70">
        <v>5</v>
      </c>
      <c r="AD70">
        <v>2</v>
      </c>
      <c r="AE70">
        <v>2</v>
      </c>
      <c r="AF70">
        <v>3</v>
      </c>
      <c r="AG70">
        <v>2</v>
      </c>
      <c r="AH70">
        <v>1</v>
      </c>
      <c r="AI70">
        <v>2</v>
      </c>
      <c r="AJ70" s="2">
        <f>IF(tblHR[[#This Row],[Attrition]]="Yes",1,0)</f>
        <v>0</v>
      </c>
      <c r="AK70" t="str">
        <f>IF(tblHR[[#This Row],[Age]]&lt;26,"18-25",IF(tblHR[[#This Row],[Age]]&lt;36,"26-35",IF(tblHR[[#This Row],[Age]]&lt;46,"36-45",IF(tblHR[[#This Row],[Age]]&lt;56,"46-55","56+"))))</f>
        <v>26-35</v>
      </c>
    </row>
    <row r="71" spans="1:37"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s="1">
        <v>3388</v>
      </c>
      <c r="T71">
        <v>21777</v>
      </c>
      <c r="U71">
        <v>0</v>
      </c>
      <c r="V71" t="s">
        <v>42</v>
      </c>
      <c r="W71" t="s">
        <v>35</v>
      </c>
      <c r="X71">
        <v>17</v>
      </c>
      <c r="Y71">
        <v>3</v>
      </c>
      <c r="Z71">
        <v>1</v>
      </c>
      <c r="AA71">
        <v>80</v>
      </c>
      <c r="AB71">
        <v>1</v>
      </c>
      <c r="AC71">
        <v>2</v>
      </c>
      <c r="AD71">
        <v>0</v>
      </c>
      <c r="AE71">
        <v>2</v>
      </c>
      <c r="AF71">
        <v>1</v>
      </c>
      <c r="AG71">
        <v>0</v>
      </c>
      <c r="AH71">
        <v>0</v>
      </c>
      <c r="AI71">
        <v>0</v>
      </c>
      <c r="AJ71" s="2">
        <f>IF(tblHR[[#This Row],[Attrition]]="Yes",1,0)</f>
        <v>1</v>
      </c>
      <c r="AK71" t="str">
        <f>IF(tblHR[[#This Row],[Age]]&lt;26,"18-25",IF(tblHR[[#This Row],[Age]]&lt;36,"26-35",IF(tblHR[[#This Row],[Age]]&lt;46,"36-45",IF(tblHR[[#This Row],[Age]]&lt;56,"46-55","56+"))))</f>
        <v>36-45</v>
      </c>
    </row>
    <row r="72" spans="1:37"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s="1">
        <v>5473</v>
      </c>
      <c r="T72">
        <v>24668</v>
      </c>
      <c r="U72">
        <v>7</v>
      </c>
      <c r="V72" t="s">
        <v>42</v>
      </c>
      <c r="W72" t="s">
        <v>43</v>
      </c>
      <c r="X72">
        <v>11</v>
      </c>
      <c r="Y72">
        <v>3</v>
      </c>
      <c r="Z72">
        <v>4</v>
      </c>
      <c r="AA72">
        <v>80</v>
      </c>
      <c r="AB72">
        <v>0</v>
      </c>
      <c r="AC72">
        <v>20</v>
      </c>
      <c r="AD72">
        <v>2</v>
      </c>
      <c r="AE72">
        <v>2</v>
      </c>
      <c r="AF72">
        <v>4</v>
      </c>
      <c r="AG72">
        <v>3</v>
      </c>
      <c r="AH72">
        <v>1</v>
      </c>
      <c r="AI72">
        <v>3</v>
      </c>
      <c r="AJ72" s="2">
        <f>IF(tblHR[[#This Row],[Attrition]]="Yes",1,0)</f>
        <v>0</v>
      </c>
      <c r="AK72" t="str">
        <f>IF(tblHR[[#This Row],[Age]]&lt;26,"18-25",IF(tblHR[[#This Row],[Age]]&lt;36,"26-35",IF(tblHR[[#This Row],[Age]]&lt;46,"36-45",IF(tblHR[[#This Row],[Age]]&lt;56,"46-55","56+"))))</f>
        <v>56+</v>
      </c>
    </row>
    <row r="73" spans="1:37"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s="1">
        <v>2703</v>
      </c>
      <c r="T73">
        <v>4956</v>
      </c>
      <c r="U73">
        <v>0</v>
      </c>
      <c r="V73" t="s">
        <v>42</v>
      </c>
      <c r="W73" t="s">
        <v>43</v>
      </c>
      <c r="X73">
        <v>23</v>
      </c>
      <c r="Y73">
        <v>4</v>
      </c>
      <c r="Z73">
        <v>4</v>
      </c>
      <c r="AA73">
        <v>80</v>
      </c>
      <c r="AB73">
        <v>1</v>
      </c>
      <c r="AC73">
        <v>6</v>
      </c>
      <c r="AD73">
        <v>3</v>
      </c>
      <c r="AE73">
        <v>3</v>
      </c>
      <c r="AF73">
        <v>5</v>
      </c>
      <c r="AG73">
        <v>4</v>
      </c>
      <c r="AH73">
        <v>0</v>
      </c>
      <c r="AI73">
        <v>4</v>
      </c>
      <c r="AJ73" s="2">
        <f>IF(tblHR[[#This Row],[Attrition]]="Yes",1,0)</f>
        <v>0</v>
      </c>
      <c r="AK73" t="str">
        <f>IF(tblHR[[#This Row],[Age]]&lt;26,"18-25",IF(tblHR[[#This Row],[Age]]&lt;36,"26-35",IF(tblHR[[#This Row],[Age]]&lt;46,"36-45",IF(tblHR[[#This Row],[Age]]&lt;56,"46-55","56+"))))</f>
        <v>26-35</v>
      </c>
    </row>
    <row r="74" spans="1:37"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s="1">
        <v>2501</v>
      </c>
      <c r="T74">
        <v>18775</v>
      </c>
      <c r="U74">
        <v>1</v>
      </c>
      <c r="V74" t="s">
        <v>42</v>
      </c>
      <c r="W74" t="s">
        <v>43</v>
      </c>
      <c r="X74">
        <v>17</v>
      </c>
      <c r="Y74">
        <v>3</v>
      </c>
      <c r="Z74">
        <v>2</v>
      </c>
      <c r="AA74">
        <v>80</v>
      </c>
      <c r="AB74">
        <v>0</v>
      </c>
      <c r="AC74">
        <v>1</v>
      </c>
      <c r="AD74">
        <v>4</v>
      </c>
      <c r="AE74">
        <v>3</v>
      </c>
      <c r="AF74">
        <v>1</v>
      </c>
      <c r="AG74">
        <v>1</v>
      </c>
      <c r="AH74">
        <v>1</v>
      </c>
      <c r="AI74">
        <v>0</v>
      </c>
      <c r="AJ74" s="2">
        <f>IF(tblHR[[#This Row],[Attrition]]="Yes",1,0)</f>
        <v>0</v>
      </c>
      <c r="AK74" t="str">
        <f>IF(tblHR[[#This Row],[Age]]&lt;26,"18-25",IF(tblHR[[#This Row],[Age]]&lt;36,"26-35",IF(tblHR[[#This Row],[Age]]&lt;46,"36-45",IF(tblHR[[#This Row],[Age]]&lt;56,"46-55","56+"))))</f>
        <v>26-35</v>
      </c>
    </row>
    <row r="75" spans="1:37"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s="1">
        <v>6220</v>
      </c>
      <c r="T75">
        <v>7346</v>
      </c>
      <c r="U75">
        <v>1</v>
      </c>
      <c r="V75" t="s">
        <v>42</v>
      </c>
      <c r="W75" t="s">
        <v>43</v>
      </c>
      <c r="X75">
        <v>17</v>
      </c>
      <c r="Y75">
        <v>3</v>
      </c>
      <c r="Z75">
        <v>2</v>
      </c>
      <c r="AA75">
        <v>80</v>
      </c>
      <c r="AB75">
        <v>2</v>
      </c>
      <c r="AC75">
        <v>10</v>
      </c>
      <c r="AD75">
        <v>3</v>
      </c>
      <c r="AE75">
        <v>3</v>
      </c>
      <c r="AF75">
        <v>10</v>
      </c>
      <c r="AG75">
        <v>4</v>
      </c>
      <c r="AH75">
        <v>0</v>
      </c>
      <c r="AI75">
        <v>9</v>
      </c>
      <c r="AJ75" s="2">
        <f>IF(tblHR[[#This Row],[Attrition]]="Yes",1,0)</f>
        <v>0</v>
      </c>
      <c r="AK75" t="str">
        <f>IF(tblHR[[#This Row],[Age]]&lt;26,"18-25",IF(tblHR[[#This Row],[Age]]&lt;36,"26-35",IF(tblHR[[#This Row],[Age]]&lt;46,"36-45",IF(tblHR[[#This Row],[Age]]&lt;56,"46-55","56+"))))</f>
        <v>26-35</v>
      </c>
    </row>
    <row r="76" spans="1:37"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s="1">
        <v>3038</v>
      </c>
      <c r="T76">
        <v>22002</v>
      </c>
      <c r="U76">
        <v>3</v>
      </c>
      <c r="V76" t="s">
        <v>42</v>
      </c>
      <c r="W76" t="s">
        <v>43</v>
      </c>
      <c r="X76">
        <v>12</v>
      </c>
      <c r="Y76">
        <v>3</v>
      </c>
      <c r="Z76">
        <v>2</v>
      </c>
      <c r="AA76">
        <v>80</v>
      </c>
      <c r="AB76">
        <v>0</v>
      </c>
      <c r="AC76">
        <v>5</v>
      </c>
      <c r="AD76">
        <v>3</v>
      </c>
      <c r="AE76">
        <v>3</v>
      </c>
      <c r="AF76">
        <v>1</v>
      </c>
      <c r="AG76">
        <v>0</v>
      </c>
      <c r="AH76">
        <v>0</v>
      </c>
      <c r="AI76">
        <v>0</v>
      </c>
      <c r="AJ76" s="2">
        <f>IF(tblHR[[#This Row],[Attrition]]="Yes",1,0)</f>
        <v>0</v>
      </c>
      <c r="AK76" t="str">
        <f>IF(tblHR[[#This Row],[Age]]&lt;26,"18-25",IF(tblHR[[#This Row],[Age]]&lt;36,"26-35",IF(tblHR[[#This Row],[Age]]&lt;46,"36-45",IF(tblHR[[#This Row],[Age]]&lt;56,"46-55","56+"))))</f>
        <v>36-45</v>
      </c>
    </row>
    <row r="77" spans="1:37"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s="1">
        <v>4424</v>
      </c>
      <c r="T77">
        <v>20682</v>
      </c>
      <c r="U77">
        <v>1</v>
      </c>
      <c r="V77" t="s">
        <v>42</v>
      </c>
      <c r="W77" t="s">
        <v>43</v>
      </c>
      <c r="X77">
        <v>23</v>
      </c>
      <c r="Y77">
        <v>4</v>
      </c>
      <c r="Z77">
        <v>4</v>
      </c>
      <c r="AA77">
        <v>80</v>
      </c>
      <c r="AB77">
        <v>0</v>
      </c>
      <c r="AC77">
        <v>11</v>
      </c>
      <c r="AD77">
        <v>2</v>
      </c>
      <c r="AE77">
        <v>3</v>
      </c>
      <c r="AF77">
        <v>11</v>
      </c>
      <c r="AG77">
        <v>7</v>
      </c>
      <c r="AH77">
        <v>1</v>
      </c>
      <c r="AI77">
        <v>8</v>
      </c>
      <c r="AJ77" s="2">
        <f>IF(tblHR[[#This Row],[Attrition]]="Yes",1,0)</f>
        <v>0</v>
      </c>
      <c r="AK77" t="str">
        <f>IF(tblHR[[#This Row],[Age]]&lt;26,"18-25",IF(tblHR[[#This Row],[Age]]&lt;36,"26-35",IF(tblHR[[#This Row],[Age]]&lt;46,"36-45",IF(tblHR[[#This Row],[Age]]&lt;56,"46-55","56+"))))</f>
        <v>26-35</v>
      </c>
    </row>
    <row r="78" spans="1:37"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s="1">
        <v>4312</v>
      </c>
      <c r="T78">
        <v>23016</v>
      </c>
      <c r="U78">
        <v>0</v>
      </c>
      <c r="V78" t="s">
        <v>42</v>
      </c>
      <c r="W78" t="s">
        <v>43</v>
      </c>
      <c r="X78">
        <v>14</v>
      </c>
      <c r="Y78">
        <v>3</v>
      </c>
      <c r="Z78">
        <v>2</v>
      </c>
      <c r="AA78">
        <v>80</v>
      </c>
      <c r="AB78">
        <v>0</v>
      </c>
      <c r="AC78">
        <v>16</v>
      </c>
      <c r="AD78">
        <v>2</v>
      </c>
      <c r="AE78">
        <v>3</v>
      </c>
      <c r="AF78">
        <v>15</v>
      </c>
      <c r="AG78">
        <v>13</v>
      </c>
      <c r="AH78">
        <v>2</v>
      </c>
      <c r="AI78">
        <v>8</v>
      </c>
      <c r="AJ78" s="2">
        <f>IF(tblHR[[#This Row],[Attrition]]="Yes",1,0)</f>
        <v>0</v>
      </c>
      <c r="AK78" t="str">
        <f>IF(tblHR[[#This Row],[Age]]&lt;26,"18-25",IF(tblHR[[#This Row],[Age]]&lt;36,"26-35",IF(tblHR[[#This Row],[Age]]&lt;46,"36-45",IF(tblHR[[#This Row],[Age]]&lt;56,"46-55","56+"))))</f>
        <v>26-35</v>
      </c>
    </row>
    <row r="79" spans="1:37"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s="1">
        <v>13245</v>
      </c>
      <c r="T79">
        <v>15067</v>
      </c>
      <c r="U79">
        <v>4</v>
      </c>
      <c r="V79" t="s">
        <v>42</v>
      </c>
      <c r="W79" t="s">
        <v>35</v>
      </c>
      <c r="X79">
        <v>14</v>
      </c>
      <c r="Y79">
        <v>3</v>
      </c>
      <c r="Z79">
        <v>2</v>
      </c>
      <c r="AA79">
        <v>80</v>
      </c>
      <c r="AB79">
        <v>0</v>
      </c>
      <c r="AC79">
        <v>17</v>
      </c>
      <c r="AD79">
        <v>3</v>
      </c>
      <c r="AE79">
        <v>4</v>
      </c>
      <c r="AF79">
        <v>0</v>
      </c>
      <c r="AG79">
        <v>0</v>
      </c>
      <c r="AH79">
        <v>0</v>
      </c>
      <c r="AI79">
        <v>0</v>
      </c>
      <c r="AJ79" s="2">
        <f>IF(tblHR[[#This Row],[Attrition]]="Yes",1,0)</f>
        <v>0</v>
      </c>
      <c r="AK79" t="str">
        <f>IF(tblHR[[#This Row],[Age]]&lt;26,"18-25",IF(tblHR[[#This Row],[Age]]&lt;36,"26-35",IF(tblHR[[#This Row],[Age]]&lt;46,"36-45",IF(tblHR[[#This Row],[Age]]&lt;56,"46-55","56+"))))</f>
        <v>36-45</v>
      </c>
    </row>
    <row r="80" spans="1:37"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s="1">
        <v>13664</v>
      </c>
      <c r="T80">
        <v>25258</v>
      </c>
      <c r="U80">
        <v>4</v>
      </c>
      <c r="V80" t="s">
        <v>42</v>
      </c>
      <c r="W80" t="s">
        <v>43</v>
      </c>
      <c r="X80">
        <v>13</v>
      </c>
      <c r="Y80">
        <v>3</v>
      </c>
      <c r="Z80">
        <v>1</v>
      </c>
      <c r="AA80">
        <v>80</v>
      </c>
      <c r="AB80">
        <v>0</v>
      </c>
      <c r="AC80">
        <v>16</v>
      </c>
      <c r="AD80">
        <v>3</v>
      </c>
      <c r="AE80">
        <v>4</v>
      </c>
      <c r="AF80">
        <v>5</v>
      </c>
      <c r="AG80">
        <v>2</v>
      </c>
      <c r="AH80">
        <v>0</v>
      </c>
      <c r="AI80">
        <v>2</v>
      </c>
      <c r="AJ80" s="2">
        <f>IF(tblHR[[#This Row],[Attrition]]="Yes",1,0)</f>
        <v>0</v>
      </c>
      <c r="AK80" t="str">
        <f>IF(tblHR[[#This Row],[Age]]&lt;26,"18-25",IF(tblHR[[#This Row],[Age]]&lt;36,"26-35",IF(tblHR[[#This Row],[Age]]&lt;46,"36-45",IF(tblHR[[#This Row],[Age]]&lt;56,"46-55","56+"))))</f>
        <v>36-45</v>
      </c>
    </row>
    <row r="81" spans="1:37"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s="1">
        <v>5021</v>
      </c>
      <c r="T81">
        <v>10425</v>
      </c>
      <c r="U81">
        <v>8</v>
      </c>
      <c r="V81" t="s">
        <v>42</v>
      </c>
      <c r="W81" t="s">
        <v>35</v>
      </c>
      <c r="X81">
        <v>22</v>
      </c>
      <c r="Y81">
        <v>4</v>
      </c>
      <c r="Z81">
        <v>4</v>
      </c>
      <c r="AA81">
        <v>80</v>
      </c>
      <c r="AB81">
        <v>1</v>
      </c>
      <c r="AC81">
        <v>16</v>
      </c>
      <c r="AD81">
        <v>2</v>
      </c>
      <c r="AE81">
        <v>3</v>
      </c>
      <c r="AF81">
        <v>4</v>
      </c>
      <c r="AG81">
        <v>2</v>
      </c>
      <c r="AH81">
        <v>0</v>
      </c>
      <c r="AI81">
        <v>2</v>
      </c>
      <c r="AJ81" s="2">
        <f>IF(tblHR[[#This Row],[Attrition]]="Yes",1,0)</f>
        <v>0</v>
      </c>
      <c r="AK81" t="str">
        <f>IF(tblHR[[#This Row],[Age]]&lt;26,"18-25",IF(tblHR[[#This Row],[Age]]&lt;36,"26-35",IF(tblHR[[#This Row],[Age]]&lt;46,"36-45",IF(tblHR[[#This Row],[Age]]&lt;56,"46-55","56+"))))</f>
        <v>46-55</v>
      </c>
    </row>
    <row r="82" spans="1:37"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s="1">
        <v>5126</v>
      </c>
      <c r="T82">
        <v>15998</v>
      </c>
      <c r="U82">
        <v>1</v>
      </c>
      <c r="V82" t="s">
        <v>42</v>
      </c>
      <c r="W82" t="s">
        <v>35</v>
      </c>
      <c r="X82">
        <v>12</v>
      </c>
      <c r="Y82">
        <v>3</v>
      </c>
      <c r="Z82">
        <v>3</v>
      </c>
      <c r="AA82">
        <v>80</v>
      </c>
      <c r="AB82">
        <v>2</v>
      </c>
      <c r="AC82">
        <v>10</v>
      </c>
      <c r="AD82">
        <v>1</v>
      </c>
      <c r="AE82">
        <v>2</v>
      </c>
      <c r="AF82">
        <v>10</v>
      </c>
      <c r="AG82">
        <v>8</v>
      </c>
      <c r="AH82">
        <v>3</v>
      </c>
      <c r="AI82">
        <v>0</v>
      </c>
      <c r="AJ82" s="2">
        <f>IF(tblHR[[#This Row],[Attrition]]="Yes",1,0)</f>
        <v>0</v>
      </c>
      <c r="AK82" t="str">
        <f>IF(tblHR[[#This Row],[Age]]&lt;26,"18-25",IF(tblHR[[#This Row],[Age]]&lt;36,"26-35",IF(tblHR[[#This Row],[Age]]&lt;46,"36-45",IF(tblHR[[#This Row],[Age]]&lt;56,"46-55","56+"))))</f>
        <v>26-35</v>
      </c>
    </row>
    <row r="83" spans="1:37"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s="1">
        <v>2859</v>
      </c>
      <c r="T83">
        <v>26278</v>
      </c>
      <c r="U83">
        <v>1</v>
      </c>
      <c r="V83" t="s">
        <v>42</v>
      </c>
      <c r="W83" t="s">
        <v>43</v>
      </c>
      <c r="X83">
        <v>18</v>
      </c>
      <c r="Y83">
        <v>3</v>
      </c>
      <c r="Z83">
        <v>1</v>
      </c>
      <c r="AA83">
        <v>80</v>
      </c>
      <c r="AB83">
        <v>0</v>
      </c>
      <c r="AC83">
        <v>6</v>
      </c>
      <c r="AD83">
        <v>3</v>
      </c>
      <c r="AE83">
        <v>3</v>
      </c>
      <c r="AF83">
        <v>6</v>
      </c>
      <c r="AG83">
        <v>4</v>
      </c>
      <c r="AH83">
        <v>0</v>
      </c>
      <c r="AI83">
        <v>4</v>
      </c>
      <c r="AJ83" s="2">
        <f>IF(tblHR[[#This Row],[Attrition]]="Yes",1,0)</f>
        <v>0</v>
      </c>
      <c r="AK83" t="str">
        <f>IF(tblHR[[#This Row],[Age]]&lt;26,"18-25",IF(tblHR[[#This Row],[Age]]&lt;36,"26-35",IF(tblHR[[#This Row],[Age]]&lt;46,"36-45",IF(tblHR[[#This Row],[Age]]&lt;56,"46-55","56+"))))</f>
        <v>26-35</v>
      </c>
    </row>
    <row r="84" spans="1:37"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s="1">
        <v>10239</v>
      </c>
      <c r="T84">
        <v>18092</v>
      </c>
      <c r="U84">
        <v>3</v>
      </c>
      <c r="V84" t="s">
        <v>42</v>
      </c>
      <c r="W84" t="s">
        <v>43</v>
      </c>
      <c r="X84">
        <v>14</v>
      </c>
      <c r="Y84">
        <v>3</v>
      </c>
      <c r="Z84">
        <v>4</v>
      </c>
      <c r="AA84">
        <v>80</v>
      </c>
      <c r="AB84">
        <v>1</v>
      </c>
      <c r="AC84">
        <v>24</v>
      </c>
      <c r="AD84">
        <v>4</v>
      </c>
      <c r="AE84">
        <v>3</v>
      </c>
      <c r="AF84">
        <v>1</v>
      </c>
      <c r="AG84">
        <v>0</v>
      </c>
      <c r="AH84">
        <v>1</v>
      </c>
      <c r="AI84">
        <v>0</v>
      </c>
      <c r="AJ84" s="2">
        <f>IF(tblHR[[#This Row],[Attrition]]="Yes",1,0)</f>
        <v>0</v>
      </c>
      <c r="AK84" t="str">
        <f>IF(tblHR[[#This Row],[Age]]&lt;26,"18-25",IF(tblHR[[#This Row],[Age]]&lt;36,"26-35",IF(tblHR[[#This Row],[Age]]&lt;46,"36-45",IF(tblHR[[#This Row],[Age]]&lt;56,"46-55","56+"))))</f>
        <v>46-55</v>
      </c>
    </row>
    <row r="85" spans="1:37"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s="1">
        <v>5329</v>
      </c>
      <c r="T85">
        <v>15717</v>
      </c>
      <c r="U85">
        <v>7</v>
      </c>
      <c r="V85" t="s">
        <v>42</v>
      </c>
      <c r="W85" t="s">
        <v>35</v>
      </c>
      <c r="X85">
        <v>12</v>
      </c>
      <c r="Y85">
        <v>3</v>
      </c>
      <c r="Z85">
        <v>4</v>
      </c>
      <c r="AA85">
        <v>80</v>
      </c>
      <c r="AB85">
        <v>3</v>
      </c>
      <c r="AC85">
        <v>17</v>
      </c>
      <c r="AD85">
        <v>3</v>
      </c>
      <c r="AE85">
        <v>3</v>
      </c>
      <c r="AF85">
        <v>13</v>
      </c>
      <c r="AG85">
        <v>11</v>
      </c>
      <c r="AH85">
        <v>1</v>
      </c>
      <c r="AI85">
        <v>9</v>
      </c>
      <c r="AJ85" s="2">
        <f>IF(tblHR[[#This Row],[Attrition]]="Yes",1,0)</f>
        <v>0</v>
      </c>
      <c r="AK85" t="str">
        <f>IF(tblHR[[#This Row],[Age]]&lt;26,"18-25",IF(tblHR[[#This Row],[Age]]&lt;36,"26-35",IF(tblHR[[#This Row],[Age]]&lt;46,"36-45",IF(tblHR[[#This Row],[Age]]&lt;56,"46-55","56+"))))</f>
        <v>36-45</v>
      </c>
    </row>
    <row r="86" spans="1:37"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s="1">
        <v>4325</v>
      </c>
      <c r="T86">
        <v>17736</v>
      </c>
      <c r="U86">
        <v>1</v>
      </c>
      <c r="V86" t="s">
        <v>42</v>
      </c>
      <c r="W86" t="s">
        <v>43</v>
      </c>
      <c r="X86">
        <v>15</v>
      </c>
      <c r="Y86">
        <v>3</v>
      </c>
      <c r="Z86">
        <v>3</v>
      </c>
      <c r="AA86">
        <v>80</v>
      </c>
      <c r="AB86">
        <v>0</v>
      </c>
      <c r="AC86">
        <v>5</v>
      </c>
      <c r="AD86">
        <v>2</v>
      </c>
      <c r="AE86">
        <v>3</v>
      </c>
      <c r="AF86">
        <v>5</v>
      </c>
      <c r="AG86">
        <v>2</v>
      </c>
      <c r="AH86">
        <v>1</v>
      </c>
      <c r="AI86">
        <v>3</v>
      </c>
      <c r="AJ86" s="2">
        <f>IF(tblHR[[#This Row],[Attrition]]="Yes",1,0)</f>
        <v>0</v>
      </c>
      <c r="AK86" t="str">
        <f>IF(tblHR[[#This Row],[Age]]&lt;26,"18-25",IF(tblHR[[#This Row],[Age]]&lt;36,"26-35",IF(tblHR[[#This Row],[Age]]&lt;46,"36-45",IF(tblHR[[#This Row],[Age]]&lt;56,"46-55","56+"))))</f>
        <v>26-35</v>
      </c>
    </row>
    <row r="87" spans="1:37"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s="1">
        <v>7260</v>
      </c>
      <c r="T87">
        <v>21698</v>
      </c>
      <c r="U87">
        <v>4</v>
      </c>
      <c r="V87" t="s">
        <v>42</v>
      </c>
      <c r="W87" t="s">
        <v>43</v>
      </c>
      <c r="X87">
        <v>11</v>
      </c>
      <c r="Y87">
        <v>3</v>
      </c>
      <c r="Z87">
        <v>1</v>
      </c>
      <c r="AA87">
        <v>80</v>
      </c>
      <c r="AB87">
        <v>0</v>
      </c>
      <c r="AC87">
        <v>37</v>
      </c>
      <c r="AD87">
        <v>3</v>
      </c>
      <c r="AE87">
        <v>2</v>
      </c>
      <c r="AF87">
        <v>6</v>
      </c>
      <c r="AG87">
        <v>4</v>
      </c>
      <c r="AH87">
        <v>0</v>
      </c>
      <c r="AI87">
        <v>2</v>
      </c>
      <c r="AJ87" s="2">
        <f>IF(tblHR[[#This Row],[Attrition]]="Yes",1,0)</f>
        <v>0</v>
      </c>
      <c r="AK87" t="str">
        <f>IF(tblHR[[#This Row],[Age]]&lt;26,"18-25",IF(tblHR[[#This Row],[Age]]&lt;36,"26-35",IF(tblHR[[#This Row],[Age]]&lt;46,"36-45",IF(tblHR[[#This Row],[Age]]&lt;56,"46-55","56+"))))</f>
        <v>56+</v>
      </c>
    </row>
    <row r="88" spans="1:37"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s="1">
        <v>2322</v>
      </c>
      <c r="T88">
        <v>9518</v>
      </c>
      <c r="U88">
        <v>3</v>
      </c>
      <c r="V88" t="s">
        <v>42</v>
      </c>
      <c r="W88" t="s">
        <v>43</v>
      </c>
      <c r="X88">
        <v>13</v>
      </c>
      <c r="Y88">
        <v>3</v>
      </c>
      <c r="Z88">
        <v>3</v>
      </c>
      <c r="AA88">
        <v>80</v>
      </c>
      <c r="AB88">
        <v>1</v>
      </c>
      <c r="AC88">
        <v>3</v>
      </c>
      <c r="AD88">
        <v>3</v>
      </c>
      <c r="AE88">
        <v>3</v>
      </c>
      <c r="AF88">
        <v>0</v>
      </c>
      <c r="AG88">
        <v>0</v>
      </c>
      <c r="AH88">
        <v>0</v>
      </c>
      <c r="AI88">
        <v>0</v>
      </c>
      <c r="AJ88" s="2">
        <f>IF(tblHR[[#This Row],[Attrition]]="Yes",1,0)</f>
        <v>0</v>
      </c>
      <c r="AK88" t="str">
        <f>IF(tblHR[[#This Row],[Age]]&lt;26,"18-25",IF(tblHR[[#This Row],[Age]]&lt;36,"26-35",IF(tblHR[[#This Row],[Age]]&lt;46,"36-45",IF(tblHR[[#This Row],[Age]]&lt;56,"46-55","56+"))))</f>
        <v>18-25</v>
      </c>
    </row>
    <row r="89" spans="1:37"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s="1">
        <v>2075</v>
      </c>
      <c r="T89">
        <v>18725</v>
      </c>
      <c r="U89">
        <v>3</v>
      </c>
      <c r="V89" t="s">
        <v>42</v>
      </c>
      <c r="W89" t="s">
        <v>43</v>
      </c>
      <c r="X89">
        <v>23</v>
      </c>
      <c r="Y89">
        <v>4</v>
      </c>
      <c r="Z89">
        <v>2</v>
      </c>
      <c r="AA89">
        <v>80</v>
      </c>
      <c r="AB89">
        <v>2</v>
      </c>
      <c r="AC89">
        <v>10</v>
      </c>
      <c r="AD89">
        <v>4</v>
      </c>
      <c r="AE89">
        <v>3</v>
      </c>
      <c r="AF89">
        <v>4</v>
      </c>
      <c r="AG89">
        <v>2</v>
      </c>
      <c r="AH89">
        <v>0</v>
      </c>
      <c r="AI89">
        <v>3</v>
      </c>
      <c r="AJ89" s="2">
        <f>IF(tblHR[[#This Row],[Attrition]]="Yes",1,0)</f>
        <v>0</v>
      </c>
      <c r="AK89" t="str">
        <f>IF(tblHR[[#This Row],[Age]]&lt;26,"18-25",IF(tblHR[[#This Row],[Age]]&lt;36,"26-35",IF(tblHR[[#This Row],[Age]]&lt;46,"36-45",IF(tblHR[[#This Row],[Age]]&lt;56,"46-55","56+"))))</f>
        <v>46-55</v>
      </c>
    </row>
    <row r="90" spans="1:37"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s="1">
        <v>4152</v>
      </c>
      <c r="T90">
        <v>15830</v>
      </c>
      <c r="U90">
        <v>1</v>
      </c>
      <c r="V90" t="s">
        <v>42</v>
      </c>
      <c r="W90" t="s">
        <v>43</v>
      </c>
      <c r="X90">
        <v>19</v>
      </c>
      <c r="Y90">
        <v>3</v>
      </c>
      <c r="Z90">
        <v>1</v>
      </c>
      <c r="AA90">
        <v>80</v>
      </c>
      <c r="AB90">
        <v>3</v>
      </c>
      <c r="AC90">
        <v>11</v>
      </c>
      <c r="AD90">
        <v>3</v>
      </c>
      <c r="AE90">
        <v>3</v>
      </c>
      <c r="AF90">
        <v>11</v>
      </c>
      <c r="AG90">
        <v>10</v>
      </c>
      <c r="AH90">
        <v>10</v>
      </c>
      <c r="AI90">
        <v>8</v>
      </c>
      <c r="AJ90" s="2">
        <f>IF(tblHR[[#This Row],[Attrition]]="Yes",1,0)</f>
        <v>0</v>
      </c>
      <c r="AK90" t="str">
        <f>IF(tblHR[[#This Row],[Age]]&lt;26,"18-25",IF(tblHR[[#This Row],[Age]]&lt;36,"26-35",IF(tblHR[[#This Row],[Age]]&lt;46,"36-45",IF(tblHR[[#This Row],[Age]]&lt;56,"46-55","56+"))))</f>
        <v>26-35</v>
      </c>
    </row>
    <row r="91" spans="1:37"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s="1">
        <v>9619</v>
      </c>
      <c r="T91">
        <v>13596</v>
      </c>
      <c r="U91">
        <v>1</v>
      </c>
      <c r="V91" t="s">
        <v>42</v>
      </c>
      <c r="W91" t="s">
        <v>43</v>
      </c>
      <c r="X91">
        <v>16</v>
      </c>
      <c r="Y91">
        <v>3</v>
      </c>
      <c r="Z91">
        <v>4</v>
      </c>
      <c r="AA91">
        <v>80</v>
      </c>
      <c r="AB91">
        <v>0</v>
      </c>
      <c r="AC91">
        <v>9</v>
      </c>
      <c r="AD91">
        <v>3</v>
      </c>
      <c r="AE91">
        <v>3</v>
      </c>
      <c r="AF91">
        <v>9</v>
      </c>
      <c r="AG91">
        <v>8</v>
      </c>
      <c r="AH91">
        <v>4</v>
      </c>
      <c r="AI91">
        <v>7</v>
      </c>
      <c r="AJ91" s="2">
        <f>IF(tblHR[[#This Row],[Attrition]]="Yes",1,0)</f>
        <v>1</v>
      </c>
      <c r="AK91" t="str">
        <f>IF(tblHR[[#This Row],[Age]]&lt;26,"18-25",IF(tblHR[[#This Row],[Age]]&lt;36,"26-35",IF(tblHR[[#This Row],[Age]]&lt;46,"36-45",IF(tblHR[[#This Row],[Age]]&lt;56,"46-55","56+"))))</f>
        <v>46-55</v>
      </c>
    </row>
    <row r="92" spans="1:37"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s="1">
        <v>13503</v>
      </c>
      <c r="T92">
        <v>14115</v>
      </c>
      <c r="U92">
        <v>1</v>
      </c>
      <c r="V92" t="s">
        <v>42</v>
      </c>
      <c r="W92" t="s">
        <v>43</v>
      </c>
      <c r="X92">
        <v>22</v>
      </c>
      <c r="Y92">
        <v>4</v>
      </c>
      <c r="Z92">
        <v>4</v>
      </c>
      <c r="AA92">
        <v>80</v>
      </c>
      <c r="AB92">
        <v>1</v>
      </c>
      <c r="AC92">
        <v>22</v>
      </c>
      <c r="AD92">
        <v>3</v>
      </c>
      <c r="AE92">
        <v>2</v>
      </c>
      <c r="AF92">
        <v>22</v>
      </c>
      <c r="AG92">
        <v>3</v>
      </c>
      <c r="AH92">
        <v>11</v>
      </c>
      <c r="AI92">
        <v>11</v>
      </c>
      <c r="AJ92" s="2">
        <f>IF(tblHR[[#This Row],[Attrition]]="Yes",1,0)</f>
        <v>0</v>
      </c>
      <c r="AK92" t="str">
        <f>IF(tblHR[[#This Row],[Age]]&lt;26,"18-25",IF(tblHR[[#This Row],[Age]]&lt;36,"26-35",IF(tblHR[[#This Row],[Age]]&lt;46,"36-45",IF(tblHR[[#This Row],[Age]]&lt;56,"46-55","56+"))))</f>
        <v>36-45</v>
      </c>
    </row>
    <row r="93" spans="1:37"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s="1">
        <v>5441</v>
      </c>
      <c r="T93">
        <v>8423</v>
      </c>
      <c r="U93">
        <v>0</v>
      </c>
      <c r="V93" t="s">
        <v>42</v>
      </c>
      <c r="W93" t="s">
        <v>35</v>
      </c>
      <c r="X93">
        <v>22</v>
      </c>
      <c r="Y93">
        <v>4</v>
      </c>
      <c r="Z93">
        <v>4</v>
      </c>
      <c r="AA93">
        <v>80</v>
      </c>
      <c r="AB93">
        <v>0</v>
      </c>
      <c r="AC93">
        <v>11</v>
      </c>
      <c r="AD93">
        <v>2</v>
      </c>
      <c r="AE93">
        <v>1</v>
      </c>
      <c r="AF93">
        <v>10</v>
      </c>
      <c r="AG93">
        <v>7</v>
      </c>
      <c r="AH93">
        <v>1</v>
      </c>
      <c r="AI93">
        <v>0</v>
      </c>
      <c r="AJ93" s="2">
        <f>IF(tblHR[[#This Row],[Attrition]]="Yes",1,0)</f>
        <v>0</v>
      </c>
      <c r="AK93" t="str">
        <f>IF(tblHR[[#This Row],[Age]]&lt;26,"18-25",IF(tblHR[[#This Row],[Age]]&lt;36,"26-35",IF(tblHR[[#This Row],[Age]]&lt;46,"36-45",IF(tblHR[[#This Row],[Age]]&lt;56,"46-55","56+"))))</f>
        <v>46-55</v>
      </c>
    </row>
    <row r="94" spans="1:37"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s="1">
        <v>5209</v>
      </c>
      <c r="T94">
        <v>19760</v>
      </c>
      <c r="U94">
        <v>1</v>
      </c>
      <c r="V94" t="s">
        <v>42</v>
      </c>
      <c r="W94" t="s">
        <v>35</v>
      </c>
      <c r="X94">
        <v>12</v>
      </c>
      <c r="Y94">
        <v>3</v>
      </c>
      <c r="Z94">
        <v>2</v>
      </c>
      <c r="AA94">
        <v>80</v>
      </c>
      <c r="AB94">
        <v>3</v>
      </c>
      <c r="AC94">
        <v>11</v>
      </c>
      <c r="AD94">
        <v>4</v>
      </c>
      <c r="AE94">
        <v>2</v>
      </c>
      <c r="AF94">
        <v>11</v>
      </c>
      <c r="AG94">
        <v>8</v>
      </c>
      <c r="AH94">
        <v>2</v>
      </c>
      <c r="AI94">
        <v>7</v>
      </c>
      <c r="AJ94" s="2">
        <f>IF(tblHR[[#This Row],[Attrition]]="Yes",1,0)</f>
        <v>0</v>
      </c>
      <c r="AK94" t="str">
        <f>IF(tblHR[[#This Row],[Age]]&lt;26,"18-25",IF(tblHR[[#This Row],[Age]]&lt;36,"26-35",IF(tblHR[[#This Row],[Age]]&lt;46,"36-45",IF(tblHR[[#This Row],[Age]]&lt;56,"46-55","56+"))))</f>
        <v>26-35</v>
      </c>
    </row>
    <row r="95" spans="1:37"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s="1">
        <v>10673</v>
      </c>
      <c r="T95">
        <v>3142</v>
      </c>
      <c r="U95">
        <v>2</v>
      </c>
      <c r="V95" t="s">
        <v>42</v>
      </c>
      <c r="W95" t="s">
        <v>35</v>
      </c>
      <c r="X95">
        <v>13</v>
      </c>
      <c r="Y95">
        <v>3</v>
      </c>
      <c r="Z95">
        <v>3</v>
      </c>
      <c r="AA95">
        <v>80</v>
      </c>
      <c r="AB95">
        <v>1</v>
      </c>
      <c r="AC95">
        <v>21</v>
      </c>
      <c r="AD95">
        <v>5</v>
      </c>
      <c r="AE95">
        <v>2</v>
      </c>
      <c r="AF95">
        <v>10</v>
      </c>
      <c r="AG95">
        <v>9</v>
      </c>
      <c r="AH95">
        <v>9</v>
      </c>
      <c r="AI95">
        <v>5</v>
      </c>
      <c r="AJ95" s="2">
        <f>IF(tblHR[[#This Row],[Attrition]]="Yes",1,0)</f>
        <v>0</v>
      </c>
      <c r="AK95" t="str">
        <f>IF(tblHR[[#This Row],[Age]]&lt;26,"18-25",IF(tblHR[[#This Row],[Age]]&lt;36,"26-35",IF(tblHR[[#This Row],[Age]]&lt;46,"36-45",IF(tblHR[[#This Row],[Age]]&lt;56,"46-55","56+"))))</f>
        <v>46-55</v>
      </c>
    </row>
    <row r="96" spans="1:37"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s="1">
        <v>5010</v>
      </c>
      <c r="T96">
        <v>24301</v>
      </c>
      <c r="U96">
        <v>1</v>
      </c>
      <c r="V96" t="s">
        <v>42</v>
      </c>
      <c r="W96" t="s">
        <v>43</v>
      </c>
      <c r="X96">
        <v>16</v>
      </c>
      <c r="Y96">
        <v>3</v>
      </c>
      <c r="Z96">
        <v>1</v>
      </c>
      <c r="AA96">
        <v>80</v>
      </c>
      <c r="AB96">
        <v>0</v>
      </c>
      <c r="AC96">
        <v>12</v>
      </c>
      <c r="AD96">
        <v>0</v>
      </c>
      <c r="AE96">
        <v>3</v>
      </c>
      <c r="AF96">
        <v>11</v>
      </c>
      <c r="AG96">
        <v>8</v>
      </c>
      <c r="AH96">
        <v>5</v>
      </c>
      <c r="AI96">
        <v>7</v>
      </c>
      <c r="AJ96" s="2">
        <f>IF(tblHR[[#This Row],[Attrition]]="Yes",1,0)</f>
        <v>0</v>
      </c>
      <c r="AK96" t="str">
        <f>IF(tblHR[[#This Row],[Age]]&lt;26,"18-25",IF(tblHR[[#This Row],[Age]]&lt;36,"26-35",IF(tblHR[[#This Row],[Age]]&lt;46,"36-45",IF(tblHR[[#This Row],[Age]]&lt;56,"46-55","56+"))))</f>
        <v>26-35</v>
      </c>
    </row>
    <row r="97" spans="1:37"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s="1">
        <v>13549</v>
      </c>
      <c r="T97">
        <v>24001</v>
      </c>
      <c r="U97">
        <v>9</v>
      </c>
      <c r="V97" t="s">
        <v>42</v>
      </c>
      <c r="W97" t="s">
        <v>43</v>
      </c>
      <c r="X97">
        <v>12</v>
      </c>
      <c r="Y97">
        <v>3</v>
      </c>
      <c r="Z97">
        <v>1</v>
      </c>
      <c r="AA97">
        <v>80</v>
      </c>
      <c r="AB97">
        <v>1</v>
      </c>
      <c r="AC97">
        <v>16</v>
      </c>
      <c r="AD97">
        <v>5</v>
      </c>
      <c r="AE97">
        <v>1</v>
      </c>
      <c r="AF97">
        <v>4</v>
      </c>
      <c r="AG97">
        <v>3</v>
      </c>
      <c r="AH97">
        <v>0</v>
      </c>
      <c r="AI97">
        <v>3</v>
      </c>
      <c r="AJ97" s="2">
        <f>IF(tblHR[[#This Row],[Attrition]]="Yes",1,0)</f>
        <v>0</v>
      </c>
      <c r="AK97" t="str">
        <f>IF(tblHR[[#This Row],[Age]]&lt;26,"18-25",IF(tblHR[[#This Row],[Age]]&lt;36,"26-35",IF(tblHR[[#This Row],[Age]]&lt;46,"36-45",IF(tblHR[[#This Row],[Age]]&lt;56,"46-55","56+"))))</f>
        <v>46-55</v>
      </c>
    </row>
    <row r="98" spans="1:37"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s="1">
        <v>4999</v>
      </c>
      <c r="T98">
        <v>17519</v>
      </c>
      <c r="U98">
        <v>0</v>
      </c>
      <c r="V98" t="s">
        <v>42</v>
      </c>
      <c r="W98" t="s">
        <v>43</v>
      </c>
      <c r="X98">
        <v>21</v>
      </c>
      <c r="Y98">
        <v>4</v>
      </c>
      <c r="Z98">
        <v>1</v>
      </c>
      <c r="AA98">
        <v>80</v>
      </c>
      <c r="AB98">
        <v>1</v>
      </c>
      <c r="AC98">
        <v>4</v>
      </c>
      <c r="AD98">
        <v>2</v>
      </c>
      <c r="AE98">
        <v>2</v>
      </c>
      <c r="AF98">
        <v>3</v>
      </c>
      <c r="AG98">
        <v>2</v>
      </c>
      <c r="AH98">
        <v>0</v>
      </c>
      <c r="AI98">
        <v>2</v>
      </c>
      <c r="AJ98" s="2">
        <f>IF(tblHR[[#This Row],[Attrition]]="Yes",1,0)</f>
        <v>0</v>
      </c>
      <c r="AK98" t="str">
        <f>IF(tblHR[[#This Row],[Age]]&lt;26,"18-25",IF(tblHR[[#This Row],[Age]]&lt;36,"26-35",IF(tblHR[[#This Row],[Age]]&lt;46,"36-45",IF(tblHR[[#This Row],[Age]]&lt;56,"46-55","56+"))))</f>
        <v>18-25</v>
      </c>
    </row>
    <row r="99" spans="1:37"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s="1">
        <v>4221</v>
      </c>
      <c r="T99">
        <v>8863</v>
      </c>
      <c r="U99">
        <v>1</v>
      </c>
      <c r="V99" t="s">
        <v>42</v>
      </c>
      <c r="W99" t="s">
        <v>43</v>
      </c>
      <c r="X99">
        <v>15</v>
      </c>
      <c r="Y99">
        <v>3</v>
      </c>
      <c r="Z99">
        <v>2</v>
      </c>
      <c r="AA99">
        <v>80</v>
      </c>
      <c r="AB99">
        <v>0</v>
      </c>
      <c r="AC99">
        <v>5</v>
      </c>
      <c r="AD99">
        <v>3</v>
      </c>
      <c r="AE99">
        <v>4</v>
      </c>
      <c r="AF99">
        <v>5</v>
      </c>
      <c r="AG99">
        <v>4</v>
      </c>
      <c r="AH99">
        <v>0</v>
      </c>
      <c r="AI99">
        <v>4</v>
      </c>
      <c r="AJ99" s="2">
        <f>IF(tblHR[[#This Row],[Attrition]]="Yes",1,0)</f>
        <v>0</v>
      </c>
      <c r="AK99" t="str">
        <f>IF(tblHR[[#This Row],[Age]]&lt;26,"18-25",IF(tblHR[[#This Row],[Age]]&lt;36,"26-35",IF(tblHR[[#This Row],[Age]]&lt;46,"36-45",IF(tblHR[[#This Row],[Age]]&lt;56,"46-55","56+"))))</f>
        <v>26-35</v>
      </c>
    </row>
    <row r="100" spans="1:37"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s="1">
        <v>13872</v>
      </c>
      <c r="T100">
        <v>24409</v>
      </c>
      <c r="U100">
        <v>0</v>
      </c>
      <c r="V100" t="s">
        <v>42</v>
      </c>
      <c r="W100" t="s">
        <v>43</v>
      </c>
      <c r="X100">
        <v>13</v>
      </c>
      <c r="Y100">
        <v>3</v>
      </c>
      <c r="Z100">
        <v>3</v>
      </c>
      <c r="AA100">
        <v>80</v>
      </c>
      <c r="AB100">
        <v>0</v>
      </c>
      <c r="AC100">
        <v>38</v>
      </c>
      <c r="AD100">
        <v>1</v>
      </c>
      <c r="AE100">
        <v>2</v>
      </c>
      <c r="AF100">
        <v>37</v>
      </c>
      <c r="AG100">
        <v>10</v>
      </c>
      <c r="AH100">
        <v>1</v>
      </c>
      <c r="AI100">
        <v>8</v>
      </c>
      <c r="AJ100" s="2">
        <f>IF(tblHR[[#This Row],[Attrition]]="Yes",1,0)</f>
        <v>0</v>
      </c>
      <c r="AK100" t="str">
        <f>IF(tblHR[[#This Row],[Age]]&lt;26,"18-25",IF(tblHR[[#This Row],[Age]]&lt;36,"26-35",IF(tblHR[[#This Row],[Age]]&lt;46,"36-45",IF(tblHR[[#This Row],[Age]]&lt;56,"46-55","56+"))))</f>
        <v>56+</v>
      </c>
    </row>
    <row r="101" spans="1:37"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s="1">
        <v>2042</v>
      </c>
      <c r="T101">
        <v>25043</v>
      </c>
      <c r="U101">
        <v>4</v>
      </c>
      <c r="V101" t="s">
        <v>42</v>
      </c>
      <c r="W101" t="s">
        <v>43</v>
      </c>
      <c r="X101">
        <v>12</v>
      </c>
      <c r="Y101">
        <v>3</v>
      </c>
      <c r="Z101">
        <v>3</v>
      </c>
      <c r="AA101">
        <v>80</v>
      </c>
      <c r="AB101">
        <v>1</v>
      </c>
      <c r="AC101">
        <v>17</v>
      </c>
      <c r="AD101">
        <v>3</v>
      </c>
      <c r="AE101">
        <v>4</v>
      </c>
      <c r="AF101">
        <v>3</v>
      </c>
      <c r="AG101">
        <v>2</v>
      </c>
      <c r="AH101">
        <v>1</v>
      </c>
      <c r="AI101">
        <v>2</v>
      </c>
      <c r="AJ101" s="2">
        <f>IF(tblHR[[#This Row],[Attrition]]="Yes",1,0)</f>
        <v>0</v>
      </c>
      <c r="AK101" t="str">
        <f>IF(tblHR[[#This Row],[Age]]&lt;26,"18-25",IF(tblHR[[#This Row],[Age]]&lt;36,"26-35",IF(tblHR[[#This Row],[Age]]&lt;46,"36-45",IF(tblHR[[#This Row],[Age]]&lt;56,"46-55","56+"))))</f>
        <v>36-45</v>
      </c>
    </row>
    <row r="102" spans="1:37"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s="1">
        <v>2073</v>
      </c>
      <c r="T102">
        <v>23648</v>
      </c>
      <c r="U102">
        <v>4</v>
      </c>
      <c r="V102" t="s">
        <v>42</v>
      </c>
      <c r="W102" t="s">
        <v>35</v>
      </c>
      <c r="X102">
        <v>22</v>
      </c>
      <c r="Y102">
        <v>4</v>
      </c>
      <c r="Z102">
        <v>4</v>
      </c>
      <c r="AA102">
        <v>80</v>
      </c>
      <c r="AB102">
        <v>0</v>
      </c>
      <c r="AC102">
        <v>7</v>
      </c>
      <c r="AD102">
        <v>3</v>
      </c>
      <c r="AE102">
        <v>3</v>
      </c>
      <c r="AF102">
        <v>3</v>
      </c>
      <c r="AG102">
        <v>2</v>
      </c>
      <c r="AH102">
        <v>0</v>
      </c>
      <c r="AI102">
        <v>2</v>
      </c>
      <c r="AJ102" s="2">
        <f>IF(tblHR[[#This Row],[Attrition]]="Yes",1,0)</f>
        <v>1</v>
      </c>
      <c r="AK102" t="str">
        <f>IF(tblHR[[#This Row],[Age]]&lt;26,"18-25",IF(tblHR[[#This Row],[Age]]&lt;36,"26-35",IF(tblHR[[#This Row],[Age]]&lt;46,"36-45",IF(tblHR[[#This Row],[Age]]&lt;56,"46-55","56+"))))</f>
        <v>36-45</v>
      </c>
    </row>
    <row r="103" spans="1:37"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s="1">
        <v>2956</v>
      </c>
      <c r="T103">
        <v>15178</v>
      </c>
      <c r="U103">
        <v>1</v>
      </c>
      <c r="V103" t="s">
        <v>42</v>
      </c>
      <c r="W103" t="s">
        <v>43</v>
      </c>
      <c r="X103">
        <v>13</v>
      </c>
      <c r="Y103">
        <v>3</v>
      </c>
      <c r="Z103">
        <v>4</v>
      </c>
      <c r="AA103">
        <v>80</v>
      </c>
      <c r="AB103">
        <v>0</v>
      </c>
      <c r="AC103">
        <v>1</v>
      </c>
      <c r="AD103">
        <v>2</v>
      </c>
      <c r="AE103">
        <v>3</v>
      </c>
      <c r="AF103">
        <v>1</v>
      </c>
      <c r="AG103">
        <v>0</v>
      </c>
      <c r="AH103">
        <v>0</v>
      </c>
      <c r="AI103">
        <v>0</v>
      </c>
      <c r="AJ103" s="2">
        <f>IF(tblHR[[#This Row],[Attrition]]="Yes",1,0)</f>
        <v>0</v>
      </c>
      <c r="AK103" t="str">
        <f>IF(tblHR[[#This Row],[Age]]&lt;26,"18-25",IF(tblHR[[#This Row],[Age]]&lt;36,"26-35",IF(tblHR[[#This Row],[Age]]&lt;46,"36-45",IF(tblHR[[#This Row],[Age]]&lt;56,"46-55","56+"))))</f>
        <v>26-35</v>
      </c>
    </row>
    <row r="104" spans="1:37"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s="1">
        <v>2926</v>
      </c>
      <c r="T104">
        <v>19783</v>
      </c>
      <c r="U104">
        <v>1</v>
      </c>
      <c r="V104" t="s">
        <v>42</v>
      </c>
      <c r="W104" t="s">
        <v>35</v>
      </c>
      <c r="X104">
        <v>18</v>
      </c>
      <c r="Y104">
        <v>3</v>
      </c>
      <c r="Z104">
        <v>2</v>
      </c>
      <c r="AA104">
        <v>80</v>
      </c>
      <c r="AB104">
        <v>0</v>
      </c>
      <c r="AC104">
        <v>1</v>
      </c>
      <c r="AD104">
        <v>5</v>
      </c>
      <c r="AE104">
        <v>3</v>
      </c>
      <c r="AF104">
        <v>1</v>
      </c>
      <c r="AG104">
        <v>0</v>
      </c>
      <c r="AH104">
        <v>1</v>
      </c>
      <c r="AI104">
        <v>0</v>
      </c>
      <c r="AJ104" s="2">
        <f>IF(tblHR[[#This Row],[Attrition]]="Yes",1,0)</f>
        <v>1</v>
      </c>
      <c r="AK104" t="str">
        <f>IF(tblHR[[#This Row],[Age]]&lt;26,"18-25",IF(tblHR[[#This Row],[Age]]&lt;36,"26-35",IF(tblHR[[#This Row],[Age]]&lt;46,"36-45",IF(tblHR[[#This Row],[Age]]&lt;56,"46-55","56+"))))</f>
        <v>18-25</v>
      </c>
    </row>
    <row r="105" spans="1:37"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s="1">
        <v>4809</v>
      </c>
      <c r="T105">
        <v>12482</v>
      </c>
      <c r="U105">
        <v>1</v>
      </c>
      <c r="V105" t="s">
        <v>42</v>
      </c>
      <c r="W105" t="s">
        <v>43</v>
      </c>
      <c r="X105">
        <v>14</v>
      </c>
      <c r="Y105">
        <v>3</v>
      </c>
      <c r="Z105">
        <v>3</v>
      </c>
      <c r="AA105">
        <v>80</v>
      </c>
      <c r="AB105">
        <v>0</v>
      </c>
      <c r="AC105">
        <v>16</v>
      </c>
      <c r="AD105">
        <v>3</v>
      </c>
      <c r="AE105">
        <v>3</v>
      </c>
      <c r="AF105">
        <v>16</v>
      </c>
      <c r="AG105">
        <v>13</v>
      </c>
      <c r="AH105">
        <v>2</v>
      </c>
      <c r="AI105">
        <v>10</v>
      </c>
      <c r="AJ105" s="2">
        <f>IF(tblHR[[#This Row],[Attrition]]="Yes",1,0)</f>
        <v>0</v>
      </c>
      <c r="AK105" t="str">
        <f>IF(tblHR[[#This Row],[Age]]&lt;26,"18-25",IF(tblHR[[#This Row],[Age]]&lt;36,"26-35",IF(tblHR[[#This Row],[Age]]&lt;46,"36-45",IF(tblHR[[#This Row],[Age]]&lt;56,"46-55","56+"))))</f>
        <v>26-35</v>
      </c>
    </row>
    <row r="106" spans="1:37"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s="1">
        <v>5163</v>
      </c>
      <c r="T106">
        <v>15850</v>
      </c>
      <c r="U106">
        <v>5</v>
      </c>
      <c r="V106" t="s">
        <v>42</v>
      </c>
      <c r="W106" t="s">
        <v>43</v>
      </c>
      <c r="X106">
        <v>14</v>
      </c>
      <c r="Y106">
        <v>3</v>
      </c>
      <c r="Z106">
        <v>4</v>
      </c>
      <c r="AA106">
        <v>80</v>
      </c>
      <c r="AB106">
        <v>1</v>
      </c>
      <c r="AC106">
        <v>17</v>
      </c>
      <c r="AD106">
        <v>2</v>
      </c>
      <c r="AE106">
        <v>4</v>
      </c>
      <c r="AF106">
        <v>1</v>
      </c>
      <c r="AG106">
        <v>0</v>
      </c>
      <c r="AH106">
        <v>0</v>
      </c>
      <c r="AI106">
        <v>0</v>
      </c>
      <c r="AJ106" s="2">
        <f>IF(tblHR[[#This Row],[Attrition]]="Yes",1,0)</f>
        <v>0</v>
      </c>
      <c r="AK106" t="str">
        <f>IF(tblHR[[#This Row],[Age]]&lt;26,"18-25",IF(tblHR[[#This Row],[Age]]&lt;36,"26-35",IF(tblHR[[#This Row],[Age]]&lt;46,"36-45",IF(tblHR[[#This Row],[Age]]&lt;56,"46-55","56+"))))</f>
        <v>36-45</v>
      </c>
    </row>
    <row r="107" spans="1:37"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s="1">
        <v>18844</v>
      </c>
      <c r="T107">
        <v>21922</v>
      </c>
      <c r="U107">
        <v>9</v>
      </c>
      <c r="V107" t="s">
        <v>42</v>
      </c>
      <c r="W107" t="s">
        <v>43</v>
      </c>
      <c r="X107">
        <v>21</v>
      </c>
      <c r="Y107">
        <v>4</v>
      </c>
      <c r="Z107">
        <v>4</v>
      </c>
      <c r="AA107">
        <v>80</v>
      </c>
      <c r="AB107">
        <v>1</v>
      </c>
      <c r="AC107">
        <v>30</v>
      </c>
      <c r="AD107">
        <v>3</v>
      </c>
      <c r="AE107">
        <v>3</v>
      </c>
      <c r="AF107">
        <v>3</v>
      </c>
      <c r="AG107">
        <v>2</v>
      </c>
      <c r="AH107">
        <v>2</v>
      </c>
      <c r="AI107">
        <v>2</v>
      </c>
      <c r="AJ107" s="2">
        <f>IF(tblHR[[#This Row],[Attrition]]="Yes",1,0)</f>
        <v>0</v>
      </c>
      <c r="AK107" t="str">
        <f>IF(tblHR[[#This Row],[Age]]&lt;26,"18-25",IF(tblHR[[#This Row],[Age]]&lt;36,"26-35",IF(tblHR[[#This Row],[Age]]&lt;46,"36-45",IF(tblHR[[#This Row],[Age]]&lt;56,"46-55","56+"))))</f>
        <v>56+</v>
      </c>
    </row>
    <row r="108" spans="1:37"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s="1">
        <v>18172</v>
      </c>
      <c r="T108">
        <v>9755</v>
      </c>
      <c r="U108">
        <v>3</v>
      </c>
      <c r="V108" t="s">
        <v>42</v>
      </c>
      <c r="W108" t="s">
        <v>35</v>
      </c>
      <c r="X108">
        <v>19</v>
      </c>
      <c r="Y108">
        <v>3</v>
      </c>
      <c r="Z108">
        <v>1</v>
      </c>
      <c r="AA108">
        <v>80</v>
      </c>
      <c r="AB108">
        <v>0</v>
      </c>
      <c r="AC108">
        <v>28</v>
      </c>
      <c r="AD108">
        <v>1</v>
      </c>
      <c r="AE108">
        <v>2</v>
      </c>
      <c r="AF108">
        <v>8</v>
      </c>
      <c r="AG108">
        <v>3</v>
      </c>
      <c r="AH108">
        <v>0</v>
      </c>
      <c r="AI108">
        <v>7</v>
      </c>
      <c r="AJ108" s="2">
        <f>IF(tblHR[[#This Row],[Attrition]]="Yes",1,0)</f>
        <v>0</v>
      </c>
      <c r="AK108" t="str">
        <f>IF(tblHR[[#This Row],[Age]]&lt;26,"18-25",IF(tblHR[[#This Row],[Age]]&lt;36,"26-35",IF(tblHR[[#This Row],[Age]]&lt;46,"36-45",IF(tblHR[[#This Row],[Age]]&lt;56,"46-55","56+"))))</f>
        <v>46-55</v>
      </c>
    </row>
    <row r="109" spans="1:37"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s="1">
        <v>5744</v>
      </c>
      <c r="T109">
        <v>26959</v>
      </c>
      <c r="U109">
        <v>1</v>
      </c>
      <c r="V109" t="s">
        <v>42</v>
      </c>
      <c r="W109" t="s">
        <v>35</v>
      </c>
      <c r="X109">
        <v>11</v>
      </c>
      <c r="Y109">
        <v>3</v>
      </c>
      <c r="Z109">
        <v>4</v>
      </c>
      <c r="AA109">
        <v>80</v>
      </c>
      <c r="AB109">
        <v>0</v>
      </c>
      <c r="AC109">
        <v>6</v>
      </c>
      <c r="AD109">
        <v>1</v>
      </c>
      <c r="AE109">
        <v>3</v>
      </c>
      <c r="AF109">
        <v>6</v>
      </c>
      <c r="AG109">
        <v>4</v>
      </c>
      <c r="AH109">
        <v>0</v>
      </c>
      <c r="AI109">
        <v>3</v>
      </c>
      <c r="AJ109" s="2">
        <f>IF(tblHR[[#This Row],[Attrition]]="Yes",1,0)</f>
        <v>1</v>
      </c>
      <c r="AK109" t="str">
        <f>IF(tblHR[[#This Row],[Age]]&lt;26,"18-25",IF(tblHR[[#This Row],[Age]]&lt;36,"26-35",IF(tblHR[[#This Row],[Age]]&lt;46,"36-45",IF(tblHR[[#This Row],[Age]]&lt;56,"46-55","56+"))))</f>
        <v>18-25</v>
      </c>
    </row>
    <row r="110" spans="1:37"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s="1">
        <v>2889</v>
      </c>
      <c r="T110">
        <v>26897</v>
      </c>
      <c r="U110">
        <v>1</v>
      </c>
      <c r="V110" t="s">
        <v>42</v>
      </c>
      <c r="W110" t="s">
        <v>43</v>
      </c>
      <c r="X110">
        <v>11</v>
      </c>
      <c r="Y110">
        <v>3</v>
      </c>
      <c r="Z110">
        <v>3</v>
      </c>
      <c r="AA110">
        <v>80</v>
      </c>
      <c r="AB110">
        <v>2</v>
      </c>
      <c r="AC110">
        <v>2</v>
      </c>
      <c r="AD110">
        <v>2</v>
      </c>
      <c r="AE110">
        <v>3</v>
      </c>
      <c r="AF110">
        <v>2</v>
      </c>
      <c r="AG110">
        <v>2</v>
      </c>
      <c r="AH110">
        <v>2</v>
      </c>
      <c r="AI110">
        <v>1</v>
      </c>
      <c r="AJ110" s="2">
        <f>IF(tblHR[[#This Row],[Attrition]]="Yes",1,0)</f>
        <v>0</v>
      </c>
      <c r="AK110" t="str">
        <f>IF(tblHR[[#This Row],[Age]]&lt;26,"18-25",IF(tblHR[[#This Row],[Age]]&lt;36,"26-35",IF(tblHR[[#This Row],[Age]]&lt;46,"36-45",IF(tblHR[[#This Row],[Age]]&lt;56,"46-55","56+"))))</f>
        <v>18-25</v>
      </c>
    </row>
    <row r="111" spans="1:37"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s="1">
        <v>2871</v>
      </c>
      <c r="T111">
        <v>23785</v>
      </c>
      <c r="U111">
        <v>1</v>
      </c>
      <c r="V111" t="s">
        <v>42</v>
      </c>
      <c r="W111" t="s">
        <v>43</v>
      </c>
      <c r="X111">
        <v>15</v>
      </c>
      <c r="Y111">
        <v>3</v>
      </c>
      <c r="Z111">
        <v>3</v>
      </c>
      <c r="AA111">
        <v>80</v>
      </c>
      <c r="AB111">
        <v>0</v>
      </c>
      <c r="AC111">
        <v>1</v>
      </c>
      <c r="AD111">
        <v>5</v>
      </c>
      <c r="AE111">
        <v>3</v>
      </c>
      <c r="AF111">
        <v>0</v>
      </c>
      <c r="AG111">
        <v>0</v>
      </c>
      <c r="AH111">
        <v>0</v>
      </c>
      <c r="AI111">
        <v>0</v>
      </c>
      <c r="AJ111" s="2">
        <f>IF(tblHR[[#This Row],[Attrition]]="Yes",1,0)</f>
        <v>0</v>
      </c>
      <c r="AK111" t="str">
        <f>IF(tblHR[[#This Row],[Age]]&lt;26,"18-25",IF(tblHR[[#This Row],[Age]]&lt;36,"26-35",IF(tblHR[[#This Row],[Age]]&lt;46,"36-45",IF(tblHR[[#This Row],[Age]]&lt;56,"46-55","56+"))))</f>
        <v>18-25</v>
      </c>
    </row>
    <row r="112" spans="1:37"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s="1">
        <v>7484</v>
      </c>
      <c r="T112">
        <v>25796</v>
      </c>
      <c r="U112">
        <v>3</v>
      </c>
      <c r="V112" t="s">
        <v>42</v>
      </c>
      <c r="W112" t="s">
        <v>43</v>
      </c>
      <c r="X112">
        <v>20</v>
      </c>
      <c r="Y112">
        <v>4</v>
      </c>
      <c r="Z112">
        <v>3</v>
      </c>
      <c r="AA112">
        <v>80</v>
      </c>
      <c r="AB112">
        <v>0</v>
      </c>
      <c r="AC112">
        <v>23</v>
      </c>
      <c r="AD112">
        <v>1</v>
      </c>
      <c r="AE112">
        <v>2</v>
      </c>
      <c r="AF112">
        <v>13</v>
      </c>
      <c r="AG112">
        <v>12</v>
      </c>
      <c r="AH112">
        <v>12</v>
      </c>
      <c r="AI112">
        <v>8</v>
      </c>
      <c r="AJ112" s="2">
        <f>IF(tblHR[[#This Row],[Attrition]]="Yes",1,0)</f>
        <v>0</v>
      </c>
      <c r="AK112" t="str">
        <f>IF(tblHR[[#This Row],[Age]]&lt;26,"18-25",IF(tblHR[[#This Row],[Age]]&lt;36,"26-35",IF(tblHR[[#This Row],[Age]]&lt;46,"36-45",IF(tblHR[[#This Row],[Age]]&lt;56,"46-55","56+"))))</f>
        <v>46-55</v>
      </c>
    </row>
    <row r="113" spans="1:37"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s="1">
        <v>6074</v>
      </c>
      <c r="T113">
        <v>22887</v>
      </c>
      <c r="U113">
        <v>1</v>
      </c>
      <c r="V113" t="s">
        <v>42</v>
      </c>
      <c r="W113" t="s">
        <v>35</v>
      </c>
      <c r="X113">
        <v>24</v>
      </c>
      <c r="Y113">
        <v>4</v>
      </c>
      <c r="Z113">
        <v>4</v>
      </c>
      <c r="AA113">
        <v>80</v>
      </c>
      <c r="AB113">
        <v>0</v>
      </c>
      <c r="AC113">
        <v>9</v>
      </c>
      <c r="AD113">
        <v>3</v>
      </c>
      <c r="AE113">
        <v>3</v>
      </c>
      <c r="AF113">
        <v>9</v>
      </c>
      <c r="AG113">
        <v>7</v>
      </c>
      <c r="AH113">
        <v>0</v>
      </c>
      <c r="AI113">
        <v>6</v>
      </c>
      <c r="AJ113" s="2">
        <f>IF(tblHR[[#This Row],[Attrition]]="Yes",1,0)</f>
        <v>1</v>
      </c>
      <c r="AK113" t="str">
        <f>IF(tblHR[[#This Row],[Age]]&lt;26,"18-25",IF(tblHR[[#This Row],[Age]]&lt;36,"26-35",IF(tblHR[[#This Row],[Age]]&lt;46,"36-45",IF(tblHR[[#This Row],[Age]]&lt;56,"46-55","56+"))))</f>
        <v>26-35</v>
      </c>
    </row>
    <row r="114" spans="1:37"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s="1">
        <v>17328</v>
      </c>
      <c r="T114">
        <v>13871</v>
      </c>
      <c r="U114">
        <v>2</v>
      </c>
      <c r="V114" t="s">
        <v>42</v>
      </c>
      <c r="W114" t="s">
        <v>35</v>
      </c>
      <c r="X114">
        <v>12</v>
      </c>
      <c r="Y114">
        <v>3</v>
      </c>
      <c r="Z114">
        <v>3</v>
      </c>
      <c r="AA114">
        <v>80</v>
      </c>
      <c r="AB114">
        <v>0</v>
      </c>
      <c r="AC114">
        <v>23</v>
      </c>
      <c r="AD114">
        <v>3</v>
      </c>
      <c r="AE114">
        <v>3</v>
      </c>
      <c r="AF114">
        <v>5</v>
      </c>
      <c r="AG114">
        <v>3</v>
      </c>
      <c r="AH114">
        <v>4</v>
      </c>
      <c r="AI114">
        <v>4</v>
      </c>
      <c r="AJ114" s="2">
        <f>IF(tblHR[[#This Row],[Attrition]]="Yes",1,0)</f>
        <v>0</v>
      </c>
      <c r="AK114" t="str">
        <f>IF(tblHR[[#This Row],[Age]]&lt;26,"18-25",IF(tblHR[[#This Row],[Age]]&lt;36,"26-35",IF(tblHR[[#This Row],[Age]]&lt;46,"36-45",IF(tblHR[[#This Row],[Age]]&lt;56,"46-55","56+"))))</f>
        <v>46-55</v>
      </c>
    </row>
    <row r="115" spans="1:37"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s="1">
        <v>2774</v>
      </c>
      <c r="T115">
        <v>13257</v>
      </c>
      <c r="U115">
        <v>0</v>
      </c>
      <c r="V115" t="s">
        <v>42</v>
      </c>
      <c r="W115" t="s">
        <v>43</v>
      </c>
      <c r="X115">
        <v>12</v>
      </c>
      <c r="Y115">
        <v>3</v>
      </c>
      <c r="Z115">
        <v>3</v>
      </c>
      <c r="AA115">
        <v>80</v>
      </c>
      <c r="AB115">
        <v>1</v>
      </c>
      <c r="AC115">
        <v>6</v>
      </c>
      <c r="AD115">
        <v>2</v>
      </c>
      <c r="AE115">
        <v>3</v>
      </c>
      <c r="AF115">
        <v>5</v>
      </c>
      <c r="AG115">
        <v>3</v>
      </c>
      <c r="AH115">
        <v>1</v>
      </c>
      <c r="AI115">
        <v>2</v>
      </c>
      <c r="AJ115" s="2">
        <f>IF(tblHR[[#This Row],[Attrition]]="Yes",1,0)</f>
        <v>0</v>
      </c>
      <c r="AK115" t="str">
        <f>IF(tblHR[[#This Row],[Age]]&lt;26,"18-25",IF(tblHR[[#This Row],[Age]]&lt;36,"26-35",IF(tblHR[[#This Row],[Age]]&lt;46,"36-45",IF(tblHR[[#This Row],[Age]]&lt;56,"46-55","56+"))))</f>
        <v>18-25</v>
      </c>
    </row>
    <row r="116" spans="1:37"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s="1">
        <v>4505</v>
      </c>
      <c r="T116">
        <v>15000</v>
      </c>
      <c r="U116">
        <v>6</v>
      </c>
      <c r="V116" t="s">
        <v>42</v>
      </c>
      <c r="W116" t="s">
        <v>43</v>
      </c>
      <c r="X116">
        <v>15</v>
      </c>
      <c r="Y116">
        <v>3</v>
      </c>
      <c r="Z116">
        <v>3</v>
      </c>
      <c r="AA116">
        <v>80</v>
      </c>
      <c r="AB116">
        <v>1</v>
      </c>
      <c r="AC116">
        <v>12</v>
      </c>
      <c r="AD116">
        <v>3</v>
      </c>
      <c r="AE116">
        <v>3</v>
      </c>
      <c r="AF116">
        <v>1</v>
      </c>
      <c r="AG116">
        <v>0</v>
      </c>
      <c r="AH116">
        <v>0</v>
      </c>
      <c r="AI116">
        <v>0</v>
      </c>
      <c r="AJ116" s="2">
        <f>IF(tblHR[[#This Row],[Attrition]]="Yes",1,0)</f>
        <v>0</v>
      </c>
      <c r="AK116" t="str">
        <f>IF(tblHR[[#This Row],[Age]]&lt;26,"18-25",IF(tblHR[[#This Row],[Age]]&lt;36,"26-35",IF(tblHR[[#This Row],[Age]]&lt;46,"36-45",IF(tblHR[[#This Row],[Age]]&lt;56,"46-55","56+"))))</f>
        <v>26-35</v>
      </c>
    </row>
    <row r="117" spans="1:37"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s="1">
        <v>7428</v>
      </c>
      <c r="T117">
        <v>14506</v>
      </c>
      <c r="U117">
        <v>2</v>
      </c>
      <c r="V117" t="s">
        <v>42</v>
      </c>
      <c r="W117" t="s">
        <v>43</v>
      </c>
      <c r="X117">
        <v>12</v>
      </c>
      <c r="Y117">
        <v>3</v>
      </c>
      <c r="Z117">
        <v>1</v>
      </c>
      <c r="AA117">
        <v>80</v>
      </c>
      <c r="AB117">
        <v>0</v>
      </c>
      <c r="AC117">
        <v>12</v>
      </c>
      <c r="AD117">
        <v>3</v>
      </c>
      <c r="AE117">
        <v>3</v>
      </c>
      <c r="AF117">
        <v>5</v>
      </c>
      <c r="AG117">
        <v>3</v>
      </c>
      <c r="AH117">
        <v>1</v>
      </c>
      <c r="AI117">
        <v>3</v>
      </c>
      <c r="AJ117" s="2">
        <f>IF(tblHR[[#This Row],[Attrition]]="Yes",1,0)</f>
        <v>0</v>
      </c>
      <c r="AK117" t="str">
        <f>IF(tblHR[[#This Row],[Age]]&lt;26,"18-25",IF(tblHR[[#This Row],[Age]]&lt;36,"26-35",IF(tblHR[[#This Row],[Age]]&lt;46,"36-45",IF(tblHR[[#This Row],[Age]]&lt;56,"46-55","56+"))))</f>
        <v>36-45</v>
      </c>
    </row>
    <row r="118" spans="1:37"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s="1">
        <v>11631</v>
      </c>
      <c r="T118">
        <v>5615</v>
      </c>
      <c r="U118">
        <v>2</v>
      </c>
      <c r="V118" t="s">
        <v>42</v>
      </c>
      <c r="W118" t="s">
        <v>43</v>
      </c>
      <c r="X118">
        <v>12</v>
      </c>
      <c r="Y118">
        <v>3</v>
      </c>
      <c r="Z118">
        <v>4</v>
      </c>
      <c r="AA118">
        <v>80</v>
      </c>
      <c r="AB118">
        <v>0</v>
      </c>
      <c r="AC118">
        <v>14</v>
      </c>
      <c r="AD118">
        <v>6</v>
      </c>
      <c r="AE118">
        <v>3</v>
      </c>
      <c r="AF118">
        <v>11</v>
      </c>
      <c r="AG118">
        <v>10</v>
      </c>
      <c r="AH118">
        <v>5</v>
      </c>
      <c r="AI118">
        <v>8</v>
      </c>
      <c r="AJ118" s="2">
        <f>IF(tblHR[[#This Row],[Attrition]]="Yes",1,0)</f>
        <v>0</v>
      </c>
      <c r="AK118" t="str">
        <f>IF(tblHR[[#This Row],[Age]]&lt;26,"18-25",IF(tblHR[[#This Row],[Age]]&lt;36,"26-35",IF(tblHR[[#This Row],[Age]]&lt;46,"36-45",IF(tblHR[[#This Row],[Age]]&lt;56,"46-55","56+"))))</f>
        <v>26-35</v>
      </c>
    </row>
    <row r="119" spans="1:37"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s="1">
        <v>9738</v>
      </c>
      <c r="T119">
        <v>22952</v>
      </c>
      <c r="U119">
        <v>0</v>
      </c>
      <c r="V119" t="s">
        <v>42</v>
      </c>
      <c r="W119" t="s">
        <v>43</v>
      </c>
      <c r="X119">
        <v>14</v>
      </c>
      <c r="Y119">
        <v>3</v>
      </c>
      <c r="Z119">
        <v>3</v>
      </c>
      <c r="AA119">
        <v>80</v>
      </c>
      <c r="AB119">
        <v>1</v>
      </c>
      <c r="AC119">
        <v>10</v>
      </c>
      <c r="AD119">
        <v>6</v>
      </c>
      <c r="AE119">
        <v>3</v>
      </c>
      <c r="AF119">
        <v>9</v>
      </c>
      <c r="AG119">
        <v>7</v>
      </c>
      <c r="AH119">
        <v>2</v>
      </c>
      <c r="AI119">
        <v>8</v>
      </c>
      <c r="AJ119" s="2">
        <f>IF(tblHR[[#This Row],[Attrition]]="Yes",1,0)</f>
        <v>0</v>
      </c>
      <c r="AK119" t="str">
        <f>IF(tblHR[[#This Row],[Age]]&lt;26,"18-25",IF(tblHR[[#This Row],[Age]]&lt;36,"26-35",IF(tblHR[[#This Row],[Age]]&lt;46,"36-45",IF(tblHR[[#This Row],[Age]]&lt;56,"46-55","56+"))))</f>
        <v>36-45</v>
      </c>
    </row>
    <row r="120" spans="1:37"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s="1">
        <v>2835</v>
      </c>
      <c r="T120">
        <v>2561</v>
      </c>
      <c r="U120">
        <v>5</v>
      </c>
      <c r="V120" t="s">
        <v>42</v>
      </c>
      <c r="W120" t="s">
        <v>43</v>
      </c>
      <c r="X120">
        <v>22</v>
      </c>
      <c r="Y120">
        <v>4</v>
      </c>
      <c r="Z120">
        <v>1</v>
      </c>
      <c r="AA120">
        <v>80</v>
      </c>
      <c r="AB120">
        <v>1</v>
      </c>
      <c r="AC120">
        <v>7</v>
      </c>
      <c r="AD120">
        <v>2</v>
      </c>
      <c r="AE120">
        <v>3</v>
      </c>
      <c r="AF120">
        <v>1</v>
      </c>
      <c r="AG120">
        <v>0</v>
      </c>
      <c r="AH120">
        <v>0</v>
      </c>
      <c r="AI120">
        <v>0</v>
      </c>
      <c r="AJ120" s="2">
        <f>IF(tblHR[[#This Row],[Attrition]]="Yes",1,0)</f>
        <v>0</v>
      </c>
      <c r="AK120" t="str">
        <f>IF(tblHR[[#This Row],[Age]]&lt;26,"18-25",IF(tblHR[[#This Row],[Age]]&lt;36,"26-35",IF(tblHR[[#This Row],[Age]]&lt;46,"36-45",IF(tblHR[[#This Row],[Age]]&lt;56,"46-55","56+"))))</f>
        <v>36-45</v>
      </c>
    </row>
    <row r="121" spans="1:37"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s="1">
        <v>16959</v>
      </c>
      <c r="T121">
        <v>19494</v>
      </c>
      <c r="U121">
        <v>1</v>
      </c>
      <c r="V121" t="s">
        <v>42</v>
      </c>
      <c r="W121" t="s">
        <v>35</v>
      </c>
      <c r="X121">
        <v>12</v>
      </c>
      <c r="Y121">
        <v>3</v>
      </c>
      <c r="Z121">
        <v>4</v>
      </c>
      <c r="AA121">
        <v>80</v>
      </c>
      <c r="AB121">
        <v>2</v>
      </c>
      <c r="AC121">
        <v>25</v>
      </c>
      <c r="AD121">
        <v>3</v>
      </c>
      <c r="AE121">
        <v>4</v>
      </c>
      <c r="AF121">
        <v>25</v>
      </c>
      <c r="AG121">
        <v>12</v>
      </c>
      <c r="AH121">
        <v>4</v>
      </c>
      <c r="AI121">
        <v>12</v>
      </c>
      <c r="AJ121" s="2">
        <f>IF(tblHR[[#This Row],[Attrition]]="Yes",1,0)</f>
        <v>0</v>
      </c>
      <c r="AK121" t="str">
        <f>IF(tblHR[[#This Row],[Age]]&lt;26,"18-25",IF(tblHR[[#This Row],[Age]]&lt;36,"26-35",IF(tblHR[[#This Row],[Age]]&lt;46,"36-45",IF(tblHR[[#This Row],[Age]]&lt;56,"46-55","56+"))))</f>
        <v>36-45</v>
      </c>
    </row>
    <row r="122" spans="1:37"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s="1">
        <v>2613</v>
      </c>
      <c r="T122">
        <v>22310</v>
      </c>
      <c r="U122">
        <v>1</v>
      </c>
      <c r="V122" t="s">
        <v>42</v>
      </c>
      <c r="W122" t="s">
        <v>43</v>
      </c>
      <c r="X122">
        <v>25</v>
      </c>
      <c r="Y122">
        <v>4</v>
      </c>
      <c r="Z122">
        <v>3</v>
      </c>
      <c r="AA122">
        <v>80</v>
      </c>
      <c r="AB122">
        <v>3</v>
      </c>
      <c r="AC122">
        <v>10</v>
      </c>
      <c r="AD122">
        <v>2</v>
      </c>
      <c r="AE122">
        <v>2</v>
      </c>
      <c r="AF122">
        <v>10</v>
      </c>
      <c r="AG122">
        <v>7</v>
      </c>
      <c r="AH122">
        <v>0</v>
      </c>
      <c r="AI122">
        <v>9</v>
      </c>
      <c r="AJ122" s="2">
        <f>IF(tblHR[[#This Row],[Attrition]]="Yes",1,0)</f>
        <v>0</v>
      </c>
      <c r="AK122" t="str">
        <f>IF(tblHR[[#This Row],[Age]]&lt;26,"18-25",IF(tblHR[[#This Row],[Age]]&lt;36,"26-35",IF(tblHR[[#This Row],[Age]]&lt;46,"36-45",IF(tblHR[[#This Row],[Age]]&lt;56,"46-55","56+"))))</f>
        <v>26-35</v>
      </c>
    </row>
    <row r="123" spans="1:37"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s="1">
        <v>6146</v>
      </c>
      <c r="T123">
        <v>15480</v>
      </c>
      <c r="U123">
        <v>0</v>
      </c>
      <c r="V123" t="s">
        <v>42</v>
      </c>
      <c r="W123" t="s">
        <v>43</v>
      </c>
      <c r="X123">
        <v>13</v>
      </c>
      <c r="Y123">
        <v>3</v>
      </c>
      <c r="Z123">
        <v>1</v>
      </c>
      <c r="AA123">
        <v>80</v>
      </c>
      <c r="AB123">
        <v>1</v>
      </c>
      <c r="AC123">
        <v>8</v>
      </c>
      <c r="AD123">
        <v>2</v>
      </c>
      <c r="AE123">
        <v>4</v>
      </c>
      <c r="AF123">
        <v>7</v>
      </c>
      <c r="AG123">
        <v>7</v>
      </c>
      <c r="AH123">
        <v>0</v>
      </c>
      <c r="AI123">
        <v>7</v>
      </c>
      <c r="AJ123" s="2">
        <f>IF(tblHR[[#This Row],[Attrition]]="Yes",1,0)</f>
        <v>0</v>
      </c>
      <c r="AK123" t="str">
        <f>IF(tblHR[[#This Row],[Age]]&lt;26,"18-25",IF(tblHR[[#This Row],[Age]]&lt;36,"26-35",IF(tblHR[[#This Row],[Age]]&lt;46,"36-45",IF(tblHR[[#This Row],[Age]]&lt;56,"46-55","56+"))))</f>
        <v>26-35</v>
      </c>
    </row>
    <row r="124" spans="1:37"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s="1">
        <v>4963</v>
      </c>
      <c r="T124">
        <v>4510</v>
      </c>
      <c r="U124">
        <v>9</v>
      </c>
      <c r="V124" t="s">
        <v>42</v>
      </c>
      <c r="W124" t="s">
        <v>35</v>
      </c>
      <c r="X124">
        <v>18</v>
      </c>
      <c r="Y124">
        <v>3</v>
      </c>
      <c r="Z124">
        <v>1</v>
      </c>
      <c r="AA124">
        <v>80</v>
      </c>
      <c r="AB124">
        <v>3</v>
      </c>
      <c r="AC124">
        <v>7</v>
      </c>
      <c r="AD124">
        <v>2</v>
      </c>
      <c r="AE124">
        <v>3</v>
      </c>
      <c r="AF124">
        <v>5</v>
      </c>
      <c r="AG124">
        <v>4</v>
      </c>
      <c r="AH124">
        <v>4</v>
      </c>
      <c r="AI124">
        <v>3</v>
      </c>
      <c r="AJ124" s="2">
        <f>IF(tblHR[[#This Row],[Attrition]]="Yes",1,0)</f>
        <v>1</v>
      </c>
      <c r="AK124" t="str">
        <f>IF(tblHR[[#This Row],[Age]]&lt;26,"18-25",IF(tblHR[[#This Row],[Age]]&lt;36,"26-35",IF(tblHR[[#This Row],[Age]]&lt;46,"36-45",IF(tblHR[[#This Row],[Age]]&lt;56,"46-55","56+"))))</f>
        <v>56+</v>
      </c>
    </row>
    <row r="125" spans="1:37"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s="1">
        <v>19537</v>
      </c>
      <c r="T125">
        <v>6462</v>
      </c>
      <c r="U125">
        <v>7</v>
      </c>
      <c r="V125" t="s">
        <v>42</v>
      </c>
      <c r="W125" t="s">
        <v>43</v>
      </c>
      <c r="X125">
        <v>13</v>
      </c>
      <c r="Y125">
        <v>3</v>
      </c>
      <c r="Z125">
        <v>3</v>
      </c>
      <c r="AA125">
        <v>80</v>
      </c>
      <c r="AB125">
        <v>0</v>
      </c>
      <c r="AC125">
        <v>23</v>
      </c>
      <c r="AD125">
        <v>5</v>
      </c>
      <c r="AE125">
        <v>3</v>
      </c>
      <c r="AF125">
        <v>20</v>
      </c>
      <c r="AG125">
        <v>18</v>
      </c>
      <c r="AH125">
        <v>15</v>
      </c>
      <c r="AI125">
        <v>15</v>
      </c>
      <c r="AJ125" s="2">
        <f>IF(tblHR[[#This Row],[Attrition]]="Yes",1,0)</f>
        <v>0</v>
      </c>
      <c r="AK125" t="str">
        <f>IF(tblHR[[#This Row],[Age]]&lt;26,"18-25",IF(tblHR[[#This Row],[Age]]&lt;36,"26-35",IF(tblHR[[#This Row],[Age]]&lt;46,"36-45",IF(tblHR[[#This Row],[Age]]&lt;56,"46-55","56+"))))</f>
        <v>46-55</v>
      </c>
    </row>
    <row r="126" spans="1:37"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s="1">
        <v>6172</v>
      </c>
      <c r="T126">
        <v>20739</v>
      </c>
      <c r="U126">
        <v>4</v>
      </c>
      <c r="V126" t="s">
        <v>42</v>
      </c>
      <c r="W126" t="s">
        <v>35</v>
      </c>
      <c r="X126">
        <v>18</v>
      </c>
      <c r="Y126">
        <v>3</v>
      </c>
      <c r="Z126">
        <v>2</v>
      </c>
      <c r="AA126">
        <v>80</v>
      </c>
      <c r="AB126">
        <v>0</v>
      </c>
      <c r="AC126">
        <v>12</v>
      </c>
      <c r="AD126">
        <v>3</v>
      </c>
      <c r="AE126">
        <v>2</v>
      </c>
      <c r="AF126">
        <v>7</v>
      </c>
      <c r="AG126">
        <v>7</v>
      </c>
      <c r="AH126">
        <v>7</v>
      </c>
      <c r="AI126">
        <v>7</v>
      </c>
      <c r="AJ126" s="2">
        <f>IF(tblHR[[#This Row],[Attrition]]="Yes",1,0)</f>
        <v>1</v>
      </c>
      <c r="AK126" t="str">
        <f>IF(tblHR[[#This Row],[Age]]&lt;26,"18-25",IF(tblHR[[#This Row],[Age]]&lt;36,"26-35",IF(tblHR[[#This Row],[Age]]&lt;46,"36-45",IF(tblHR[[#This Row],[Age]]&lt;56,"46-55","56+"))))</f>
        <v>26-35</v>
      </c>
    </row>
    <row r="127" spans="1:37"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s="1">
        <v>2368</v>
      </c>
      <c r="T127">
        <v>23300</v>
      </c>
      <c r="U127">
        <v>1</v>
      </c>
      <c r="V127" t="s">
        <v>42</v>
      </c>
      <c r="W127" t="s">
        <v>43</v>
      </c>
      <c r="X127">
        <v>19</v>
      </c>
      <c r="Y127">
        <v>3</v>
      </c>
      <c r="Z127">
        <v>3</v>
      </c>
      <c r="AA127">
        <v>80</v>
      </c>
      <c r="AB127">
        <v>0</v>
      </c>
      <c r="AC127">
        <v>5</v>
      </c>
      <c r="AD127">
        <v>3</v>
      </c>
      <c r="AE127">
        <v>2</v>
      </c>
      <c r="AF127">
        <v>5</v>
      </c>
      <c r="AG127">
        <v>4</v>
      </c>
      <c r="AH127">
        <v>4</v>
      </c>
      <c r="AI127">
        <v>3</v>
      </c>
      <c r="AJ127" s="2">
        <f>IF(tblHR[[#This Row],[Attrition]]="Yes",1,0)</f>
        <v>0</v>
      </c>
      <c r="AK127" t="str">
        <f>IF(tblHR[[#This Row],[Age]]&lt;26,"18-25",IF(tblHR[[#This Row],[Age]]&lt;36,"26-35",IF(tblHR[[#This Row],[Age]]&lt;46,"36-45",IF(tblHR[[#This Row],[Age]]&lt;56,"46-55","56+"))))</f>
        <v>26-35</v>
      </c>
    </row>
    <row r="128" spans="1:37"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s="1">
        <v>10312</v>
      </c>
      <c r="T128">
        <v>3465</v>
      </c>
      <c r="U128">
        <v>1</v>
      </c>
      <c r="V128" t="s">
        <v>42</v>
      </c>
      <c r="W128" t="s">
        <v>43</v>
      </c>
      <c r="X128">
        <v>12</v>
      </c>
      <c r="Y128">
        <v>3</v>
      </c>
      <c r="Z128">
        <v>4</v>
      </c>
      <c r="AA128">
        <v>80</v>
      </c>
      <c r="AB128">
        <v>1</v>
      </c>
      <c r="AC128">
        <v>40</v>
      </c>
      <c r="AD128">
        <v>3</v>
      </c>
      <c r="AE128">
        <v>2</v>
      </c>
      <c r="AF128">
        <v>40</v>
      </c>
      <c r="AG128">
        <v>10</v>
      </c>
      <c r="AH128">
        <v>15</v>
      </c>
      <c r="AI128">
        <v>6</v>
      </c>
      <c r="AJ128" s="2">
        <f>IF(tblHR[[#This Row],[Attrition]]="Yes",1,0)</f>
        <v>1</v>
      </c>
      <c r="AK128" t="str">
        <f>IF(tblHR[[#This Row],[Age]]&lt;26,"18-25",IF(tblHR[[#This Row],[Age]]&lt;36,"26-35",IF(tblHR[[#This Row],[Age]]&lt;46,"36-45",IF(tblHR[[#This Row],[Age]]&lt;56,"46-55","56+"))))</f>
        <v>56+</v>
      </c>
    </row>
    <row r="129" spans="1:37"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s="1">
        <v>1675</v>
      </c>
      <c r="T129">
        <v>26820</v>
      </c>
      <c r="U129">
        <v>1</v>
      </c>
      <c r="V129" t="s">
        <v>42</v>
      </c>
      <c r="W129" t="s">
        <v>35</v>
      </c>
      <c r="X129">
        <v>19</v>
      </c>
      <c r="Y129">
        <v>3</v>
      </c>
      <c r="Z129">
        <v>4</v>
      </c>
      <c r="AA129">
        <v>80</v>
      </c>
      <c r="AB129">
        <v>0</v>
      </c>
      <c r="AC129">
        <v>0</v>
      </c>
      <c r="AD129">
        <v>2</v>
      </c>
      <c r="AE129">
        <v>2</v>
      </c>
      <c r="AF129">
        <v>0</v>
      </c>
      <c r="AG129">
        <v>0</v>
      </c>
      <c r="AH129">
        <v>0</v>
      </c>
      <c r="AI129">
        <v>0</v>
      </c>
      <c r="AJ129" s="2">
        <f>IF(tblHR[[#This Row],[Attrition]]="Yes",1,0)</f>
        <v>1</v>
      </c>
      <c r="AK129" t="str">
        <f>IF(tblHR[[#This Row],[Age]]&lt;26,"18-25",IF(tblHR[[#This Row],[Age]]&lt;36,"26-35",IF(tblHR[[#This Row],[Age]]&lt;46,"36-45",IF(tblHR[[#This Row],[Age]]&lt;56,"46-55","56+"))))</f>
        <v>18-25</v>
      </c>
    </row>
    <row r="130" spans="1:37"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s="1">
        <v>2523</v>
      </c>
      <c r="T130">
        <v>19299</v>
      </c>
      <c r="U130">
        <v>0</v>
      </c>
      <c r="V130" t="s">
        <v>42</v>
      </c>
      <c r="W130" t="s">
        <v>43</v>
      </c>
      <c r="X130">
        <v>14</v>
      </c>
      <c r="Y130">
        <v>3</v>
      </c>
      <c r="Z130">
        <v>3</v>
      </c>
      <c r="AA130">
        <v>80</v>
      </c>
      <c r="AB130">
        <v>1</v>
      </c>
      <c r="AC130">
        <v>3</v>
      </c>
      <c r="AD130">
        <v>2</v>
      </c>
      <c r="AE130">
        <v>3</v>
      </c>
      <c r="AF130">
        <v>2</v>
      </c>
      <c r="AG130">
        <v>1</v>
      </c>
      <c r="AH130">
        <v>2</v>
      </c>
      <c r="AI130">
        <v>1</v>
      </c>
      <c r="AJ130" s="2">
        <f>IF(tblHR[[#This Row],[Attrition]]="Yes",1,0)</f>
        <v>0</v>
      </c>
      <c r="AK130" t="str">
        <f>IF(tblHR[[#This Row],[Age]]&lt;26,"18-25",IF(tblHR[[#This Row],[Age]]&lt;36,"26-35",IF(tblHR[[#This Row],[Age]]&lt;46,"36-45",IF(tblHR[[#This Row],[Age]]&lt;56,"46-55","56+"))))</f>
        <v>18-25</v>
      </c>
    </row>
    <row r="131" spans="1:37"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s="1">
        <v>6567</v>
      </c>
      <c r="T131">
        <v>5549</v>
      </c>
      <c r="U131">
        <v>1</v>
      </c>
      <c r="V131" t="s">
        <v>42</v>
      </c>
      <c r="W131" t="s">
        <v>43</v>
      </c>
      <c r="X131">
        <v>14</v>
      </c>
      <c r="Y131">
        <v>3</v>
      </c>
      <c r="Z131">
        <v>3</v>
      </c>
      <c r="AA131">
        <v>80</v>
      </c>
      <c r="AB131">
        <v>0</v>
      </c>
      <c r="AC131">
        <v>16</v>
      </c>
      <c r="AD131">
        <v>2</v>
      </c>
      <c r="AE131">
        <v>2</v>
      </c>
      <c r="AF131">
        <v>15</v>
      </c>
      <c r="AG131">
        <v>11</v>
      </c>
      <c r="AH131">
        <v>5</v>
      </c>
      <c r="AI131">
        <v>11</v>
      </c>
      <c r="AJ131" s="2">
        <f>IF(tblHR[[#This Row],[Attrition]]="Yes",1,0)</f>
        <v>0</v>
      </c>
      <c r="AK131" t="str">
        <f>IF(tblHR[[#This Row],[Age]]&lt;26,"18-25",IF(tblHR[[#This Row],[Age]]&lt;36,"26-35",IF(tblHR[[#This Row],[Age]]&lt;46,"36-45",IF(tblHR[[#This Row],[Age]]&lt;56,"46-55","56+"))))</f>
        <v>46-55</v>
      </c>
    </row>
    <row r="132" spans="1:37"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s="1">
        <v>4739</v>
      </c>
      <c r="T132">
        <v>16090</v>
      </c>
      <c r="U132">
        <v>4</v>
      </c>
      <c r="V132" t="s">
        <v>42</v>
      </c>
      <c r="W132" t="s">
        <v>43</v>
      </c>
      <c r="X132">
        <v>12</v>
      </c>
      <c r="Y132">
        <v>3</v>
      </c>
      <c r="Z132">
        <v>4</v>
      </c>
      <c r="AA132">
        <v>80</v>
      </c>
      <c r="AB132">
        <v>0</v>
      </c>
      <c r="AC132">
        <v>18</v>
      </c>
      <c r="AD132">
        <v>2</v>
      </c>
      <c r="AE132">
        <v>3</v>
      </c>
      <c r="AF132">
        <v>3</v>
      </c>
      <c r="AG132">
        <v>2</v>
      </c>
      <c r="AH132">
        <v>1</v>
      </c>
      <c r="AI132">
        <v>2</v>
      </c>
      <c r="AJ132" s="2">
        <f>IF(tblHR[[#This Row],[Attrition]]="Yes",1,0)</f>
        <v>0</v>
      </c>
      <c r="AK132" t="str">
        <f>IF(tblHR[[#This Row],[Age]]&lt;26,"18-25",IF(tblHR[[#This Row],[Age]]&lt;36,"26-35",IF(tblHR[[#This Row],[Age]]&lt;46,"36-45",IF(tblHR[[#This Row],[Age]]&lt;56,"46-55","56+"))))</f>
        <v>36-45</v>
      </c>
    </row>
    <row r="133" spans="1:37"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s="1">
        <v>9208</v>
      </c>
      <c r="T133">
        <v>6645</v>
      </c>
      <c r="U133">
        <v>4</v>
      </c>
      <c r="V133" t="s">
        <v>42</v>
      </c>
      <c r="W133" t="s">
        <v>43</v>
      </c>
      <c r="X133">
        <v>11</v>
      </c>
      <c r="Y133">
        <v>3</v>
      </c>
      <c r="Z133">
        <v>4</v>
      </c>
      <c r="AA133">
        <v>80</v>
      </c>
      <c r="AB133">
        <v>0</v>
      </c>
      <c r="AC133">
        <v>16</v>
      </c>
      <c r="AD133">
        <v>3</v>
      </c>
      <c r="AE133">
        <v>3</v>
      </c>
      <c r="AF133">
        <v>2</v>
      </c>
      <c r="AG133">
        <v>2</v>
      </c>
      <c r="AH133">
        <v>2</v>
      </c>
      <c r="AI133">
        <v>1</v>
      </c>
      <c r="AJ133" s="2">
        <f>IF(tblHR[[#This Row],[Attrition]]="Yes",1,0)</f>
        <v>0</v>
      </c>
      <c r="AK133" t="str">
        <f>IF(tblHR[[#This Row],[Age]]&lt;26,"18-25",IF(tblHR[[#This Row],[Age]]&lt;36,"26-35",IF(tblHR[[#This Row],[Age]]&lt;46,"36-45",IF(tblHR[[#This Row],[Age]]&lt;56,"46-55","56+"))))</f>
        <v>46-55</v>
      </c>
    </row>
    <row r="134" spans="1:37"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s="1">
        <v>4559</v>
      </c>
      <c r="T134">
        <v>24788</v>
      </c>
      <c r="U134">
        <v>3</v>
      </c>
      <c r="V134" t="s">
        <v>42</v>
      </c>
      <c r="W134" t="s">
        <v>35</v>
      </c>
      <c r="X134">
        <v>11</v>
      </c>
      <c r="Y134">
        <v>3</v>
      </c>
      <c r="Z134">
        <v>3</v>
      </c>
      <c r="AA134">
        <v>80</v>
      </c>
      <c r="AB134">
        <v>1</v>
      </c>
      <c r="AC134">
        <v>4</v>
      </c>
      <c r="AD134">
        <v>2</v>
      </c>
      <c r="AE134">
        <v>3</v>
      </c>
      <c r="AF134">
        <v>2</v>
      </c>
      <c r="AG134">
        <v>2</v>
      </c>
      <c r="AH134">
        <v>2</v>
      </c>
      <c r="AI134">
        <v>2</v>
      </c>
      <c r="AJ134" s="2">
        <f>IF(tblHR[[#This Row],[Attrition]]="Yes",1,0)</f>
        <v>1</v>
      </c>
      <c r="AK134" t="str">
        <f>IF(tblHR[[#This Row],[Age]]&lt;26,"18-25",IF(tblHR[[#This Row],[Age]]&lt;36,"26-35",IF(tblHR[[#This Row],[Age]]&lt;46,"36-45",IF(tblHR[[#This Row],[Age]]&lt;56,"46-55","56+"))))</f>
        <v>26-35</v>
      </c>
    </row>
    <row r="135" spans="1:37"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s="1">
        <v>8189</v>
      </c>
      <c r="T135">
        <v>21196</v>
      </c>
      <c r="U135">
        <v>3</v>
      </c>
      <c r="V135" t="s">
        <v>42</v>
      </c>
      <c r="W135" t="s">
        <v>35</v>
      </c>
      <c r="X135">
        <v>13</v>
      </c>
      <c r="Y135">
        <v>3</v>
      </c>
      <c r="Z135">
        <v>3</v>
      </c>
      <c r="AA135">
        <v>80</v>
      </c>
      <c r="AB135">
        <v>1</v>
      </c>
      <c r="AC135">
        <v>12</v>
      </c>
      <c r="AD135">
        <v>2</v>
      </c>
      <c r="AE135">
        <v>3</v>
      </c>
      <c r="AF135">
        <v>9</v>
      </c>
      <c r="AG135">
        <v>7</v>
      </c>
      <c r="AH135">
        <v>0</v>
      </c>
      <c r="AI135">
        <v>7</v>
      </c>
      <c r="AJ135" s="2">
        <f>IF(tblHR[[#This Row],[Attrition]]="Yes",1,0)</f>
        <v>0</v>
      </c>
      <c r="AK135" t="str">
        <f>IF(tblHR[[#This Row],[Age]]&lt;26,"18-25",IF(tblHR[[#This Row],[Age]]&lt;36,"26-35",IF(tblHR[[#This Row],[Age]]&lt;46,"36-45",IF(tblHR[[#This Row],[Age]]&lt;56,"46-55","56+"))))</f>
        <v>36-45</v>
      </c>
    </row>
    <row r="136" spans="1:37"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s="1">
        <v>2942</v>
      </c>
      <c r="T136">
        <v>8916</v>
      </c>
      <c r="U136">
        <v>1</v>
      </c>
      <c r="V136" t="s">
        <v>42</v>
      </c>
      <c r="W136" t="s">
        <v>43</v>
      </c>
      <c r="X136">
        <v>23</v>
      </c>
      <c r="Y136">
        <v>4</v>
      </c>
      <c r="Z136">
        <v>4</v>
      </c>
      <c r="AA136">
        <v>80</v>
      </c>
      <c r="AB136">
        <v>1</v>
      </c>
      <c r="AC136">
        <v>8</v>
      </c>
      <c r="AD136">
        <v>3</v>
      </c>
      <c r="AE136">
        <v>3</v>
      </c>
      <c r="AF136">
        <v>8</v>
      </c>
      <c r="AG136">
        <v>7</v>
      </c>
      <c r="AH136">
        <v>5</v>
      </c>
      <c r="AI136">
        <v>7</v>
      </c>
      <c r="AJ136" s="2">
        <f>IF(tblHR[[#This Row],[Attrition]]="Yes",1,0)</f>
        <v>0</v>
      </c>
      <c r="AK136" t="str">
        <f>IF(tblHR[[#This Row],[Age]]&lt;26,"18-25",IF(tblHR[[#This Row],[Age]]&lt;36,"26-35",IF(tblHR[[#This Row],[Age]]&lt;46,"36-45",IF(tblHR[[#This Row],[Age]]&lt;56,"46-55","56+"))))</f>
        <v>26-35</v>
      </c>
    </row>
    <row r="137" spans="1:37"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s="1">
        <v>4941</v>
      </c>
      <c r="T137">
        <v>2819</v>
      </c>
      <c r="U137">
        <v>6</v>
      </c>
      <c r="V137" t="s">
        <v>42</v>
      </c>
      <c r="W137" t="s">
        <v>43</v>
      </c>
      <c r="X137">
        <v>20</v>
      </c>
      <c r="Y137">
        <v>4</v>
      </c>
      <c r="Z137">
        <v>4</v>
      </c>
      <c r="AA137">
        <v>80</v>
      </c>
      <c r="AB137">
        <v>2</v>
      </c>
      <c r="AC137">
        <v>7</v>
      </c>
      <c r="AD137">
        <v>0</v>
      </c>
      <c r="AE137">
        <v>3</v>
      </c>
      <c r="AF137">
        <v>3</v>
      </c>
      <c r="AG137">
        <v>2</v>
      </c>
      <c r="AH137">
        <v>0</v>
      </c>
      <c r="AI137">
        <v>1</v>
      </c>
      <c r="AJ137" s="2">
        <f>IF(tblHR[[#This Row],[Attrition]]="Yes",1,0)</f>
        <v>0</v>
      </c>
      <c r="AK137" t="str">
        <f>IF(tblHR[[#This Row],[Age]]&lt;26,"18-25",IF(tblHR[[#This Row],[Age]]&lt;36,"26-35",IF(tblHR[[#This Row],[Age]]&lt;46,"36-45",IF(tblHR[[#This Row],[Age]]&lt;56,"46-55","56+"))))</f>
        <v>36-45</v>
      </c>
    </row>
    <row r="138" spans="1:37"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s="1">
        <v>10650</v>
      </c>
      <c r="T138">
        <v>25150</v>
      </c>
      <c r="U138">
        <v>2</v>
      </c>
      <c r="V138" t="s">
        <v>42</v>
      </c>
      <c r="W138" t="s">
        <v>43</v>
      </c>
      <c r="X138">
        <v>15</v>
      </c>
      <c r="Y138">
        <v>3</v>
      </c>
      <c r="Z138">
        <v>4</v>
      </c>
      <c r="AA138">
        <v>80</v>
      </c>
      <c r="AB138">
        <v>0</v>
      </c>
      <c r="AC138">
        <v>18</v>
      </c>
      <c r="AD138">
        <v>2</v>
      </c>
      <c r="AE138">
        <v>3</v>
      </c>
      <c r="AF138">
        <v>4</v>
      </c>
      <c r="AG138">
        <v>2</v>
      </c>
      <c r="AH138">
        <v>0</v>
      </c>
      <c r="AI138">
        <v>3</v>
      </c>
      <c r="AJ138" s="2">
        <f>IF(tblHR[[#This Row],[Attrition]]="Yes",1,0)</f>
        <v>1</v>
      </c>
      <c r="AK138" t="str">
        <f>IF(tblHR[[#This Row],[Age]]&lt;26,"18-25",IF(tblHR[[#This Row],[Age]]&lt;36,"26-35",IF(tblHR[[#This Row],[Age]]&lt;46,"36-45",IF(tblHR[[#This Row],[Age]]&lt;56,"46-55","56+"))))</f>
        <v>46-55</v>
      </c>
    </row>
    <row r="139" spans="1:37"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s="1">
        <v>5902</v>
      </c>
      <c r="T139">
        <v>14590</v>
      </c>
      <c r="U139">
        <v>4</v>
      </c>
      <c r="V139" t="s">
        <v>42</v>
      </c>
      <c r="W139" t="s">
        <v>43</v>
      </c>
      <c r="X139">
        <v>14</v>
      </c>
      <c r="Y139">
        <v>3</v>
      </c>
      <c r="Z139">
        <v>3</v>
      </c>
      <c r="AA139">
        <v>80</v>
      </c>
      <c r="AB139">
        <v>1</v>
      </c>
      <c r="AC139">
        <v>17</v>
      </c>
      <c r="AD139">
        <v>1</v>
      </c>
      <c r="AE139">
        <v>4</v>
      </c>
      <c r="AF139">
        <v>15</v>
      </c>
      <c r="AG139">
        <v>11</v>
      </c>
      <c r="AH139">
        <v>5</v>
      </c>
      <c r="AI139">
        <v>9</v>
      </c>
      <c r="AJ139" s="2">
        <f>IF(tblHR[[#This Row],[Attrition]]="Yes",1,0)</f>
        <v>0</v>
      </c>
      <c r="AK139" t="str">
        <f>IF(tblHR[[#This Row],[Age]]&lt;26,"18-25",IF(tblHR[[#This Row],[Age]]&lt;36,"26-35",IF(tblHR[[#This Row],[Age]]&lt;46,"36-45",IF(tblHR[[#This Row],[Age]]&lt;56,"46-55","56+"))))</f>
        <v>36-45</v>
      </c>
    </row>
    <row r="140" spans="1:37"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s="1">
        <v>8639</v>
      </c>
      <c r="T140">
        <v>24835</v>
      </c>
      <c r="U140">
        <v>2</v>
      </c>
      <c r="V140" t="s">
        <v>42</v>
      </c>
      <c r="W140" t="s">
        <v>43</v>
      </c>
      <c r="X140">
        <v>18</v>
      </c>
      <c r="Y140">
        <v>3</v>
      </c>
      <c r="Z140">
        <v>4</v>
      </c>
      <c r="AA140">
        <v>80</v>
      </c>
      <c r="AB140">
        <v>0</v>
      </c>
      <c r="AC140">
        <v>6</v>
      </c>
      <c r="AD140">
        <v>3</v>
      </c>
      <c r="AE140">
        <v>3</v>
      </c>
      <c r="AF140">
        <v>2</v>
      </c>
      <c r="AG140">
        <v>2</v>
      </c>
      <c r="AH140">
        <v>2</v>
      </c>
      <c r="AI140">
        <v>2</v>
      </c>
      <c r="AJ140" s="2">
        <f>IF(tblHR[[#This Row],[Attrition]]="Yes",1,0)</f>
        <v>0</v>
      </c>
      <c r="AK140" t="str">
        <f>IF(tblHR[[#This Row],[Age]]&lt;26,"18-25",IF(tblHR[[#This Row],[Age]]&lt;36,"26-35",IF(tblHR[[#This Row],[Age]]&lt;46,"36-45",IF(tblHR[[#This Row],[Age]]&lt;56,"46-55","56+"))))</f>
        <v>18-25</v>
      </c>
    </row>
    <row r="141" spans="1:37"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s="1">
        <v>6347</v>
      </c>
      <c r="T141">
        <v>13982</v>
      </c>
      <c r="U141">
        <v>0</v>
      </c>
      <c r="V141" t="s">
        <v>42</v>
      </c>
      <c r="W141" t="s">
        <v>35</v>
      </c>
      <c r="X141">
        <v>19</v>
      </c>
      <c r="Y141">
        <v>3</v>
      </c>
      <c r="Z141">
        <v>4</v>
      </c>
      <c r="AA141">
        <v>80</v>
      </c>
      <c r="AB141">
        <v>0</v>
      </c>
      <c r="AC141">
        <v>12</v>
      </c>
      <c r="AD141">
        <v>2</v>
      </c>
      <c r="AE141">
        <v>1</v>
      </c>
      <c r="AF141">
        <v>11</v>
      </c>
      <c r="AG141">
        <v>9</v>
      </c>
      <c r="AH141">
        <v>4</v>
      </c>
      <c r="AI141">
        <v>7</v>
      </c>
      <c r="AJ141" s="2">
        <f>IF(tblHR[[#This Row],[Attrition]]="Yes",1,0)</f>
        <v>0</v>
      </c>
      <c r="AK141" t="str">
        <f>IF(tblHR[[#This Row],[Age]]&lt;26,"18-25",IF(tblHR[[#This Row],[Age]]&lt;36,"26-35",IF(tblHR[[#This Row],[Age]]&lt;46,"36-45",IF(tblHR[[#This Row],[Age]]&lt;56,"46-55","56+"))))</f>
        <v>26-35</v>
      </c>
    </row>
    <row r="142" spans="1:37"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s="1">
        <v>4200</v>
      </c>
      <c r="T142">
        <v>10224</v>
      </c>
      <c r="U142">
        <v>7</v>
      </c>
      <c r="V142" t="s">
        <v>42</v>
      </c>
      <c r="W142" t="s">
        <v>43</v>
      </c>
      <c r="X142">
        <v>22</v>
      </c>
      <c r="Y142">
        <v>4</v>
      </c>
      <c r="Z142">
        <v>1</v>
      </c>
      <c r="AA142">
        <v>80</v>
      </c>
      <c r="AB142">
        <v>0</v>
      </c>
      <c r="AC142">
        <v>10</v>
      </c>
      <c r="AD142">
        <v>2</v>
      </c>
      <c r="AE142">
        <v>4</v>
      </c>
      <c r="AF142">
        <v>5</v>
      </c>
      <c r="AG142">
        <v>4</v>
      </c>
      <c r="AH142">
        <v>0</v>
      </c>
      <c r="AI142">
        <v>4</v>
      </c>
      <c r="AJ142" s="2">
        <f>IF(tblHR[[#This Row],[Attrition]]="Yes",1,0)</f>
        <v>1</v>
      </c>
      <c r="AK142" t="str">
        <f>IF(tblHR[[#This Row],[Age]]&lt;26,"18-25",IF(tblHR[[#This Row],[Age]]&lt;36,"26-35",IF(tblHR[[#This Row],[Age]]&lt;46,"36-45",IF(tblHR[[#This Row],[Age]]&lt;56,"46-55","56+"))))</f>
        <v>26-35</v>
      </c>
    </row>
    <row r="143" spans="1:37"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s="1">
        <v>3452</v>
      </c>
      <c r="T143">
        <v>9752</v>
      </c>
      <c r="U143">
        <v>5</v>
      </c>
      <c r="V143" t="s">
        <v>42</v>
      </c>
      <c r="W143" t="s">
        <v>43</v>
      </c>
      <c r="X143">
        <v>13</v>
      </c>
      <c r="Y143">
        <v>3</v>
      </c>
      <c r="Z143">
        <v>2</v>
      </c>
      <c r="AA143">
        <v>80</v>
      </c>
      <c r="AB143">
        <v>0</v>
      </c>
      <c r="AC143">
        <v>9</v>
      </c>
      <c r="AD143">
        <v>2</v>
      </c>
      <c r="AE143">
        <v>2</v>
      </c>
      <c r="AF143">
        <v>6</v>
      </c>
      <c r="AG143">
        <v>5</v>
      </c>
      <c r="AH143">
        <v>0</v>
      </c>
      <c r="AI143">
        <v>3</v>
      </c>
      <c r="AJ143" s="2">
        <f>IF(tblHR[[#This Row],[Attrition]]="Yes",1,0)</f>
        <v>0</v>
      </c>
      <c r="AK143" t="str">
        <f>IF(tblHR[[#This Row],[Age]]&lt;26,"18-25",IF(tblHR[[#This Row],[Age]]&lt;36,"26-35",IF(tblHR[[#This Row],[Age]]&lt;46,"36-45",IF(tblHR[[#This Row],[Age]]&lt;56,"46-55","56+"))))</f>
        <v>36-45</v>
      </c>
    </row>
    <row r="144" spans="1:37"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s="1">
        <v>4317</v>
      </c>
      <c r="T144">
        <v>2302</v>
      </c>
      <c r="U144">
        <v>3</v>
      </c>
      <c r="V144" t="s">
        <v>42</v>
      </c>
      <c r="W144" t="s">
        <v>35</v>
      </c>
      <c r="X144">
        <v>20</v>
      </c>
      <c r="Y144">
        <v>4</v>
      </c>
      <c r="Z144">
        <v>2</v>
      </c>
      <c r="AA144">
        <v>80</v>
      </c>
      <c r="AB144">
        <v>0</v>
      </c>
      <c r="AC144">
        <v>19</v>
      </c>
      <c r="AD144">
        <v>2</v>
      </c>
      <c r="AE144">
        <v>3</v>
      </c>
      <c r="AF144">
        <v>3</v>
      </c>
      <c r="AG144">
        <v>2</v>
      </c>
      <c r="AH144">
        <v>2</v>
      </c>
      <c r="AI144">
        <v>2</v>
      </c>
      <c r="AJ144" s="2">
        <f>IF(tblHR[[#This Row],[Attrition]]="Yes",1,0)</f>
        <v>0</v>
      </c>
      <c r="AK144" t="str">
        <f>IF(tblHR[[#This Row],[Age]]&lt;26,"18-25",IF(tblHR[[#This Row],[Age]]&lt;36,"26-35",IF(tblHR[[#This Row],[Age]]&lt;46,"36-45",IF(tblHR[[#This Row],[Age]]&lt;56,"46-55","56+"))))</f>
        <v>36-45</v>
      </c>
    </row>
    <row r="145" spans="1:37"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s="1">
        <v>2632</v>
      </c>
      <c r="T145">
        <v>23910</v>
      </c>
      <c r="U145">
        <v>1</v>
      </c>
      <c r="V145" t="s">
        <v>42</v>
      </c>
      <c r="W145" t="s">
        <v>43</v>
      </c>
      <c r="X145">
        <v>14</v>
      </c>
      <c r="Y145">
        <v>3</v>
      </c>
      <c r="Z145">
        <v>3</v>
      </c>
      <c r="AA145">
        <v>80</v>
      </c>
      <c r="AB145">
        <v>0</v>
      </c>
      <c r="AC145">
        <v>5</v>
      </c>
      <c r="AD145">
        <v>4</v>
      </c>
      <c r="AE145">
        <v>2</v>
      </c>
      <c r="AF145">
        <v>5</v>
      </c>
      <c r="AG145">
        <v>4</v>
      </c>
      <c r="AH145">
        <v>0</v>
      </c>
      <c r="AI145">
        <v>4</v>
      </c>
      <c r="AJ145" s="2">
        <f>IF(tblHR[[#This Row],[Attrition]]="Yes",1,0)</f>
        <v>0</v>
      </c>
      <c r="AK145" t="str">
        <f>IF(tblHR[[#This Row],[Age]]&lt;26,"18-25",IF(tblHR[[#This Row],[Age]]&lt;36,"26-35",IF(tblHR[[#This Row],[Age]]&lt;46,"36-45",IF(tblHR[[#This Row],[Age]]&lt;56,"46-55","56+"))))</f>
        <v>26-35</v>
      </c>
    </row>
    <row r="146" spans="1:37"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s="1">
        <v>4668</v>
      </c>
      <c r="T146">
        <v>22812</v>
      </c>
      <c r="U146">
        <v>0</v>
      </c>
      <c r="V146" t="s">
        <v>42</v>
      </c>
      <c r="W146" t="s">
        <v>43</v>
      </c>
      <c r="X146">
        <v>17</v>
      </c>
      <c r="Y146">
        <v>3</v>
      </c>
      <c r="Z146">
        <v>4</v>
      </c>
      <c r="AA146">
        <v>80</v>
      </c>
      <c r="AB146">
        <v>3</v>
      </c>
      <c r="AC146">
        <v>9</v>
      </c>
      <c r="AD146">
        <v>2</v>
      </c>
      <c r="AE146">
        <v>4</v>
      </c>
      <c r="AF146">
        <v>8</v>
      </c>
      <c r="AG146">
        <v>7</v>
      </c>
      <c r="AH146">
        <v>0</v>
      </c>
      <c r="AI146">
        <v>7</v>
      </c>
      <c r="AJ146" s="2">
        <f>IF(tblHR[[#This Row],[Attrition]]="Yes",1,0)</f>
        <v>0</v>
      </c>
      <c r="AK146" t="str">
        <f>IF(tblHR[[#This Row],[Age]]&lt;26,"18-25",IF(tblHR[[#This Row],[Age]]&lt;36,"26-35",IF(tblHR[[#This Row],[Age]]&lt;46,"36-45",IF(tblHR[[#This Row],[Age]]&lt;56,"46-55","56+"))))</f>
        <v>26-35</v>
      </c>
    </row>
    <row r="147" spans="1:37"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s="1">
        <v>3204</v>
      </c>
      <c r="T147">
        <v>10415</v>
      </c>
      <c r="U147">
        <v>5</v>
      </c>
      <c r="V147" t="s">
        <v>42</v>
      </c>
      <c r="W147" t="s">
        <v>43</v>
      </c>
      <c r="X147">
        <v>14</v>
      </c>
      <c r="Y147">
        <v>3</v>
      </c>
      <c r="Z147">
        <v>4</v>
      </c>
      <c r="AA147">
        <v>80</v>
      </c>
      <c r="AB147">
        <v>1</v>
      </c>
      <c r="AC147">
        <v>8</v>
      </c>
      <c r="AD147">
        <v>3</v>
      </c>
      <c r="AE147">
        <v>3</v>
      </c>
      <c r="AF147">
        <v>3</v>
      </c>
      <c r="AG147">
        <v>2</v>
      </c>
      <c r="AH147">
        <v>2</v>
      </c>
      <c r="AI147">
        <v>2</v>
      </c>
      <c r="AJ147" s="2">
        <f>IF(tblHR[[#This Row],[Attrition]]="Yes",1,0)</f>
        <v>0</v>
      </c>
      <c r="AK147" t="str">
        <f>IF(tblHR[[#This Row],[Age]]&lt;26,"18-25",IF(tblHR[[#This Row],[Age]]&lt;36,"26-35",IF(tblHR[[#This Row],[Age]]&lt;46,"36-45",IF(tblHR[[#This Row],[Age]]&lt;56,"46-55","56+"))))</f>
        <v>26-35</v>
      </c>
    </row>
    <row r="148" spans="1:37"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s="1">
        <v>2720</v>
      </c>
      <c r="T148">
        <v>11162</v>
      </c>
      <c r="U148">
        <v>0</v>
      </c>
      <c r="V148" t="s">
        <v>42</v>
      </c>
      <c r="W148" t="s">
        <v>43</v>
      </c>
      <c r="X148">
        <v>13</v>
      </c>
      <c r="Y148">
        <v>3</v>
      </c>
      <c r="Z148">
        <v>4</v>
      </c>
      <c r="AA148">
        <v>80</v>
      </c>
      <c r="AB148">
        <v>0</v>
      </c>
      <c r="AC148">
        <v>6</v>
      </c>
      <c r="AD148">
        <v>3</v>
      </c>
      <c r="AE148">
        <v>3</v>
      </c>
      <c r="AF148">
        <v>5</v>
      </c>
      <c r="AG148">
        <v>3</v>
      </c>
      <c r="AH148">
        <v>1</v>
      </c>
      <c r="AI148">
        <v>2</v>
      </c>
      <c r="AJ148" s="2">
        <f>IF(tblHR[[#This Row],[Attrition]]="Yes",1,0)</f>
        <v>0</v>
      </c>
      <c r="AK148" t="str">
        <f>IF(tblHR[[#This Row],[Age]]&lt;26,"18-25",IF(tblHR[[#This Row],[Age]]&lt;36,"26-35",IF(tblHR[[#This Row],[Age]]&lt;46,"36-45",IF(tblHR[[#This Row],[Age]]&lt;56,"46-55","56+"))))</f>
        <v>26-35</v>
      </c>
    </row>
    <row r="149" spans="1:37"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s="1">
        <v>17181</v>
      </c>
      <c r="T149">
        <v>12888</v>
      </c>
      <c r="U149">
        <v>4</v>
      </c>
      <c r="V149" t="s">
        <v>42</v>
      </c>
      <c r="W149" t="s">
        <v>43</v>
      </c>
      <c r="X149">
        <v>13</v>
      </c>
      <c r="Y149">
        <v>3</v>
      </c>
      <c r="Z149">
        <v>2</v>
      </c>
      <c r="AA149">
        <v>80</v>
      </c>
      <c r="AB149">
        <v>1</v>
      </c>
      <c r="AC149">
        <v>21</v>
      </c>
      <c r="AD149">
        <v>2</v>
      </c>
      <c r="AE149">
        <v>2</v>
      </c>
      <c r="AF149">
        <v>7</v>
      </c>
      <c r="AG149">
        <v>6</v>
      </c>
      <c r="AH149">
        <v>7</v>
      </c>
      <c r="AI149">
        <v>7</v>
      </c>
      <c r="AJ149" s="2">
        <f>IF(tblHR[[#This Row],[Attrition]]="Yes",1,0)</f>
        <v>0</v>
      </c>
      <c r="AK149" t="str">
        <f>IF(tblHR[[#This Row],[Age]]&lt;26,"18-25",IF(tblHR[[#This Row],[Age]]&lt;36,"26-35",IF(tblHR[[#This Row],[Age]]&lt;46,"36-45",IF(tblHR[[#This Row],[Age]]&lt;56,"46-55","56+"))))</f>
        <v>36-45</v>
      </c>
    </row>
    <row r="150" spans="1:37"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s="1">
        <v>2238</v>
      </c>
      <c r="T150">
        <v>6961</v>
      </c>
      <c r="U150">
        <v>2</v>
      </c>
      <c r="V150" t="s">
        <v>42</v>
      </c>
      <c r="W150" t="s">
        <v>43</v>
      </c>
      <c r="X150">
        <v>21</v>
      </c>
      <c r="Y150">
        <v>4</v>
      </c>
      <c r="Z150">
        <v>4</v>
      </c>
      <c r="AA150">
        <v>80</v>
      </c>
      <c r="AB150">
        <v>1</v>
      </c>
      <c r="AC150">
        <v>7</v>
      </c>
      <c r="AD150">
        <v>2</v>
      </c>
      <c r="AE150">
        <v>3</v>
      </c>
      <c r="AF150">
        <v>5</v>
      </c>
      <c r="AG150">
        <v>0</v>
      </c>
      <c r="AH150">
        <v>1</v>
      </c>
      <c r="AI150">
        <v>4</v>
      </c>
      <c r="AJ150" s="2">
        <f>IF(tblHR[[#This Row],[Attrition]]="Yes",1,0)</f>
        <v>0</v>
      </c>
      <c r="AK150" t="str">
        <f>IF(tblHR[[#This Row],[Age]]&lt;26,"18-25",IF(tblHR[[#This Row],[Age]]&lt;36,"26-35",IF(tblHR[[#This Row],[Age]]&lt;46,"36-45",IF(tblHR[[#This Row],[Age]]&lt;56,"46-55","56+"))))</f>
        <v>36-45</v>
      </c>
    </row>
    <row r="151" spans="1:37"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s="1">
        <v>1483</v>
      </c>
      <c r="T151">
        <v>16102</v>
      </c>
      <c r="U151">
        <v>1</v>
      </c>
      <c r="V151" t="s">
        <v>42</v>
      </c>
      <c r="W151" t="s">
        <v>43</v>
      </c>
      <c r="X151">
        <v>14</v>
      </c>
      <c r="Y151">
        <v>3</v>
      </c>
      <c r="Z151">
        <v>4</v>
      </c>
      <c r="AA151">
        <v>80</v>
      </c>
      <c r="AB151">
        <v>0</v>
      </c>
      <c r="AC151">
        <v>1</v>
      </c>
      <c r="AD151">
        <v>3</v>
      </c>
      <c r="AE151">
        <v>3</v>
      </c>
      <c r="AF151">
        <v>1</v>
      </c>
      <c r="AG151">
        <v>0</v>
      </c>
      <c r="AH151">
        <v>0</v>
      </c>
      <c r="AI151">
        <v>0</v>
      </c>
      <c r="AJ151" s="2">
        <f>IF(tblHR[[#This Row],[Attrition]]="Yes",1,0)</f>
        <v>0</v>
      </c>
      <c r="AK151" t="str">
        <f>IF(tblHR[[#This Row],[Age]]&lt;26,"18-25",IF(tblHR[[#This Row],[Age]]&lt;36,"26-35",IF(tblHR[[#This Row],[Age]]&lt;46,"36-45",IF(tblHR[[#This Row],[Age]]&lt;56,"46-55","56+"))))</f>
        <v>18-25</v>
      </c>
    </row>
    <row r="152" spans="1:37"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s="1">
        <v>5605</v>
      </c>
      <c r="T152">
        <v>8504</v>
      </c>
      <c r="U152">
        <v>1</v>
      </c>
      <c r="V152" t="s">
        <v>42</v>
      </c>
      <c r="W152" t="s">
        <v>43</v>
      </c>
      <c r="X152">
        <v>11</v>
      </c>
      <c r="Y152">
        <v>3</v>
      </c>
      <c r="Z152">
        <v>1</v>
      </c>
      <c r="AA152">
        <v>80</v>
      </c>
      <c r="AB152">
        <v>1</v>
      </c>
      <c r="AC152">
        <v>20</v>
      </c>
      <c r="AD152">
        <v>2</v>
      </c>
      <c r="AE152">
        <v>3</v>
      </c>
      <c r="AF152">
        <v>20</v>
      </c>
      <c r="AG152">
        <v>7</v>
      </c>
      <c r="AH152">
        <v>2</v>
      </c>
      <c r="AI152">
        <v>13</v>
      </c>
      <c r="AJ152" s="2">
        <f>IF(tblHR[[#This Row],[Attrition]]="Yes",1,0)</f>
        <v>0</v>
      </c>
      <c r="AK152" t="str">
        <f>IF(tblHR[[#This Row],[Age]]&lt;26,"18-25",IF(tblHR[[#This Row],[Age]]&lt;36,"26-35",IF(tblHR[[#This Row],[Age]]&lt;46,"36-45",IF(tblHR[[#This Row],[Age]]&lt;56,"46-55","56+"))))</f>
        <v>36-45</v>
      </c>
    </row>
    <row r="153" spans="1:37"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s="1">
        <v>7295</v>
      </c>
      <c r="T153">
        <v>11439</v>
      </c>
      <c r="U153">
        <v>1</v>
      </c>
      <c r="V153" t="s">
        <v>42</v>
      </c>
      <c r="W153" t="s">
        <v>43</v>
      </c>
      <c r="X153">
        <v>13</v>
      </c>
      <c r="Y153">
        <v>3</v>
      </c>
      <c r="Z153">
        <v>1</v>
      </c>
      <c r="AA153">
        <v>80</v>
      </c>
      <c r="AB153">
        <v>2</v>
      </c>
      <c r="AC153">
        <v>10</v>
      </c>
      <c r="AD153">
        <v>3</v>
      </c>
      <c r="AE153">
        <v>3</v>
      </c>
      <c r="AF153">
        <v>10</v>
      </c>
      <c r="AG153">
        <v>8</v>
      </c>
      <c r="AH153">
        <v>0</v>
      </c>
      <c r="AI153">
        <v>6</v>
      </c>
      <c r="AJ153" s="2">
        <f>IF(tblHR[[#This Row],[Attrition]]="Yes",1,0)</f>
        <v>0</v>
      </c>
      <c r="AK153" t="str">
        <f>IF(tblHR[[#This Row],[Age]]&lt;26,"18-25",IF(tblHR[[#This Row],[Age]]&lt;36,"26-35",IF(tblHR[[#This Row],[Age]]&lt;46,"36-45",IF(tblHR[[#This Row],[Age]]&lt;56,"46-55","56+"))))</f>
        <v>26-35</v>
      </c>
    </row>
    <row r="154" spans="1:37"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s="1">
        <v>2306</v>
      </c>
      <c r="T154">
        <v>16047</v>
      </c>
      <c r="U154">
        <v>2</v>
      </c>
      <c r="V154" t="s">
        <v>42</v>
      </c>
      <c r="W154" t="s">
        <v>35</v>
      </c>
      <c r="X154">
        <v>20</v>
      </c>
      <c r="Y154">
        <v>4</v>
      </c>
      <c r="Z154">
        <v>4</v>
      </c>
      <c r="AA154">
        <v>80</v>
      </c>
      <c r="AB154">
        <v>1</v>
      </c>
      <c r="AC154">
        <v>13</v>
      </c>
      <c r="AD154">
        <v>3</v>
      </c>
      <c r="AE154">
        <v>1</v>
      </c>
      <c r="AF154">
        <v>7</v>
      </c>
      <c r="AG154">
        <v>7</v>
      </c>
      <c r="AH154">
        <v>4</v>
      </c>
      <c r="AI154">
        <v>5</v>
      </c>
      <c r="AJ154" s="2">
        <f>IF(tblHR[[#This Row],[Attrition]]="Yes",1,0)</f>
        <v>0</v>
      </c>
      <c r="AK154" t="str">
        <f>IF(tblHR[[#This Row],[Age]]&lt;26,"18-25",IF(tblHR[[#This Row],[Age]]&lt;36,"26-35",IF(tblHR[[#This Row],[Age]]&lt;46,"36-45",IF(tblHR[[#This Row],[Age]]&lt;56,"46-55","56+"))))</f>
        <v>46-55</v>
      </c>
    </row>
    <row r="155" spans="1:37"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s="1">
        <v>2348</v>
      </c>
      <c r="T155">
        <v>10901</v>
      </c>
      <c r="U155">
        <v>8</v>
      </c>
      <c r="V155" t="s">
        <v>42</v>
      </c>
      <c r="W155" t="s">
        <v>43</v>
      </c>
      <c r="X155">
        <v>18</v>
      </c>
      <c r="Y155">
        <v>3</v>
      </c>
      <c r="Z155">
        <v>3</v>
      </c>
      <c r="AA155">
        <v>80</v>
      </c>
      <c r="AB155">
        <v>1</v>
      </c>
      <c r="AC155">
        <v>20</v>
      </c>
      <c r="AD155">
        <v>2</v>
      </c>
      <c r="AE155">
        <v>1</v>
      </c>
      <c r="AF155">
        <v>17</v>
      </c>
      <c r="AG155">
        <v>9</v>
      </c>
      <c r="AH155">
        <v>0</v>
      </c>
      <c r="AI155">
        <v>15</v>
      </c>
      <c r="AJ155" s="2">
        <f>IF(tblHR[[#This Row],[Attrition]]="Yes",1,0)</f>
        <v>0</v>
      </c>
      <c r="AK155" t="str">
        <f>IF(tblHR[[#This Row],[Age]]&lt;26,"18-25",IF(tblHR[[#This Row],[Age]]&lt;36,"26-35",IF(tblHR[[#This Row],[Age]]&lt;46,"36-45",IF(tblHR[[#This Row],[Age]]&lt;56,"46-55","56+"))))</f>
        <v>36-45</v>
      </c>
    </row>
    <row r="156" spans="1:37"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s="1">
        <v>8998</v>
      </c>
      <c r="T156">
        <v>15589</v>
      </c>
      <c r="U156">
        <v>1</v>
      </c>
      <c r="V156" t="s">
        <v>42</v>
      </c>
      <c r="W156" t="s">
        <v>43</v>
      </c>
      <c r="X156">
        <v>14</v>
      </c>
      <c r="Y156">
        <v>3</v>
      </c>
      <c r="Z156">
        <v>4</v>
      </c>
      <c r="AA156">
        <v>80</v>
      </c>
      <c r="AB156">
        <v>0</v>
      </c>
      <c r="AC156">
        <v>9</v>
      </c>
      <c r="AD156">
        <v>2</v>
      </c>
      <c r="AE156">
        <v>3</v>
      </c>
      <c r="AF156">
        <v>9</v>
      </c>
      <c r="AG156">
        <v>8</v>
      </c>
      <c r="AH156">
        <v>3</v>
      </c>
      <c r="AI156">
        <v>7</v>
      </c>
      <c r="AJ156" s="2">
        <f>IF(tblHR[[#This Row],[Attrition]]="Yes",1,0)</f>
        <v>0</v>
      </c>
      <c r="AK156" t="str">
        <f>IF(tblHR[[#This Row],[Age]]&lt;26,"18-25",IF(tblHR[[#This Row],[Age]]&lt;36,"26-35",IF(tblHR[[#This Row],[Age]]&lt;46,"36-45",IF(tblHR[[#This Row],[Age]]&lt;56,"46-55","56+"))))</f>
        <v>26-35</v>
      </c>
    </row>
    <row r="157" spans="1:37"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s="1">
        <v>4319</v>
      </c>
      <c r="T157">
        <v>26283</v>
      </c>
      <c r="U157">
        <v>1</v>
      </c>
      <c r="V157" t="s">
        <v>42</v>
      </c>
      <c r="W157" t="s">
        <v>43</v>
      </c>
      <c r="X157">
        <v>13</v>
      </c>
      <c r="Y157">
        <v>3</v>
      </c>
      <c r="Z157">
        <v>1</v>
      </c>
      <c r="AA157">
        <v>80</v>
      </c>
      <c r="AB157">
        <v>1</v>
      </c>
      <c r="AC157">
        <v>10</v>
      </c>
      <c r="AD157">
        <v>1</v>
      </c>
      <c r="AE157">
        <v>3</v>
      </c>
      <c r="AF157">
        <v>10</v>
      </c>
      <c r="AG157">
        <v>7</v>
      </c>
      <c r="AH157">
        <v>0</v>
      </c>
      <c r="AI157">
        <v>9</v>
      </c>
      <c r="AJ157" s="2">
        <f>IF(tblHR[[#This Row],[Attrition]]="Yes",1,0)</f>
        <v>0</v>
      </c>
      <c r="AK157" t="str">
        <f>IF(tblHR[[#This Row],[Age]]&lt;26,"18-25",IF(tblHR[[#This Row],[Age]]&lt;36,"26-35",IF(tblHR[[#This Row],[Age]]&lt;46,"36-45",IF(tblHR[[#This Row],[Age]]&lt;56,"46-55","56+"))))</f>
        <v>26-35</v>
      </c>
    </row>
    <row r="158" spans="1:37"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s="1">
        <v>6132</v>
      </c>
      <c r="T158">
        <v>13983</v>
      </c>
      <c r="U158">
        <v>2</v>
      </c>
      <c r="V158" t="s">
        <v>42</v>
      </c>
      <c r="W158" t="s">
        <v>43</v>
      </c>
      <c r="X158">
        <v>17</v>
      </c>
      <c r="Y158">
        <v>3</v>
      </c>
      <c r="Z158">
        <v>3</v>
      </c>
      <c r="AA158">
        <v>80</v>
      </c>
      <c r="AB158">
        <v>0</v>
      </c>
      <c r="AC158">
        <v>10</v>
      </c>
      <c r="AD158">
        <v>2</v>
      </c>
      <c r="AE158">
        <v>3</v>
      </c>
      <c r="AF158">
        <v>1</v>
      </c>
      <c r="AG158">
        <v>0</v>
      </c>
      <c r="AH158">
        <v>0</v>
      </c>
      <c r="AI158">
        <v>0</v>
      </c>
      <c r="AJ158" s="2">
        <f>IF(tblHR[[#This Row],[Attrition]]="Yes",1,0)</f>
        <v>0</v>
      </c>
      <c r="AK158" t="str">
        <f>IF(tblHR[[#This Row],[Age]]&lt;26,"18-25",IF(tblHR[[#This Row],[Age]]&lt;36,"26-35",IF(tblHR[[#This Row],[Age]]&lt;46,"36-45",IF(tblHR[[#This Row],[Age]]&lt;56,"46-55","56+"))))</f>
        <v>46-55</v>
      </c>
    </row>
    <row r="159" spans="1:37"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s="1">
        <v>3346</v>
      </c>
      <c r="T159">
        <v>11873</v>
      </c>
      <c r="U159">
        <v>4</v>
      </c>
      <c r="V159" t="s">
        <v>42</v>
      </c>
      <c r="W159" t="s">
        <v>35</v>
      </c>
      <c r="X159">
        <v>20</v>
      </c>
      <c r="Y159">
        <v>4</v>
      </c>
      <c r="Z159">
        <v>2</v>
      </c>
      <c r="AA159">
        <v>80</v>
      </c>
      <c r="AB159">
        <v>1</v>
      </c>
      <c r="AC159">
        <v>9</v>
      </c>
      <c r="AD159">
        <v>3</v>
      </c>
      <c r="AE159">
        <v>2</v>
      </c>
      <c r="AF159">
        <v>1</v>
      </c>
      <c r="AG159">
        <v>0</v>
      </c>
      <c r="AH159">
        <v>0</v>
      </c>
      <c r="AI159">
        <v>0</v>
      </c>
      <c r="AJ159" s="2">
        <f>IF(tblHR[[#This Row],[Attrition]]="Yes",1,0)</f>
        <v>0</v>
      </c>
      <c r="AK159" t="str">
        <f>IF(tblHR[[#This Row],[Age]]&lt;26,"18-25",IF(tblHR[[#This Row],[Age]]&lt;36,"26-35",IF(tblHR[[#This Row],[Age]]&lt;46,"36-45",IF(tblHR[[#This Row],[Age]]&lt;56,"46-55","56+"))))</f>
        <v>56+</v>
      </c>
    </row>
    <row r="160" spans="1:37"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s="1">
        <v>10855</v>
      </c>
      <c r="T160">
        <v>8552</v>
      </c>
      <c r="U160">
        <v>7</v>
      </c>
      <c r="V160" t="s">
        <v>42</v>
      </c>
      <c r="W160" t="s">
        <v>43</v>
      </c>
      <c r="X160">
        <v>11</v>
      </c>
      <c r="Y160">
        <v>3</v>
      </c>
      <c r="Z160">
        <v>1</v>
      </c>
      <c r="AA160">
        <v>80</v>
      </c>
      <c r="AB160">
        <v>1</v>
      </c>
      <c r="AC160">
        <v>15</v>
      </c>
      <c r="AD160">
        <v>2</v>
      </c>
      <c r="AE160">
        <v>2</v>
      </c>
      <c r="AF160">
        <v>12</v>
      </c>
      <c r="AG160">
        <v>11</v>
      </c>
      <c r="AH160">
        <v>2</v>
      </c>
      <c r="AI160">
        <v>11</v>
      </c>
      <c r="AJ160" s="2">
        <f>IF(tblHR[[#This Row],[Attrition]]="Yes",1,0)</f>
        <v>0</v>
      </c>
      <c r="AK160" t="str">
        <f>IF(tblHR[[#This Row],[Age]]&lt;26,"18-25",IF(tblHR[[#This Row],[Age]]&lt;36,"26-35",IF(tblHR[[#This Row],[Age]]&lt;46,"36-45",IF(tblHR[[#This Row],[Age]]&lt;56,"46-55","56+"))))</f>
        <v>36-45</v>
      </c>
    </row>
    <row r="161" spans="1:37"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s="1">
        <v>2231</v>
      </c>
      <c r="T161">
        <v>11314</v>
      </c>
      <c r="U161">
        <v>6</v>
      </c>
      <c r="V161" t="s">
        <v>42</v>
      </c>
      <c r="W161" t="s">
        <v>43</v>
      </c>
      <c r="X161">
        <v>18</v>
      </c>
      <c r="Y161">
        <v>3</v>
      </c>
      <c r="Z161">
        <v>4</v>
      </c>
      <c r="AA161">
        <v>80</v>
      </c>
      <c r="AB161">
        <v>1</v>
      </c>
      <c r="AC161">
        <v>6</v>
      </c>
      <c r="AD161">
        <v>3</v>
      </c>
      <c r="AE161">
        <v>3</v>
      </c>
      <c r="AF161">
        <v>4</v>
      </c>
      <c r="AG161">
        <v>3</v>
      </c>
      <c r="AH161">
        <v>1</v>
      </c>
      <c r="AI161">
        <v>2</v>
      </c>
      <c r="AJ161" s="2">
        <f>IF(tblHR[[#This Row],[Attrition]]="Yes",1,0)</f>
        <v>0</v>
      </c>
      <c r="AK161" t="str">
        <f>IF(tblHR[[#This Row],[Age]]&lt;26,"18-25",IF(tblHR[[#This Row],[Age]]&lt;36,"26-35",IF(tblHR[[#This Row],[Age]]&lt;46,"36-45",IF(tblHR[[#This Row],[Age]]&lt;56,"46-55","56+"))))</f>
        <v>26-35</v>
      </c>
    </row>
    <row r="162" spans="1:37"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s="1">
        <v>2323</v>
      </c>
      <c r="T162">
        <v>11992</v>
      </c>
      <c r="U162">
        <v>1</v>
      </c>
      <c r="V162" t="s">
        <v>42</v>
      </c>
      <c r="W162" t="s">
        <v>43</v>
      </c>
      <c r="X162">
        <v>24</v>
      </c>
      <c r="Y162">
        <v>4</v>
      </c>
      <c r="Z162">
        <v>1</v>
      </c>
      <c r="AA162">
        <v>80</v>
      </c>
      <c r="AB162">
        <v>2</v>
      </c>
      <c r="AC162">
        <v>2</v>
      </c>
      <c r="AD162">
        <v>6</v>
      </c>
      <c r="AE162">
        <v>3</v>
      </c>
      <c r="AF162">
        <v>2</v>
      </c>
      <c r="AG162">
        <v>2</v>
      </c>
      <c r="AH162">
        <v>2</v>
      </c>
      <c r="AI162">
        <v>2</v>
      </c>
      <c r="AJ162" s="2">
        <f>IF(tblHR[[#This Row],[Attrition]]="Yes",1,0)</f>
        <v>0</v>
      </c>
      <c r="AK162" t="str">
        <f>IF(tblHR[[#This Row],[Age]]&lt;26,"18-25",IF(tblHR[[#This Row],[Age]]&lt;36,"26-35",IF(tblHR[[#This Row],[Age]]&lt;46,"36-45",IF(tblHR[[#This Row],[Age]]&lt;56,"46-55","56+"))))</f>
        <v>18-25</v>
      </c>
    </row>
    <row r="163" spans="1:37"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s="1">
        <v>2024</v>
      </c>
      <c r="T163">
        <v>5970</v>
      </c>
      <c r="U163">
        <v>6</v>
      </c>
      <c r="V163" t="s">
        <v>42</v>
      </c>
      <c r="W163" t="s">
        <v>43</v>
      </c>
      <c r="X163">
        <v>18</v>
      </c>
      <c r="Y163">
        <v>3</v>
      </c>
      <c r="Z163">
        <v>4</v>
      </c>
      <c r="AA163">
        <v>80</v>
      </c>
      <c r="AB163">
        <v>1</v>
      </c>
      <c r="AC163">
        <v>6</v>
      </c>
      <c r="AD163">
        <v>1</v>
      </c>
      <c r="AE163">
        <v>1</v>
      </c>
      <c r="AF163">
        <v>2</v>
      </c>
      <c r="AG163">
        <v>2</v>
      </c>
      <c r="AH163">
        <v>2</v>
      </c>
      <c r="AI163">
        <v>2</v>
      </c>
      <c r="AJ163" s="2">
        <f>IF(tblHR[[#This Row],[Attrition]]="Yes",1,0)</f>
        <v>0</v>
      </c>
      <c r="AK163" t="str">
        <f>IF(tblHR[[#This Row],[Age]]&lt;26,"18-25",IF(tblHR[[#This Row],[Age]]&lt;36,"26-35",IF(tblHR[[#This Row],[Age]]&lt;46,"36-45",IF(tblHR[[#This Row],[Age]]&lt;56,"46-55","56+"))))</f>
        <v>26-35</v>
      </c>
    </row>
    <row r="164" spans="1:37"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s="1">
        <v>2713</v>
      </c>
      <c r="T164">
        <v>6672</v>
      </c>
      <c r="U164">
        <v>1</v>
      </c>
      <c r="V164" t="s">
        <v>42</v>
      </c>
      <c r="W164" t="s">
        <v>43</v>
      </c>
      <c r="X164">
        <v>11</v>
      </c>
      <c r="Y164">
        <v>3</v>
      </c>
      <c r="Z164">
        <v>3</v>
      </c>
      <c r="AA164">
        <v>80</v>
      </c>
      <c r="AB164">
        <v>1</v>
      </c>
      <c r="AC164">
        <v>5</v>
      </c>
      <c r="AD164">
        <v>2</v>
      </c>
      <c r="AE164">
        <v>1</v>
      </c>
      <c r="AF164">
        <v>5</v>
      </c>
      <c r="AG164">
        <v>2</v>
      </c>
      <c r="AH164">
        <v>0</v>
      </c>
      <c r="AI164">
        <v>2</v>
      </c>
      <c r="AJ164" s="2">
        <f>IF(tblHR[[#This Row],[Attrition]]="Yes",1,0)</f>
        <v>0</v>
      </c>
      <c r="AK164" t="str">
        <f>IF(tblHR[[#This Row],[Age]]&lt;26,"18-25",IF(tblHR[[#This Row],[Age]]&lt;36,"26-35",IF(tblHR[[#This Row],[Age]]&lt;46,"36-45",IF(tblHR[[#This Row],[Age]]&lt;56,"46-55","56+"))))</f>
        <v>26-35</v>
      </c>
    </row>
    <row r="165" spans="1:37"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s="1">
        <v>9439</v>
      </c>
      <c r="T165">
        <v>23402</v>
      </c>
      <c r="U165">
        <v>3</v>
      </c>
      <c r="V165" t="s">
        <v>42</v>
      </c>
      <c r="W165" t="s">
        <v>35</v>
      </c>
      <c r="X165">
        <v>16</v>
      </c>
      <c r="Y165">
        <v>3</v>
      </c>
      <c r="Z165">
        <v>2</v>
      </c>
      <c r="AA165">
        <v>80</v>
      </c>
      <c r="AB165">
        <v>1</v>
      </c>
      <c r="AC165">
        <v>12</v>
      </c>
      <c r="AD165">
        <v>2</v>
      </c>
      <c r="AE165">
        <v>1</v>
      </c>
      <c r="AF165">
        <v>5</v>
      </c>
      <c r="AG165">
        <v>3</v>
      </c>
      <c r="AH165">
        <v>1</v>
      </c>
      <c r="AI165">
        <v>4</v>
      </c>
      <c r="AJ165" s="2">
        <f>IF(tblHR[[#This Row],[Attrition]]="Yes",1,0)</f>
        <v>0</v>
      </c>
      <c r="AK165" t="str">
        <f>IF(tblHR[[#This Row],[Age]]&lt;26,"18-25",IF(tblHR[[#This Row],[Age]]&lt;36,"26-35",IF(tblHR[[#This Row],[Age]]&lt;46,"36-45",IF(tblHR[[#This Row],[Age]]&lt;56,"46-55","56+"))))</f>
        <v>56+</v>
      </c>
    </row>
    <row r="166" spans="1:37"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s="1">
        <v>2566</v>
      </c>
      <c r="T166">
        <v>25326</v>
      </c>
      <c r="U166">
        <v>1</v>
      </c>
      <c r="V166" t="s">
        <v>42</v>
      </c>
      <c r="W166" t="s">
        <v>35</v>
      </c>
      <c r="X166">
        <v>15</v>
      </c>
      <c r="Y166">
        <v>3</v>
      </c>
      <c r="Z166">
        <v>4</v>
      </c>
      <c r="AA166">
        <v>80</v>
      </c>
      <c r="AB166">
        <v>1</v>
      </c>
      <c r="AC166">
        <v>1</v>
      </c>
      <c r="AD166">
        <v>2</v>
      </c>
      <c r="AE166">
        <v>2</v>
      </c>
      <c r="AF166">
        <v>1</v>
      </c>
      <c r="AG166">
        <v>1</v>
      </c>
      <c r="AH166">
        <v>0</v>
      </c>
      <c r="AI166">
        <v>1</v>
      </c>
      <c r="AJ166" s="2">
        <f>IF(tblHR[[#This Row],[Attrition]]="Yes",1,0)</f>
        <v>0</v>
      </c>
      <c r="AK166" t="str">
        <f>IF(tblHR[[#This Row],[Age]]&lt;26,"18-25",IF(tblHR[[#This Row],[Age]]&lt;36,"26-35",IF(tblHR[[#This Row],[Age]]&lt;46,"36-45",IF(tblHR[[#This Row],[Age]]&lt;56,"46-55","56+"))))</f>
        <v>26-35</v>
      </c>
    </row>
    <row r="167" spans="1:37"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s="1">
        <v>19926</v>
      </c>
      <c r="T167">
        <v>17053</v>
      </c>
      <c r="U167">
        <v>3</v>
      </c>
      <c r="V167" t="s">
        <v>42</v>
      </c>
      <c r="W167" t="s">
        <v>43</v>
      </c>
      <c r="X167">
        <v>15</v>
      </c>
      <c r="Y167">
        <v>3</v>
      </c>
      <c r="Z167">
        <v>2</v>
      </c>
      <c r="AA167">
        <v>80</v>
      </c>
      <c r="AB167">
        <v>0</v>
      </c>
      <c r="AC167">
        <v>21</v>
      </c>
      <c r="AD167">
        <v>5</v>
      </c>
      <c r="AE167">
        <v>3</v>
      </c>
      <c r="AF167">
        <v>5</v>
      </c>
      <c r="AG167">
        <v>4</v>
      </c>
      <c r="AH167">
        <v>4</v>
      </c>
      <c r="AI167">
        <v>4</v>
      </c>
      <c r="AJ167" s="2">
        <f>IF(tblHR[[#This Row],[Attrition]]="Yes",1,0)</f>
        <v>0</v>
      </c>
      <c r="AK167" t="str">
        <f>IF(tblHR[[#This Row],[Age]]&lt;26,"18-25",IF(tblHR[[#This Row],[Age]]&lt;36,"26-35",IF(tblHR[[#This Row],[Age]]&lt;46,"36-45",IF(tblHR[[#This Row],[Age]]&lt;56,"46-55","56+"))))</f>
        <v>46-55</v>
      </c>
    </row>
    <row r="168" spans="1:37"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s="1">
        <v>2451</v>
      </c>
      <c r="T168">
        <v>4609</v>
      </c>
      <c r="U168">
        <v>4</v>
      </c>
      <c r="V168" t="s">
        <v>42</v>
      </c>
      <c r="W168" t="s">
        <v>43</v>
      </c>
      <c r="X168">
        <v>12</v>
      </c>
      <c r="Y168">
        <v>3</v>
      </c>
      <c r="Z168">
        <v>1</v>
      </c>
      <c r="AA168">
        <v>80</v>
      </c>
      <c r="AB168">
        <v>1</v>
      </c>
      <c r="AC168">
        <v>13</v>
      </c>
      <c r="AD168">
        <v>2</v>
      </c>
      <c r="AE168">
        <v>3</v>
      </c>
      <c r="AF168">
        <v>9</v>
      </c>
      <c r="AG168">
        <v>8</v>
      </c>
      <c r="AH168">
        <v>1</v>
      </c>
      <c r="AI168">
        <v>8</v>
      </c>
      <c r="AJ168" s="2">
        <f>IF(tblHR[[#This Row],[Attrition]]="Yes",1,0)</f>
        <v>0</v>
      </c>
      <c r="AK168" t="str">
        <f>IF(tblHR[[#This Row],[Age]]&lt;26,"18-25",IF(tblHR[[#This Row],[Age]]&lt;36,"26-35",IF(tblHR[[#This Row],[Age]]&lt;46,"36-45",IF(tblHR[[#This Row],[Age]]&lt;56,"46-55","56+"))))</f>
        <v>36-45</v>
      </c>
    </row>
    <row r="169" spans="1:37"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s="1">
        <v>9419</v>
      </c>
      <c r="T169">
        <v>8053</v>
      </c>
      <c r="U169">
        <v>2</v>
      </c>
      <c r="V169" t="s">
        <v>42</v>
      </c>
      <c r="W169" t="s">
        <v>43</v>
      </c>
      <c r="X169">
        <v>12</v>
      </c>
      <c r="Y169">
        <v>3</v>
      </c>
      <c r="Z169">
        <v>3</v>
      </c>
      <c r="AA169">
        <v>80</v>
      </c>
      <c r="AB169">
        <v>1</v>
      </c>
      <c r="AC169">
        <v>12</v>
      </c>
      <c r="AD169">
        <v>2</v>
      </c>
      <c r="AE169">
        <v>3</v>
      </c>
      <c r="AF169">
        <v>10</v>
      </c>
      <c r="AG169">
        <v>9</v>
      </c>
      <c r="AH169">
        <v>7</v>
      </c>
      <c r="AI169">
        <v>4</v>
      </c>
      <c r="AJ169" s="2">
        <f>IF(tblHR[[#This Row],[Attrition]]="Yes",1,0)</f>
        <v>0</v>
      </c>
      <c r="AK169" t="str">
        <f>IF(tblHR[[#This Row],[Age]]&lt;26,"18-25",IF(tblHR[[#This Row],[Age]]&lt;36,"26-35",IF(tblHR[[#This Row],[Age]]&lt;46,"36-45",IF(tblHR[[#This Row],[Age]]&lt;56,"46-55","56+"))))</f>
        <v>26-35</v>
      </c>
    </row>
    <row r="170" spans="1:37"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s="1">
        <v>8686</v>
      </c>
      <c r="T170">
        <v>12930</v>
      </c>
      <c r="U170">
        <v>4</v>
      </c>
      <c r="V170" t="s">
        <v>42</v>
      </c>
      <c r="W170" t="s">
        <v>43</v>
      </c>
      <c r="X170">
        <v>22</v>
      </c>
      <c r="Y170">
        <v>4</v>
      </c>
      <c r="Z170">
        <v>3</v>
      </c>
      <c r="AA170">
        <v>80</v>
      </c>
      <c r="AB170">
        <v>0</v>
      </c>
      <c r="AC170">
        <v>12</v>
      </c>
      <c r="AD170">
        <v>2</v>
      </c>
      <c r="AE170">
        <v>4</v>
      </c>
      <c r="AF170">
        <v>8</v>
      </c>
      <c r="AG170">
        <v>3</v>
      </c>
      <c r="AH170">
        <v>0</v>
      </c>
      <c r="AI170">
        <v>7</v>
      </c>
      <c r="AJ170" s="2">
        <f>IF(tblHR[[#This Row],[Attrition]]="Yes",1,0)</f>
        <v>0</v>
      </c>
      <c r="AK170" t="str">
        <f>IF(tblHR[[#This Row],[Age]]&lt;26,"18-25",IF(tblHR[[#This Row],[Age]]&lt;36,"26-35",IF(tblHR[[#This Row],[Age]]&lt;46,"36-45",IF(tblHR[[#This Row],[Age]]&lt;56,"46-55","56+"))))</f>
        <v>36-45</v>
      </c>
    </row>
    <row r="171" spans="1:37"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s="1">
        <v>3038</v>
      </c>
      <c r="T171">
        <v>12430</v>
      </c>
      <c r="U171">
        <v>3</v>
      </c>
      <c r="V171" t="s">
        <v>42</v>
      </c>
      <c r="W171" t="s">
        <v>43</v>
      </c>
      <c r="X171">
        <v>20</v>
      </c>
      <c r="Y171">
        <v>4</v>
      </c>
      <c r="Z171">
        <v>1</v>
      </c>
      <c r="AA171">
        <v>80</v>
      </c>
      <c r="AB171">
        <v>0</v>
      </c>
      <c r="AC171">
        <v>8</v>
      </c>
      <c r="AD171">
        <v>2</v>
      </c>
      <c r="AE171">
        <v>3</v>
      </c>
      <c r="AF171">
        <v>5</v>
      </c>
      <c r="AG171">
        <v>4</v>
      </c>
      <c r="AH171">
        <v>1</v>
      </c>
      <c r="AI171">
        <v>4</v>
      </c>
      <c r="AJ171" s="2">
        <f>IF(tblHR[[#This Row],[Attrition]]="Yes",1,0)</f>
        <v>0</v>
      </c>
      <c r="AK171" t="str">
        <f>IF(tblHR[[#This Row],[Age]]&lt;26,"18-25",IF(tblHR[[#This Row],[Age]]&lt;36,"26-35",IF(tblHR[[#This Row],[Age]]&lt;46,"36-45",IF(tblHR[[#This Row],[Age]]&lt;56,"46-55","56+"))))</f>
        <v>26-35</v>
      </c>
    </row>
    <row r="172" spans="1:37"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s="1">
        <v>3058</v>
      </c>
      <c r="T172">
        <v>13364</v>
      </c>
      <c r="U172">
        <v>0</v>
      </c>
      <c r="V172" t="s">
        <v>42</v>
      </c>
      <c r="W172" t="s">
        <v>35</v>
      </c>
      <c r="X172">
        <v>16</v>
      </c>
      <c r="Y172">
        <v>3</v>
      </c>
      <c r="Z172">
        <v>4</v>
      </c>
      <c r="AA172">
        <v>80</v>
      </c>
      <c r="AB172">
        <v>1</v>
      </c>
      <c r="AC172">
        <v>6</v>
      </c>
      <c r="AD172">
        <v>3</v>
      </c>
      <c r="AE172">
        <v>2</v>
      </c>
      <c r="AF172">
        <v>5</v>
      </c>
      <c r="AG172">
        <v>2</v>
      </c>
      <c r="AH172">
        <v>1</v>
      </c>
      <c r="AI172">
        <v>1</v>
      </c>
      <c r="AJ172" s="2">
        <f>IF(tblHR[[#This Row],[Attrition]]="Yes",1,0)</f>
        <v>0</v>
      </c>
      <c r="AK172" t="str">
        <f>IF(tblHR[[#This Row],[Age]]&lt;26,"18-25",IF(tblHR[[#This Row],[Age]]&lt;36,"26-35",IF(tblHR[[#This Row],[Age]]&lt;46,"36-45",IF(tblHR[[#This Row],[Age]]&lt;56,"46-55","56+"))))</f>
        <v>26-35</v>
      </c>
    </row>
    <row r="173" spans="1:37"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s="1">
        <v>2325</v>
      </c>
      <c r="T173">
        <v>20989</v>
      </c>
      <c r="U173">
        <v>0</v>
      </c>
      <c r="V173" t="s">
        <v>42</v>
      </c>
      <c r="W173" t="s">
        <v>43</v>
      </c>
      <c r="X173">
        <v>21</v>
      </c>
      <c r="Y173">
        <v>4</v>
      </c>
      <c r="Z173">
        <v>1</v>
      </c>
      <c r="AA173">
        <v>80</v>
      </c>
      <c r="AB173">
        <v>0</v>
      </c>
      <c r="AC173">
        <v>1</v>
      </c>
      <c r="AD173">
        <v>5</v>
      </c>
      <c r="AE173">
        <v>4</v>
      </c>
      <c r="AF173">
        <v>0</v>
      </c>
      <c r="AG173">
        <v>0</v>
      </c>
      <c r="AH173">
        <v>0</v>
      </c>
      <c r="AI173">
        <v>0</v>
      </c>
      <c r="AJ173" s="2">
        <f>IF(tblHR[[#This Row],[Attrition]]="Yes",1,0)</f>
        <v>1</v>
      </c>
      <c r="AK173" t="str">
        <f>IF(tblHR[[#This Row],[Age]]&lt;26,"18-25",IF(tblHR[[#This Row],[Age]]&lt;36,"26-35",IF(tblHR[[#This Row],[Age]]&lt;46,"36-45",IF(tblHR[[#This Row],[Age]]&lt;56,"46-55","56+"))))</f>
        <v>18-25</v>
      </c>
    </row>
    <row r="174" spans="1:37"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s="1">
        <v>2088</v>
      </c>
      <c r="T174">
        <v>15062</v>
      </c>
      <c r="U174">
        <v>4</v>
      </c>
      <c r="V174" t="s">
        <v>42</v>
      </c>
      <c r="W174" t="s">
        <v>43</v>
      </c>
      <c r="X174">
        <v>12</v>
      </c>
      <c r="Y174">
        <v>3</v>
      </c>
      <c r="Z174">
        <v>3</v>
      </c>
      <c r="AA174">
        <v>80</v>
      </c>
      <c r="AB174">
        <v>0</v>
      </c>
      <c r="AC174">
        <v>13</v>
      </c>
      <c r="AD174">
        <v>3</v>
      </c>
      <c r="AE174">
        <v>2</v>
      </c>
      <c r="AF174">
        <v>8</v>
      </c>
      <c r="AG174">
        <v>7</v>
      </c>
      <c r="AH174">
        <v>7</v>
      </c>
      <c r="AI174">
        <v>2</v>
      </c>
      <c r="AJ174" s="2">
        <f>IF(tblHR[[#This Row],[Attrition]]="Yes",1,0)</f>
        <v>0</v>
      </c>
      <c r="AK174" t="str">
        <f>IF(tblHR[[#This Row],[Age]]&lt;26,"18-25",IF(tblHR[[#This Row],[Age]]&lt;36,"26-35",IF(tblHR[[#This Row],[Age]]&lt;46,"36-45",IF(tblHR[[#This Row],[Age]]&lt;56,"46-55","56+"))))</f>
        <v>36-45</v>
      </c>
    </row>
    <row r="175" spans="1:37"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s="1">
        <v>3072</v>
      </c>
      <c r="T175">
        <v>11012</v>
      </c>
      <c r="U175">
        <v>1</v>
      </c>
      <c r="V175" t="s">
        <v>42</v>
      </c>
      <c r="W175" t="s">
        <v>43</v>
      </c>
      <c r="X175">
        <v>11</v>
      </c>
      <c r="Y175">
        <v>3</v>
      </c>
      <c r="Z175">
        <v>3</v>
      </c>
      <c r="AA175">
        <v>80</v>
      </c>
      <c r="AB175">
        <v>2</v>
      </c>
      <c r="AC175">
        <v>12</v>
      </c>
      <c r="AD175">
        <v>4</v>
      </c>
      <c r="AE175">
        <v>3</v>
      </c>
      <c r="AF175">
        <v>12</v>
      </c>
      <c r="AG175">
        <v>9</v>
      </c>
      <c r="AH175">
        <v>6</v>
      </c>
      <c r="AI175">
        <v>10</v>
      </c>
      <c r="AJ175" s="2">
        <f>IF(tblHR[[#This Row],[Attrition]]="Yes",1,0)</f>
        <v>0</v>
      </c>
      <c r="AK175" t="str">
        <f>IF(tblHR[[#This Row],[Age]]&lt;26,"18-25",IF(tblHR[[#This Row],[Age]]&lt;36,"26-35",IF(tblHR[[#This Row],[Age]]&lt;46,"36-45",IF(tblHR[[#This Row],[Age]]&lt;56,"46-55","56+"))))</f>
        <v>26-35</v>
      </c>
    </row>
    <row r="176" spans="1:37"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s="1">
        <v>5006</v>
      </c>
      <c r="T176">
        <v>6319</v>
      </c>
      <c r="U176">
        <v>4</v>
      </c>
      <c r="V176" t="s">
        <v>42</v>
      </c>
      <c r="W176" t="s">
        <v>35</v>
      </c>
      <c r="X176">
        <v>11</v>
      </c>
      <c r="Y176">
        <v>3</v>
      </c>
      <c r="Z176">
        <v>1</v>
      </c>
      <c r="AA176">
        <v>80</v>
      </c>
      <c r="AB176">
        <v>1</v>
      </c>
      <c r="AC176">
        <v>9</v>
      </c>
      <c r="AD176">
        <v>3</v>
      </c>
      <c r="AE176">
        <v>4</v>
      </c>
      <c r="AF176">
        <v>5</v>
      </c>
      <c r="AG176">
        <v>4</v>
      </c>
      <c r="AH176">
        <v>0</v>
      </c>
      <c r="AI176">
        <v>3</v>
      </c>
      <c r="AJ176" s="2">
        <f>IF(tblHR[[#This Row],[Attrition]]="Yes",1,0)</f>
        <v>0</v>
      </c>
      <c r="AK176" t="str">
        <f>IF(tblHR[[#This Row],[Age]]&lt;26,"18-25",IF(tblHR[[#This Row],[Age]]&lt;36,"26-35",IF(tblHR[[#This Row],[Age]]&lt;46,"36-45",IF(tblHR[[#This Row],[Age]]&lt;56,"46-55","56+"))))</f>
        <v>36-45</v>
      </c>
    </row>
    <row r="177" spans="1:37"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s="1">
        <v>4257</v>
      </c>
      <c r="T177">
        <v>13939</v>
      </c>
      <c r="U177">
        <v>4</v>
      </c>
      <c r="V177" t="s">
        <v>42</v>
      </c>
      <c r="W177" t="s">
        <v>35</v>
      </c>
      <c r="X177">
        <v>18</v>
      </c>
      <c r="Y177">
        <v>3</v>
      </c>
      <c r="Z177">
        <v>3</v>
      </c>
      <c r="AA177">
        <v>80</v>
      </c>
      <c r="AB177">
        <v>1</v>
      </c>
      <c r="AC177">
        <v>19</v>
      </c>
      <c r="AD177">
        <v>3</v>
      </c>
      <c r="AE177">
        <v>3</v>
      </c>
      <c r="AF177">
        <v>2</v>
      </c>
      <c r="AG177">
        <v>2</v>
      </c>
      <c r="AH177">
        <v>2</v>
      </c>
      <c r="AI177">
        <v>2</v>
      </c>
      <c r="AJ177" s="2">
        <f>IF(tblHR[[#This Row],[Attrition]]="Yes",1,0)</f>
        <v>0</v>
      </c>
      <c r="AK177" t="str">
        <f>IF(tblHR[[#This Row],[Age]]&lt;26,"18-25",IF(tblHR[[#This Row],[Age]]&lt;36,"26-35",IF(tblHR[[#This Row],[Age]]&lt;46,"36-45",IF(tblHR[[#This Row],[Age]]&lt;56,"46-55","56+"))))</f>
        <v>56+</v>
      </c>
    </row>
    <row r="178" spans="1:37"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s="1">
        <v>2500</v>
      </c>
      <c r="T178">
        <v>10515</v>
      </c>
      <c r="U178">
        <v>0</v>
      </c>
      <c r="V178" t="s">
        <v>42</v>
      </c>
      <c r="W178" t="s">
        <v>43</v>
      </c>
      <c r="X178">
        <v>14</v>
      </c>
      <c r="Y178">
        <v>3</v>
      </c>
      <c r="Z178">
        <v>1</v>
      </c>
      <c r="AA178">
        <v>80</v>
      </c>
      <c r="AB178">
        <v>0</v>
      </c>
      <c r="AC178">
        <v>4</v>
      </c>
      <c r="AD178">
        <v>2</v>
      </c>
      <c r="AE178">
        <v>4</v>
      </c>
      <c r="AF178">
        <v>3</v>
      </c>
      <c r="AG178">
        <v>1</v>
      </c>
      <c r="AH178">
        <v>0</v>
      </c>
      <c r="AI178">
        <v>2</v>
      </c>
      <c r="AJ178" s="2">
        <f>IF(tblHR[[#This Row],[Attrition]]="Yes",1,0)</f>
        <v>0</v>
      </c>
      <c r="AK178" t="str">
        <f>IF(tblHR[[#This Row],[Age]]&lt;26,"18-25",IF(tblHR[[#This Row],[Age]]&lt;36,"26-35",IF(tblHR[[#This Row],[Age]]&lt;46,"36-45",IF(tblHR[[#This Row],[Age]]&lt;56,"46-55","56+"))))</f>
        <v>26-35</v>
      </c>
    </row>
    <row r="179" spans="1:37"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s="1">
        <v>1102</v>
      </c>
      <c r="T179">
        <v>9241</v>
      </c>
      <c r="U179">
        <v>1</v>
      </c>
      <c r="V179" t="s">
        <v>42</v>
      </c>
      <c r="W179" t="s">
        <v>43</v>
      </c>
      <c r="X179">
        <v>22</v>
      </c>
      <c r="Y179">
        <v>4</v>
      </c>
      <c r="Z179">
        <v>3</v>
      </c>
      <c r="AA179">
        <v>80</v>
      </c>
      <c r="AB179">
        <v>0</v>
      </c>
      <c r="AC179">
        <v>1</v>
      </c>
      <c r="AD179">
        <v>3</v>
      </c>
      <c r="AE179">
        <v>2</v>
      </c>
      <c r="AF179">
        <v>1</v>
      </c>
      <c r="AG179">
        <v>0</v>
      </c>
      <c r="AH179">
        <v>1</v>
      </c>
      <c r="AI179">
        <v>0</v>
      </c>
      <c r="AJ179" s="2">
        <f>IF(tblHR[[#This Row],[Attrition]]="Yes",1,0)</f>
        <v>1</v>
      </c>
      <c r="AK179" t="str">
        <f>IF(tblHR[[#This Row],[Age]]&lt;26,"18-25",IF(tblHR[[#This Row],[Age]]&lt;36,"26-35",IF(tblHR[[#This Row],[Age]]&lt;46,"36-45",IF(tblHR[[#This Row],[Age]]&lt;56,"46-55","56+"))))</f>
        <v>18-25</v>
      </c>
    </row>
    <row r="180" spans="1:37"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s="1">
        <v>10453</v>
      </c>
      <c r="T180">
        <v>2137</v>
      </c>
      <c r="U180">
        <v>1</v>
      </c>
      <c r="V180" t="s">
        <v>42</v>
      </c>
      <c r="W180" t="s">
        <v>43</v>
      </c>
      <c r="X180">
        <v>25</v>
      </c>
      <c r="Y180">
        <v>4</v>
      </c>
      <c r="Z180">
        <v>3</v>
      </c>
      <c r="AA180">
        <v>80</v>
      </c>
      <c r="AB180">
        <v>3</v>
      </c>
      <c r="AC180">
        <v>24</v>
      </c>
      <c r="AD180">
        <v>2</v>
      </c>
      <c r="AE180">
        <v>3</v>
      </c>
      <c r="AF180">
        <v>24</v>
      </c>
      <c r="AG180">
        <v>13</v>
      </c>
      <c r="AH180">
        <v>15</v>
      </c>
      <c r="AI180">
        <v>7</v>
      </c>
      <c r="AJ180" s="2">
        <f>IF(tblHR[[#This Row],[Attrition]]="Yes",1,0)</f>
        <v>0</v>
      </c>
      <c r="AK180" t="str">
        <f>IF(tblHR[[#This Row],[Age]]&lt;26,"18-25",IF(tblHR[[#This Row],[Age]]&lt;36,"26-35",IF(tblHR[[#This Row],[Age]]&lt;46,"36-45",IF(tblHR[[#This Row],[Age]]&lt;56,"46-55","56+"))))</f>
        <v>46-55</v>
      </c>
    </row>
    <row r="181" spans="1:37"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s="1">
        <v>2288</v>
      </c>
      <c r="T181">
        <v>6319</v>
      </c>
      <c r="U181">
        <v>1</v>
      </c>
      <c r="V181" t="s">
        <v>42</v>
      </c>
      <c r="W181" t="s">
        <v>43</v>
      </c>
      <c r="X181">
        <v>12</v>
      </c>
      <c r="Y181">
        <v>3</v>
      </c>
      <c r="Z181">
        <v>3</v>
      </c>
      <c r="AA181">
        <v>80</v>
      </c>
      <c r="AB181">
        <v>0</v>
      </c>
      <c r="AC181">
        <v>2</v>
      </c>
      <c r="AD181">
        <v>3</v>
      </c>
      <c r="AE181">
        <v>3</v>
      </c>
      <c r="AF181">
        <v>2</v>
      </c>
      <c r="AG181">
        <v>2</v>
      </c>
      <c r="AH181">
        <v>2</v>
      </c>
      <c r="AI181">
        <v>1</v>
      </c>
      <c r="AJ181" s="2">
        <f>IF(tblHR[[#This Row],[Attrition]]="Yes",1,0)</f>
        <v>0</v>
      </c>
      <c r="AK181" t="str">
        <f>IF(tblHR[[#This Row],[Age]]&lt;26,"18-25",IF(tblHR[[#This Row],[Age]]&lt;36,"26-35",IF(tblHR[[#This Row],[Age]]&lt;46,"36-45",IF(tblHR[[#This Row],[Age]]&lt;56,"46-55","56+"))))</f>
        <v>36-45</v>
      </c>
    </row>
    <row r="182" spans="1:37"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s="1">
        <v>3929</v>
      </c>
      <c r="T182">
        <v>6984</v>
      </c>
      <c r="U182">
        <v>8</v>
      </c>
      <c r="V182" t="s">
        <v>42</v>
      </c>
      <c r="W182" t="s">
        <v>35</v>
      </c>
      <c r="X182">
        <v>23</v>
      </c>
      <c r="Y182">
        <v>4</v>
      </c>
      <c r="Z182">
        <v>3</v>
      </c>
      <c r="AA182">
        <v>80</v>
      </c>
      <c r="AB182">
        <v>1</v>
      </c>
      <c r="AC182">
        <v>7</v>
      </c>
      <c r="AD182">
        <v>0</v>
      </c>
      <c r="AE182">
        <v>3</v>
      </c>
      <c r="AF182">
        <v>4</v>
      </c>
      <c r="AG182">
        <v>2</v>
      </c>
      <c r="AH182">
        <v>0</v>
      </c>
      <c r="AI182">
        <v>2</v>
      </c>
      <c r="AJ182" s="2">
        <f>IF(tblHR[[#This Row],[Attrition]]="Yes",1,0)</f>
        <v>0</v>
      </c>
      <c r="AK182" t="str">
        <f>IF(tblHR[[#This Row],[Age]]&lt;26,"18-25",IF(tblHR[[#This Row],[Age]]&lt;36,"26-35",IF(tblHR[[#This Row],[Age]]&lt;46,"36-45",IF(tblHR[[#This Row],[Age]]&lt;56,"46-55","56+"))))</f>
        <v>26-35</v>
      </c>
    </row>
    <row r="183" spans="1:37"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s="1">
        <v>2311</v>
      </c>
      <c r="T183">
        <v>5711</v>
      </c>
      <c r="U183">
        <v>2</v>
      </c>
      <c r="V183" t="s">
        <v>42</v>
      </c>
      <c r="W183" t="s">
        <v>43</v>
      </c>
      <c r="X183">
        <v>15</v>
      </c>
      <c r="Y183">
        <v>3</v>
      </c>
      <c r="Z183">
        <v>4</v>
      </c>
      <c r="AA183">
        <v>80</v>
      </c>
      <c r="AB183">
        <v>0</v>
      </c>
      <c r="AC183">
        <v>9</v>
      </c>
      <c r="AD183">
        <v>3</v>
      </c>
      <c r="AE183">
        <v>3</v>
      </c>
      <c r="AF183">
        <v>3</v>
      </c>
      <c r="AG183">
        <v>2</v>
      </c>
      <c r="AH183">
        <v>1</v>
      </c>
      <c r="AI183">
        <v>2</v>
      </c>
      <c r="AJ183" s="2">
        <f>IF(tblHR[[#This Row],[Attrition]]="Yes",1,0)</f>
        <v>0</v>
      </c>
      <c r="AK183" t="str">
        <f>IF(tblHR[[#This Row],[Age]]&lt;26,"18-25",IF(tblHR[[#This Row],[Age]]&lt;36,"26-35",IF(tblHR[[#This Row],[Age]]&lt;46,"36-45",IF(tblHR[[#This Row],[Age]]&lt;56,"46-55","56+"))))</f>
        <v>26-35</v>
      </c>
    </row>
    <row r="184" spans="1:37"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s="1">
        <v>3140</v>
      </c>
      <c r="T184">
        <v>21728</v>
      </c>
      <c r="U184">
        <v>1</v>
      </c>
      <c r="V184" t="s">
        <v>42</v>
      </c>
      <c r="W184" t="s">
        <v>35</v>
      </c>
      <c r="X184">
        <v>22</v>
      </c>
      <c r="Y184">
        <v>4</v>
      </c>
      <c r="Z184">
        <v>4</v>
      </c>
      <c r="AA184">
        <v>80</v>
      </c>
      <c r="AB184">
        <v>0</v>
      </c>
      <c r="AC184">
        <v>4</v>
      </c>
      <c r="AD184">
        <v>5</v>
      </c>
      <c r="AE184">
        <v>2</v>
      </c>
      <c r="AF184">
        <v>4</v>
      </c>
      <c r="AG184">
        <v>3</v>
      </c>
      <c r="AH184">
        <v>0</v>
      </c>
      <c r="AI184">
        <v>2</v>
      </c>
      <c r="AJ184" s="2">
        <f>IF(tblHR[[#This Row],[Attrition]]="Yes",1,0)</f>
        <v>1</v>
      </c>
      <c r="AK184" t="str">
        <f>IF(tblHR[[#This Row],[Age]]&lt;26,"18-25",IF(tblHR[[#This Row],[Age]]&lt;36,"26-35",IF(tblHR[[#This Row],[Age]]&lt;46,"36-45",IF(tblHR[[#This Row],[Age]]&lt;56,"46-55","56+"))))</f>
        <v>36-45</v>
      </c>
    </row>
    <row r="185" spans="1:37"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s="1">
        <v>3690</v>
      </c>
      <c r="T185">
        <v>3425</v>
      </c>
      <c r="U185">
        <v>2</v>
      </c>
      <c r="V185" t="s">
        <v>42</v>
      </c>
      <c r="W185" t="s">
        <v>43</v>
      </c>
      <c r="X185">
        <v>15</v>
      </c>
      <c r="Y185">
        <v>3</v>
      </c>
      <c r="Z185">
        <v>4</v>
      </c>
      <c r="AA185">
        <v>80</v>
      </c>
      <c r="AB185">
        <v>1</v>
      </c>
      <c r="AC185">
        <v>5</v>
      </c>
      <c r="AD185">
        <v>2</v>
      </c>
      <c r="AE185">
        <v>2</v>
      </c>
      <c r="AF185">
        <v>3</v>
      </c>
      <c r="AG185">
        <v>2</v>
      </c>
      <c r="AH185">
        <v>0</v>
      </c>
      <c r="AI185">
        <v>2</v>
      </c>
      <c r="AJ185" s="2">
        <f>IF(tblHR[[#This Row],[Attrition]]="Yes",1,0)</f>
        <v>0</v>
      </c>
      <c r="AK185" t="str">
        <f>IF(tblHR[[#This Row],[Age]]&lt;26,"18-25",IF(tblHR[[#This Row],[Age]]&lt;36,"26-35",IF(tblHR[[#This Row],[Age]]&lt;46,"36-45",IF(tblHR[[#This Row],[Age]]&lt;56,"46-55","56+"))))</f>
        <v>46-55</v>
      </c>
    </row>
    <row r="186" spans="1:37"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s="1">
        <v>4450</v>
      </c>
      <c r="T186">
        <v>26250</v>
      </c>
      <c r="U186">
        <v>1</v>
      </c>
      <c r="V186" t="s">
        <v>42</v>
      </c>
      <c r="W186" t="s">
        <v>43</v>
      </c>
      <c r="X186">
        <v>11</v>
      </c>
      <c r="Y186">
        <v>3</v>
      </c>
      <c r="Z186">
        <v>3</v>
      </c>
      <c r="AA186">
        <v>80</v>
      </c>
      <c r="AB186">
        <v>2</v>
      </c>
      <c r="AC186">
        <v>5</v>
      </c>
      <c r="AD186">
        <v>3</v>
      </c>
      <c r="AE186">
        <v>3</v>
      </c>
      <c r="AF186">
        <v>4</v>
      </c>
      <c r="AG186">
        <v>2</v>
      </c>
      <c r="AH186">
        <v>1</v>
      </c>
      <c r="AI186">
        <v>3</v>
      </c>
      <c r="AJ186" s="2">
        <f>IF(tblHR[[#This Row],[Attrition]]="Yes",1,0)</f>
        <v>0</v>
      </c>
      <c r="AK186" t="str">
        <f>IF(tblHR[[#This Row],[Age]]&lt;26,"18-25",IF(tblHR[[#This Row],[Age]]&lt;36,"26-35",IF(tblHR[[#This Row],[Age]]&lt;46,"36-45",IF(tblHR[[#This Row],[Age]]&lt;56,"46-55","56+"))))</f>
        <v>46-55</v>
      </c>
    </row>
    <row r="187" spans="1:37"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s="1">
        <v>2756</v>
      </c>
      <c r="T187">
        <v>4673</v>
      </c>
      <c r="U187">
        <v>1</v>
      </c>
      <c r="V187" t="s">
        <v>42</v>
      </c>
      <c r="W187" t="s">
        <v>43</v>
      </c>
      <c r="X187">
        <v>13</v>
      </c>
      <c r="Y187">
        <v>3</v>
      </c>
      <c r="Z187">
        <v>4</v>
      </c>
      <c r="AA187">
        <v>80</v>
      </c>
      <c r="AB187">
        <v>1</v>
      </c>
      <c r="AC187">
        <v>8</v>
      </c>
      <c r="AD187">
        <v>5</v>
      </c>
      <c r="AE187">
        <v>3</v>
      </c>
      <c r="AF187">
        <v>8</v>
      </c>
      <c r="AG187">
        <v>7</v>
      </c>
      <c r="AH187">
        <v>1</v>
      </c>
      <c r="AI187">
        <v>6</v>
      </c>
      <c r="AJ187" s="2">
        <f>IF(tblHR[[#This Row],[Attrition]]="Yes",1,0)</f>
        <v>0</v>
      </c>
      <c r="AK187" t="str">
        <f>IF(tblHR[[#This Row],[Age]]&lt;26,"18-25",IF(tblHR[[#This Row],[Age]]&lt;36,"26-35",IF(tblHR[[#This Row],[Age]]&lt;46,"36-45",IF(tblHR[[#This Row],[Age]]&lt;56,"46-55","56+"))))</f>
        <v>26-35</v>
      </c>
    </row>
    <row r="188" spans="1:37"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s="1">
        <v>19033</v>
      </c>
      <c r="T188">
        <v>6499</v>
      </c>
      <c r="U188">
        <v>1</v>
      </c>
      <c r="V188" t="s">
        <v>42</v>
      </c>
      <c r="W188" t="s">
        <v>43</v>
      </c>
      <c r="X188">
        <v>14</v>
      </c>
      <c r="Y188">
        <v>3</v>
      </c>
      <c r="Z188">
        <v>2</v>
      </c>
      <c r="AA188">
        <v>80</v>
      </c>
      <c r="AB188">
        <v>1</v>
      </c>
      <c r="AC188">
        <v>21</v>
      </c>
      <c r="AD188">
        <v>2</v>
      </c>
      <c r="AE188">
        <v>3</v>
      </c>
      <c r="AF188">
        <v>20</v>
      </c>
      <c r="AG188">
        <v>8</v>
      </c>
      <c r="AH188">
        <v>9</v>
      </c>
      <c r="AI188">
        <v>9</v>
      </c>
      <c r="AJ188" s="2">
        <f>IF(tblHR[[#This Row],[Attrition]]="Yes",1,0)</f>
        <v>0</v>
      </c>
      <c r="AK188" t="str">
        <f>IF(tblHR[[#This Row],[Age]]&lt;26,"18-25",IF(tblHR[[#This Row],[Age]]&lt;36,"26-35",IF(tblHR[[#This Row],[Age]]&lt;46,"36-45",IF(tblHR[[#This Row],[Age]]&lt;56,"46-55","56+"))))</f>
        <v>36-45</v>
      </c>
    </row>
    <row r="189" spans="1:37"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s="1">
        <v>18722</v>
      </c>
      <c r="T189">
        <v>13339</v>
      </c>
      <c r="U189">
        <v>8</v>
      </c>
      <c r="V189" t="s">
        <v>42</v>
      </c>
      <c r="W189" t="s">
        <v>43</v>
      </c>
      <c r="X189">
        <v>11</v>
      </c>
      <c r="Y189">
        <v>3</v>
      </c>
      <c r="Z189">
        <v>4</v>
      </c>
      <c r="AA189">
        <v>80</v>
      </c>
      <c r="AB189">
        <v>0</v>
      </c>
      <c r="AC189">
        <v>36</v>
      </c>
      <c r="AD189">
        <v>3</v>
      </c>
      <c r="AE189">
        <v>3</v>
      </c>
      <c r="AF189">
        <v>24</v>
      </c>
      <c r="AG189">
        <v>15</v>
      </c>
      <c r="AH189">
        <v>2</v>
      </c>
      <c r="AI189">
        <v>15</v>
      </c>
      <c r="AJ189" s="2">
        <f>IF(tblHR[[#This Row],[Attrition]]="Yes",1,0)</f>
        <v>0</v>
      </c>
      <c r="AK189" t="str">
        <f>IF(tblHR[[#This Row],[Age]]&lt;26,"18-25",IF(tblHR[[#This Row],[Age]]&lt;36,"26-35",IF(tblHR[[#This Row],[Age]]&lt;46,"36-45",IF(tblHR[[#This Row],[Age]]&lt;56,"46-55","56+"))))</f>
        <v>46-55</v>
      </c>
    </row>
    <row r="190" spans="1:37"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s="1">
        <v>9547</v>
      </c>
      <c r="T190">
        <v>14074</v>
      </c>
      <c r="U190">
        <v>1</v>
      </c>
      <c r="V190" t="s">
        <v>42</v>
      </c>
      <c r="W190" t="s">
        <v>43</v>
      </c>
      <c r="X190">
        <v>17</v>
      </c>
      <c r="Y190">
        <v>3</v>
      </c>
      <c r="Z190">
        <v>3</v>
      </c>
      <c r="AA190">
        <v>80</v>
      </c>
      <c r="AB190">
        <v>0</v>
      </c>
      <c r="AC190">
        <v>10</v>
      </c>
      <c r="AD190">
        <v>2</v>
      </c>
      <c r="AE190">
        <v>2</v>
      </c>
      <c r="AF190">
        <v>10</v>
      </c>
      <c r="AG190">
        <v>9</v>
      </c>
      <c r="AH190">
        <v>1</v>
      </c>
      <c r="AI190">
        <v>9</v>
      </c>
      <c r="AJ190" s="2">
        <f>IF(tblHR[[#This Row],[Attrition]]="Yes",1,0)</f>
        <v>0</v>
      </c>
      <c r="AK190" t="str">
        <f>IF(tblHR[[#This Row],[Age]]&lt;26,"18-25",IF(tblHR[[#This Row],[Age]]&lt;36,"26-35",IF(tblHR[[#This Row],[Age]]&lt;46,"36-45",IF(tblHR[[#This Row],[Age]]&lt;56,"46-55","56+"))))</f>
        <v>26-35</v>
      </c>
    </row>
    <row r="191" spans="1:37"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s="1">
        <v>13734</v>
      </c>
      <c r="T191">
        <v>7192</v>
      </c>
      <c r="U191">
        <v>3</v>
      </c>
      <c r="V191" t="s">
        <v>42</v>
      </c>
      <c r="W191" t="s">
        <v>43</v>
      </c>
      <c r="X191">
        <v>18</v>
      </c>
      <c r="Y191">
        <v>3</v>
      </c>
      <c r="Z191">
        <v>3</v>
      </c>
      <c r="AA191">
        <v>80</v>
      </c>
      <c r="AB191">
        <v>0</v>
      </c>
      <c r="AC191">
        <v>21</v>
      </c>
      <c r="AD191">
        <v>6</v>
      </c>
      <c r="AE191">
        <v>3</v>
      </c>
      <c r="AF191">
        <v>7</v>
      </c>
      <c r="AG191">
        <v>7</v>
      </c>
      <c r="AH191">
        <v>1</v>
      </c>
      <c r="AI191">
        <v>0</v>
      </c>
      <c r="AJ191" s="2">
        <f>IF(tblHR[[#This Row],[Attrition]]="Yes",1,0)</f>
        <v>0</v>
      </c>
      <c r="AK191" t="str">
        <f>IF(tblHR[[#This Row],[Age]]&lt;26,"18-25",IF(tblHR[[#This Row],[Age]]&lt;36,"26-35",IF(tblHR[[#This Row],[Age]]&lt;46,"36-45",IF(tblHR[[#This Row],[Age]]&lt;56,"46-55","56+"))))</f>
        <v>46-55</v>
      </c>
    </row>
    <row r="192" spans="1:37"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s="1">
        <v>19999</v>
      </c>
      <c r="T192">
        <v>5678</v>
      </c>
      <c r="U192">
        <v>0</v>
      </c>
      <c r="V192" t="s">
        <v>42</v>
      </c>
      <c r="W192" t="s">
        <v>43</v>
      </c>
      <c r="X192">
        <v>14</v>
      </c>
      <c r="Y192">
        <v>3</v>
      </c>
      <c r="Z192">
        <v>1</v>
      </c>
      <c r="AA192">
        <v>80</v>
      </c>
      <c r="AB192">
        <v>1</v>
      </c>
      <c r="AC192">
        <v>34</v>
      </c>
      <c r="AD192">
        <v>5</v>
      </c>
      <c r="AE192">
        <v>3</v>
      </c>
      <c r="AF192">
        <v>33</v>
      </c>
      <c r="AG192">
        <v>18</v>
      </c>
      <c r="AH192">
        <v>11</v>
      </c>
      <c r="AI192">
        <v>9</v>
      </c>
      <c r="AJ192" s="2">
        <f>IF(tblHR[[#This Row],[Attrition]]="Yes",1,0)</f>
        <v>0</v>
      </c>
      <c r="AK192" t="str">
        <f>IF(tblHR[[#This Row],[Age]]&lt;26,"18-25",IF(tblHR[[#This Row],[Age]]&lt;36,"26-35",IF(tblHR[[#This Row],[Age]]&lt;46,"36-45",IF(tblHR[[#This Row],[Age]]&lt;56,"46-55","56+"))))</f>
        <v>46-55</v>
      </c>
    </row>
    <row r="193" spans="1:37"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s="1">
        <v>2279</v>
      </c>
      <c r="T193">
        <v>11781</v>
      </c>
      <c r="U193">
        <v>1</v>
      </c>
      <c r="V193" t="s">
        <v>42</v>
      </c>
      <c r="W193" t="s">
        <v>43</v>
      </c>
      <c r="X193">
        <v>16</v>
      </c>
      <c r="Y193">
        <v>3</v>
      </c>
      <c r="Z193">
        <v>4</v>
      </c>
      <c r="AA193">
        <v>80</v>
      </c>
      <c r="AB193">
        <v>0</v>
      </c>
      <c r="AC193">
        <v>7</v>
      </c>
      <c r="AD193">
        <v>2</v>
      </c>
      <c r="AE193">
        <v>2</v>
      </c>
      <c r="AF193">
        <v>7</v>
      </c>
      <c r="AG193">
        <v>7</v>
      </c>
      <c r="AH193">
        <v>0</v>
      </c>
      <c r="AI193">
        <v>3</v>
      </c>
      <c r="AJ193" s="2">
        <f>IF(tblHR[[#This Row],[Attrition]]="Yes",1,0)</f>
        <v>0</v>
      </c>
      <c r="AK193" t="str">
        <f>IF(tblHR[[#This Row],[Age]]&lt;26,"18-25",IF(tblHR[[#This Row],[Age]]&lt;36,"26-35",IF(tblHR[[#This Row],[Age]]&lt;46,"36-45",IF(tblHR[[#This Row],[Age]]&lt;56,"46-55","56+"))))</f>
        <v>26-35</v>
      </c>
    </row>
    <row r="194" spans="1:37"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s="1">
        <v>5916</v>
      </c>
      <c r="T194">
        <v>15497</v>
      </c>
      <c r="U194">
        <v>3</v>
      </c>
      <c r="V194" t="s">
        <v>42</v>
      </c>
      <c r="W194" t="s">
        <v>35</v>
      </c>
      <c r="X194">
        <v>13</v>
      </c>
      <c r="Y194">
        <v>3</v>
      </c>
      <c r="Z194">
        <v>1</v>
      </c>
      <c r="AA194">
        <v>80</v>
      </c>
      <c r="AB194">
        <v>0</v>
      </c>
      <c r="AC194">
        <v>8</v>
      </c>
      <c r="AD194">
        <v>1</v>
      </c>
      <c r="AE194">
        <v>3</v>
      </c>
      <c r="AF194">
        <v>1</v>
      </c>
      <c r="AG194">
        <v>0</v>
      </c>
      <c r="AH194">
        <v>0</v>
      </c>
      <c r="AI194">
        <v>1</v>
      </c>
      <c r="AJ194" s="2">
        <f>IF(tblHR[[#This Row],[Attrition]]="Yes",1,0)</f>
        <v>1</v>
      </c>
      <c r="AK194" t="str">
        <f>IF(tblHR[[#This Row],[Age]]&lt;26,"18-25",IF(tblHR[[#This Row],[Age]]&lt;36,"26-35",IF(tblHR[[#This Row],[Age]]&lt;46,"36-45",IF(tblHR[[#This Row],[Age]]&lt;56,"46-55","56+"))))</f>
        <v>26-35</v>
      </c>
    </row>
    <row r="195" spans="1:37"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s="1">
        <v>2089</v>
      </c>
      <c r="T195">
        <v>5228</v>
      </c>
      <c r="U195">
        <v>4</v>
      </c>
      <c r="V195" t="s">
        <v>42</v>
      </c>
      <c r="W195" t="s">
        <v>43</v>
      </c>
      <c r="X195">
        <v>14</v>
      </c>
      <c r="Y195">
        <v>3</v>
      </c>
      <c r="Z195">
        <v>4</v>
      </c>
      <c r="AA195">
        <v>80</v>
      </c>
      <c r="AB195">
        <v>3</v>
      </c>
      <c r="AC195">
        <v>7</v>
      </c>
      <c r="AD195">
        <v>3</v>
      </c>
      <c r="AE195">
        <v>4</v>
      </c>
      <c r="AF195">
        <v>5</v>
      </c>
      <c r="AG195">
        <v>4</v>
      </c>
      <c r="AH195">
        <v>2</v>
      </c>
      <c r="AI195">
        <v>2</v>
      </c>
      <c r="AJ195" s="2">
        <f>IF(tblHR[[#This Row],[Attrition]]="Yes",1,0)</f>
        <v>0</v>
      </c>
      <c r="AK195" t="str">
        <f>IF(tblHR[[#This Row],[Age]]&lt;26,"18-25",IF(tblHR[[#This Row],[Age]]&lt;36,"26-35",IF(tblHR[[#This Row],[Age]]&lt;46,"36-45",IF(tblHR[[#This Row],[Age]]&lt;56,"46-55","56+"))))</f>
        <v>36-45</v>
      </c>
    </row>
    <row r="196" spans="1:37"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s="1">
        <v>16792</v>
      </c>
      <c r="T196">
        <v>20462</v>
      </c>
      <c r="U196">
        <v>9</v>
      </c>
      <c r="V196" t="s">
        <v>42</v>
      </c>
      <c r="W196" t="s">
        <v>43</v>
      </c>
      <c r="X196">
        <v>23</v>
      </c>
      <c r="Y196">
        <v>4</v>
      </c>
      <c r="Z196">
        <v>4</v>
      </c>
      <c r="AA196">
        <v>80</v>
      </c>
      <c r="AB196">
        <v>1</v>
      </c>
      <c r="AC196">
        <v>22</v>
      </c>
      <c r="AD196">
        <v>1</v>
      </c>
      <c r="AE196">
        <v>3</v>
      </c>
      <c r="AF196">
        <v>20</v>
      </c>
      <c r="AG196">
        <v>8</v>
      </c>
      <c r="AH196">
        <v>11</v>
      </c>
      <c r="AI196">
        <v>8</v>
      </c>
      <c r="AJ196" s="2">
        <f>IF(tblHR[[#This Row],[Attrition]]="Yes",1,0)</f>
        <v>0</v>
      </c>
      <c r="AK196" t="str">
        <f>IF(tblHR[[#This Row],[Age]]&lt;26,"18-25",IF(tblHR[[#This Row],[Age]]&lt;36,"26-35",IF(tblHR[[#This Row],[Age]]&lt;46,"36-45",IF(tblHR[[#This Row],[Age]]&lt;56,"46-55","56+"))))</f>
        <v>36-45</v>
      </c>
    </row>
    <row r="197" spans="1:37"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s="1">
        <v>3564</v>
      </c>
      <c r="T197">
        <v>22977</v>
      </c>
      <c r="U197">
        <v>1</v>
      </c>
      <c r="V197" t="s">
        <v>42</v>
      </c>
      <c r="W197" t="s">
        <v>35</v>
      </c>
      <c r="X197">
        <v>12</v>
      </c>
      <c r="Y197">
        <v>3</v>
      </c>
      <c r="Z197">
        <v>1</v>
      </c>
      <c r="AA197">
        <v>80</v>
      </c>
      <c r="AB197">
        <v>1</v>
      </c>
      <c r="AC197">
        <v>8</v>
      </c>
      <c r="AD197">
        <v>3</v>
      </c>
      <c r="AE197">
        <v>2</v>
      </c>
      <c r="AF197">
        <v>8</v>
      </c>
      <c r="AG197">
        <v>7</v>
      </c>
      <c r="AH197">
        <v>1</v>
      </c>
      <c r="AI197">
        <v>7</v>
      </c>
      <c r="AJ197" s="2">
        <f>IF(tblHR[[#This Row],[Attrition]]="Yes",1,0)</f>
        <v>0</v>
      </c>
      <c r="AK197" t="str">
        <f>IF(tblHR[[#This Row],[Age]]&lt;26,"18-25",IF(tblHR[[#This Row],[Age]]&lt;36,"26-35",IF(tblHR[[#This Row],[Age]]&lt;46,"36-45",IF(tblHR[[#This Row],[Age]]&lt;56,"46-55","56+"))))</f>
        <v>36-45</v>
      </c>
    </row>
    <row r="198" spans="1:37"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s="1">
        <v>4425</v>
      </c>
      <c r="T198">
        <v>15986</v>
      </c>
      <c r="U198">
        <v>5</v>
      </c>
      <c r="V198" t="s">
        <v>42</v>
      </c>
      <c r="W198" t="s">
        <v>43</v>
      </c>
      <c r="X198">
        <v>11</v>
      </c>
      <c r="Y198">
        <v>3</v>
      </c>
      <c r="Z198">
        <v>4</v>
      </c>
      <c r="AA198">
        <v>80</v>
      </c>
      <c r="AB198">
        <v>0</v>
      </c>
      <c r="AC198">
        <v>10</v>
      </c>
      <c r="AD198">
        <v>5</v>
      </c>
      <c r="AE198">
        <v>3</v>
      </c>
      <c r="AF198">
        <v>6</v>
      </c>
      <c r="AG198">
        <v>2</v>
      </c>
      <c r="AH198">
        <v>1</v>
      </c>
      <c r="AI198">
        <v>2</v>
      </c>
      <c r="AJ198" s="2">
        <f>IF(tblHR[[#This Row],[Attrition]]="Yes",1,0)</f>
        <v>0</v>
      </c>
      <c r="AK198" t="str">
        <f>IF(tblHR[[#This Row],[Age]]&lt;26,"18-25",IF(tblHR[[#This Row],[Age]]&lt;36,"26-35",IF(tblHR[[#This Row],[Age]]&lt;46,"36-45",IF(tblHR[[#This Row],[Age]]&lt;56,"46-55","56+"))))</f>
        <v>26-35</v>
      </c>
    </row>
    <row r="199" spans="1:37"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s="1">
        <v>5265</v>
      </c>
      <c r="T199">
        <v>16439</v>
      </c>
      <c r="U199">
        <v>2</v>
      </c>
      <c r="V199" t="s">
        <v>42</v>
      </c>
      <c r="W199" t="s">
        <v>43</v>
      </c>
      <c r="X199">
        <v>16</v>
      </c>
      <c r="Y199">
        <v>3</v>
      </c>
      <c r="Z199">
        <v>2</v>
      </c>
      <c r="AA199">
        <v>80</v>
      </c>
      <c r="AB199">
        <v>1</v>
      </c>
      <c r="AC199">
        <v>11</v>
      </c>
      <c r="AD199">
        <v>5</v>
      </c>
      <c r="AE199">
        <v>3</v>
      </c>
      <c r="AF199">
        <v>5</v>
      </c>
      <c r="AG199">
        <v>3</v>
      </c>
      <c r="AH199">
        <v>0</v>
      </c>
      <c r="AI199">
        <v>2</v>
      </c>
      <c r="AJ199" s="2">
        <f>IF(tblHR[[#This Row],[Attrition]]="Yes",1,0)</f>
        <v>0</v>
      </c>
      <c r="AK199" t="str">
        <f>IF(tblHR[[#This Row],[Age]]&lt;26,"18-25",IF(tblHR[[#This Row],[Age]]&lt;36,"26-35",IF(tblHR[[#This Row],[Age]]&lt;46,"36-45",IF(tblHR[[#This Row],[Age]]&lt;56,"46-55","56+"))))</f>
        <v>36-45</v>
      </c>
    </row>
    <row r="200" spans="1:37"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s="1">
        <v>6553</v>
      </c>
      <c r="T200">
        <v>7259</v>
      </c>
      <c r="U200">
        <v>9</v>
      </c>
      <c r="V200" t="s">
        <v>42</v>
      </c>
      <c r="W200" t="s">
        <v>43</v>
      </c>
      <c r="X200">
        <v>14</v>
      </c>
      <c r="Y200">
        <v>3</v>
      </c>
      <c r="Z200">
        <v>2</v>
      </c>
      <c r="AA200">
        <v>80</v>
      </c>
      <c r="AB200">
        <v>0</v>
      </c>
      <c r="AC200">
        <v>14</v>
      </c>
      <c r="AD200">
        <v>3</v>
      </c>
      <c r="AE200">
        <v>3</v>
      </c>
      <c r="AF200">
        <v>1</v>
      </c>
      <c r="AG200">
        <v>0</v>
      </c>
      <c r="AH200">
        <v>0</v>
      </c>
      <c r="AI200">
        <v>0</v>
      </c>
      <c r="AJ200" s="2">
        <f>IF(tblHR[[#This Row],[Attrition]]="Yes",1,0)</f>
        <v>0</v>
      </c>
      <c r="AK200" t="str">
        <f>IF(tblHR[[#This Row],[Age]]&lt;26,"18-25",IF(tblHR[[#This Row],[Age]]&lt;36,"26-35",IF(tblHR[[#This Row],[Age]]&lt;46,"36-45",IF(tblHR[[#This Row],[Age]]&lt;56,"46-55","56+"))))</f>
        <v>36-45</v>
      </c>
    </row>
    <row r="201" spans="1:37"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s="1">
        <v>6261</v>
      </c>
      <c r="T201">
        <v>4185</v>
      </c>
      <c r="U201">
        <v>3</v>
      </c>
      <c r="V201" t="s">
        <v>42</v>
      </c>
      <c r="W201" t="s">
        <v>43</v>
      </c>
      <c r="X201">
        <v>18</v>
      </c>
      <c r="Y201">
        <v>3</v>
      </c>
      <c r="Z201">
        <v>1</v>
      </c>
      <c r="AA201">
        <v>80</v>
      </c>
      <c r="AB201">
        <v>1</v>
      </c>
      <c r="AC201">
        <v>9</v>
      </c>
      <c r="AD201">
        <v>3</v>
      </c>
      <c r="AE201">
        <v>1</v>
      </c>
      <c r="AF201">
        <v>7</v>
      </c>
      <c r="AG201">
        <v>7</v>
      </c>
      <c r="AH201">
        <v>1</v>
      </c>
      <c r="AI201">
        <v>7</v>
      </c>
      <c r="AJ201" s="2">
        <f>IF(tblHR[[#This Row],[Attrition]]="Yes",1,0)</f>
        <v>0</v>
      </c>
      <c r="AK201" t="str">
        <f>IF(tblHR[[#This Row],[Age]]&lt;26,"18-25",IF(tblHR[[#This Row],[Age]]&lt;36,"26-35",IF(tblHR[[#This Row],[Age]]&lt;46,"36-45",IF(tblHR[[#This Row],[Age]]&lt;56,"46-55","56+"))))</f>
        <v>36-45</v>
      </c>
    </row>
    <row r="202" spans="1:37"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s="1">
        <v>4298</v>
      </c>
      <c r="T202">
        <v>9679</v>
      </c>
      <c r="U202">
        <v>5</v>
      </c>
      <c r="V202" t="s">
        <v>42</v>
      </c>
      <c r="W202" t="s">
        <v>43</v>
      </c>
      <c r="X202">
        <v>19</v>
      </c>
      <c r="Y202">
        <v>3</v>
      </c>
      <c r="Z202">
        <v>3</v>
      </c>
      <c r="AA202">
        <v>80</v>
      </c>
      <c r="AB202">
        <v>1</v>
      </c>
      <c r="AC202">
        <v>6</v>
      </c>
      <c r="AD202">
        <v>1</v>
      </c>
      <c r="AE202">
        <v>3</v>
      </c>
      <c r="AF202">
        <v>2</v>
      </c>
      <c r="AG202">
        <v>2</v>
      </c>
      <c r="AH202">
        <v>2</v>
      </c>
      <c r="AI202">
        <v>0</v>
      </c>
      <c r="AJ202" s="2">
        <f>IF(tblHR[[#This Row],[Attrition]]="Yes",1,0)</f>
        <v>0</v>
      </c>
      <c r="AK202" t="str">
        <f>IF(tblHR[[#This Row],[Age]]&lt;26,"18-25",IF(tblHR[[#This Row],[Age]]&lt;36,"26-35",IF(tblHR[[#This Row],[Age]]&lt;46,"36-45",IF(tblHR[[#This Row],[Age]]&lt;56,"46-55","56+"))))</f>
        <v>26-35</v>
      </c>
    </row>
    <row r="203" spans="1:37"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s="1">
        <v>6804</v>
      </c>
      <c r="T203">
        <v>23793</v>
      </c>
      <c r="U203">
        <v>1</v>
      </c>
      <c r="V203" t="s">
        <v>42</v>
      </c>
      <c r="W203" t="s">
        <v>35</v>
      </c>
      <c r="X203">
        <v>15</v>
      </c>
      <c r="Y203">
        <v>3</v>
      </c>
      <c r="Z203">
        <v>1</v>
      </c>
      <c r="AA203">
        <v>80</v>
      </c>
      <c r="AB203">
        <v>2</v>
      </c>
      <c r="AC203">
        <v>7</v>
      </c>
      <c r="AD203">
        <v>0</v>
      </c>
      <c r="AE203">
        <v>3</v>
      </c>
      <c r="AF203">
        <v>7</v>
      </c>
      <c r="AG203">
        <v>7</v>
      </c>
      <c r="AH203">
        <v>1</v>
      </c>
      <c r="AI203">
        <v>7</v>
      </c>
      <c r="AJ203" s="2">
        <f>IF(tblHR[[#This Row],[Attrition]]="Yes",1,0)</f>
        <v>0</v>
      </c>
      <c r="AK203" t="str">
        <f>IF(tblHR[[#This Row],[Age]]&lt;26,"18-25",IF(tblHR[[#This Row],[Age]]&lt;36,"26-35",IF(tblHR[[#This Row],[Age]]&lt;46,"36-45",IF(tblHR[[#This Row],[Age]]&lt;56,"46-55","56+"))))</f>
        <v>46-55</v>
      </c>
    </row>
    <row r="204" spans="1:37"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s="1">
        <v>3815</v>
      </c>
      <c r="T204">
        <v>5972</v>
      </c>
      <c r="U204">
        <v>1</v>
      </c>
      <c r="V204" t="s">
        <v>42</v>
      </c>
      <c r="W204" t="s">
        <v>35</v>
      </c>
      <c r="X204">
        <v>17</v>
      </c>
      <c r="Y204">
        <v>3</v>
      </c>
      <c r="Z204">
        <v>4</v>
      </c>
      <c r="AA204">
        <v>80</v>
      </c>
      <c r="AB204">
        <v>1</v>
      </c>
      <c r="AC204">
        <v>5</v>
      </c>
      <c r="AD204">
        <v>4</v>
      </c>
      <c r="AE204">
        <v>4</v>
      </c>
      <c r="AF204">
        <v>5</v>
      </c>
      <c r="AG204">
        <v>3</v>
      </c>
      <c r="AH204">
        <v>2</v>
      </c>
      <c r="AI204">
        <v>0</v>
      </c>
      <c r="AJ204" s="2">
        <f>IF(tblHR[[#This Row],[Attrition]]="Yes",1,0)</f>
        <v>0</v>
      </c>
      <c r="AK204" t="str">
        <f>IF(tblHR[[#This Row],[Age]]&lt;26,"18-25",IF(tblHR[[#This Row],[Age]]&lt;36,"26-35",IF(tblHR[[#This Row],[Age]]&lt;46,"36-45",IF(tblHR[[#This Row],[Age]]&lt;56,"46-55","56+"))))</f>
        <v>26-35</v>
      </c>
    </row>
    <row r="205" spans="1:37"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s="1">
        <v>2741</v>
      </c>
      <c r="T205">
        <v>16523</v>
      </c>
      <c r="U205">
        <v>8</v>
      </c>
      <c r="V205" t="s">
        <v>42</v>
      </c>
      <c r="W205" t="s">
        <v>35</v>
      </c>
      <c r="X205">
        <v>15</v>
      </c>
      <c r="Y205">
        <v>3</v>
      </c>
      <c r="Z205">
        <v>3</v>
      </c>
      <c r="AA205">
        <v>80</v>
      </c>
      <c r="AB205">
        <v>1</v>
      </c>
      <c r="AC205">
        <v>15</v>
      </c>
      <c r="AD205">
        <v>2</v>
      </c>
      <c r="AE205">
        <v>4</v>
      </c>
      <c r="AF205">
        <v>7</v>
      </c>
      <c r="AG205">
        <v>2</v>
      </c>
      <c r="AH205">
        <v>3</v>
      </c>
      <c r="AI205">
        <v>7</v>
      </c>
      <c r="AJ205" s="2">
        <f>IF(tblHR[[#This Row],[Attrition]]="Yes",1,0)</f>
        <v>0</v>
      </c>
      <c r="AK205" t="str">
        <f>IF(tblHR[[#This Row],[Age]]&lt;26,"18-25",IF(tblHR[[#This Row],[Age]]&lt;36,"26-35",IF(tblHR[[#This Row],[Age]]&lt;46,"36-45",IF(tblHR[[#This Row],[Age]]&lt;56,"46-55","56+"))))</f>
        <v>36-45</v>
      </c>
    </row>
    <row r="206" spans="1:37"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s="1">
        <v>6673</v>
      </c>
      <c r="T206">
        <v>11354</v>
      </c>
      <c r="U206">
        <v>7</v>
      </c>
      <c r="V206" t="s">
        <v>42</v>
      </c>
      <c r="W206" t="s">
        <v>35</v>
      </c>
      <c r="X206">
        <v>19</v>
      </c>
      <c r="Y206">
        <v>3</v>
      </c>
      <c r="Z206">
        <v>2</v>
      </c>
      <c r="AA206">
        <v>80</v>
      </c>
      <c r="AB206">
        <v>0</v>
      </c>
      <c r="AC206">
        <v>17</v>
      </c>
      <c r="AD206">
        <v>2</v>
      </c>
      <c r="AE206">
        <v>3</v>
      </c>
      <c r="AF206">
        <v>1</v>
      </c>
      <c r="AG206">
        <v>0</v>
      </c>
      <c r="AH206">
        <v>0</v>
      </c>
      <c r="AI206">
        <v>0</v>
      </c>
      <c r="AJ206" s="2">
        <f>IF(tblHR[[#This Row],[Attrition]]="Yes",1,0)</f>
        <v>1</v>
      </c>
      <c r="AK206" t="str">
        <f>IF(tblHR[[#This Row],[Age]]&lt;26,"18-25",IF(tblHR[[#This Row],[Age]]&lt;36,"26-35",IF(tblHR[[#This Row],[Age]]&lt;46,"36-45",IF(tblHR[[#This Row],[Age]]&lt;56,"46-55","56+"))))</f>
        <v>36-45</v>
      </c>
    </row>
    <row r="207" spans="1:37"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s="1">
        <v>7639</v>
      </c>
      <c r="T207">
        <v>24525</v>
      </c>
      <c r="U207">
        <v>1</v>
      </c>
      <c r="V207" t="s">
        <v>42</v>
      </c>
      <c r="W207" t="s">
        <v>43</v>
      </c>
      <c r="X207">
        <v>22</v>
      </c>
      <c r="Y207">
        <v>4</v>
      </c>
      <c r="Z207">
        <v>4</v>
      </c>
      <c r="AA207">
        <v>80</v>
      </c>
      <c r="AB207">
        <v>3</v>
      </c>
      <c r="AC207">
        <v>10</v>
      </c>
      <c r="AD207">
        <v>3</v>
      </c>
      <c r="AE207">
        <v>2</v>
      </c>
      <c r="AF207">
        <v>10</v>
      </c>
      <c r="AG207">
        <v>4</v>
      </c>
      <c r="AH207">
        <v>1</v>
      </c>
      <c r="AI207">
        <v>9</v>
      </c>
      <c r="AJ207" s="2">
        <f>IF(tblHR[[#This Row],[Attrition]]="Yes",1,0)</f>
        <v>1</v>
      </c>
      <c r="AK207" t="str">
        <f>IF(tblHR[[#This Row],[Age]]&lt;26,"18-25",IF(tblHR[[#This Row],[Age]]&lt;36,"26-35",IF(tblHR[[#This Row],[Age]]&lt;46,"36-45",IF(tblHR[[#This Row],[Age]]&lt;56,"46-55","56+"))))</f>
        <v>26-35</v>
      </c>
    </row>
    <row r="208" spans="1:37"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s="1">
        <v>2328</v>
      </c>
      <c r="T208">
        <v>12392</v>
      </c>
      <c r="U208">
        <v>1</v>
      </c>
      <c r="V208" t="s">
        <v>42</v>
      </c>
      <c r="W208" t="s">
        <v>35</v>
      </c>
      <c r="X208">
        <v>16</v>
      </c>
      <c r="Y208">
        <v>3</v>
      </c>
      <c r="Z208">
        <v>1</v>
      </c>
      <c r="AA208">
        <v>80</v>
      </c>
      <c r="AB208">
        <v>1</v>
      </c>
      <c r="AC208">
        <v>4</v>
      </c>
      <c r="AD208">
        <v>2</v>
      </c>
      <c r="AE208">
        <v>2</v>
      </c>
      <c r="AF208">
        <v>4</v>
      </c>
      <c r="AG208">
        <v>2</v>
      </c>
      <c r="AH208">
        <v>2</v>
      </c>
      <c r="AI208">
        <v>2</v>
      </c>
      <c r="AJ208" s="2">
        <f>IF(tblHR[[#This Row],[Attrition]]="Yes",1,0)</f>
        <v>0</v>
      </c>
      <c r="AK208" t="str">
        <f>IF(tblHR[[#This Row],[Age]]&lt;26,"18-25",IF(tblHR[[#This Row],[Age]]&lt;36,"26-35",IF(tblHR[[#This Row],[Age]]&lt;46,"36-45",IF(tblHR[[#This Row],[Age]]&lt;56,"46-55","56+"))))</f>
        <v>18-25</v>
      </c>
    </row>
    <row r="209" spans="1:37"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s="1">
        <v>2153</v>
      </c>
      <c r="T209">
        <v>7703</v>
      </c>
      <c r="U209">
        <v>1</v>
      </c>
      <c r="V209" t="s">
        <v>42</v>
      </c>
      <c r="W209" t="s">
        <v>43</v>
      </c>
      <c r="X209">
        <v>13</v>
      </c>
      <c r="Y209">
        <v>3</v>
      </c>
      <c r="Z209">
        <v>1</v>
      </c>
      <c r="AA209">
        <v>80</v>
      </c>
      <c r="AB209">
        <v>0</v>
      </c>
      <c r="AC209">
        <v>8</v>
      </c>
      <c r="AD209">
        <v>2</v>
      </c>
      <c r="AE209">
        <v>3</v>
      </c>
      <c r="AF209">
        <v>8</v>
      </c>
      <c r="AG209">
        <v>1</v>
      </c>
      <c r="AH209">
        <v>1</v>
      </c>
      <c r="AI209">
        <v>7</v>
      </c>
      <c r="AJ209" s="2">
        <f>IF(tblHR[[#This Row],[Attrition]]="Yes",1,0)</f>
        <v>0</v>
      </c>
      <c r="AK209" t="str">
        <f>IF(tblHR[[#This Row],[Age]]&lt;26,"18-25",IF(tblHR[[#This Row],[Age]]&lt;36,"26-35",IF(tblHR[[#This Row],[Age]]&lt;46,"36-45",IF(tblHR[[#This Row],[Age]]&lt;56,"46-55","56+"))))</f>
        <v>36-45</v>
      </c>
    </row>
    <row r="210" spans="1:37"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s="1">
        <v>4876</v>
      </c>
      <c r="T210">
        <v>14242</v>
      </c>
      <c r="U210">
        <v>9</v>
      </c>
      <c r="V210" t="s">
        <v>42</v>
      </c>
      <c r="W210" t="s">
        <v>43</v>
      </c>
      <c r="X210">
        <v>14</v>
      </c>
      <c r="Y210">
        <v>3</v>
      </c>
      <c r="Z210">
        <v>4</v>
      </c>
      <c r="AA210">
        <v>80</v>
      </c>
      <c r="AB210">
        <v>1</v>
      </c>
      <c r="AC210">
        <v>5</v>
      </c>
      <c r="AD210">
        <v>5</v>
      </c>
      <c r="AE210">
        <v>1</v>
      </c>
      <c r="AF210">
        <v>3</v>
      </c>
      <c r="AG210">
        <v>2</v>
      </c>
      <c r="AH210">
        <v>0</v>
      </c>
      <c r="AI210">
        <v>2</v>
      </c>
      <c r="AJ210" s="2">
        <f>IF(tblHR[[#This Row],[Attrition]]="Yes",1,0)</f>
        <v>0</v>
      </c>
      <c r="AK210" t="str">
        <f>IF(tblHR[[#This Row],[Age]]&lt;26,"18-25",IF(tblHR[[#This Row],[Age]]&lt;36,"26-35",IF(tblHR[[#This Row],[Age]]&lt;46,"36-45",IF(tblHR[[#This Row],[Age]]&lt;56,"46-55","56+"))))</f>
        <v>36-45</v>
      </c>
    </row>
    <row r="211" spans="1:37"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s="1">
        <v>9396</v>
      </c>
      <c r="T211">
        <v>12368</v>
      </c>
      <c r="U211">
        <v>7</v>
      </c>
      <c r="V211" t="s">
        <v>42</v>
      </c>
      <c r="W211" t="s">
        <v>43</v>
      </c>
      <c r="X211">
        <v>16</v>
      </c>
      <c r="Y211">
        <v>3</v>
      </c>
      <c r="Z211">
        <v>3</v>
      </c>
      <c r="AA211">
        <v>80</v>
      </c>
      <c r="AB211">
        <v>1</v>
      </c>
      <c r="AC211">
        <v>17</v>
      </c>
      <c r="AD211">
        <v>3</v>
      </c>
      <c r="AE211">
        <v>3</v>
      </c>
      <c r="AF211">
        <v>4</v>
      </c>
      <c r="AG211">
        <v>2</v>
      </c>
      <c r="AH211">
        <v>0</v>
      </c>
      <c r="AI211">
        <v>3</v>
      </c>
      <c r="AJ211" s="2">
        <f>IF(tblHR[[#This Row],[Attrition]]="Yes",1,0)</f>
        <v>0</v>
      </c>
      <c r="AK211" t="str">
        <f>IF(tblHR[[#This Row],[Age]]&lt;26,"18-25",IF(tblHR[[#This Row],[Age]]&lt;36,"26-35",IF(tblHR[[#This Row],[Age]]&lt;46,"36-45",IF(tblHR[[#This Row],[Age]]&lt;56,"46-55","56+"))))</f>
        <v>46-55</v>
      </c>
    </row>
    <row r="212" spans="1:37"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s="1">
        <v>10400</v>
      </c>
      <c r="T212">
        <v>25812</v>
      </c>
      <c r="U212">
        <v>1</v>
      </c>
      <c r="V212" t="s">
        <v>42</v>
      </c>
      <c r="W212" t="s">
        <v>43</v>
      </c>
      <c r="X212">
        <v>11</v>
      </c>
      <c r="Y212">
        <v>3</v>
      </c>
      <c r="Z212">
        <v>3</v>
      </c>
      <c r="AA212">
        <v>80</v>
      </c>
      <c r="AB212">
        <v>0</v>
      </c>
      <c r="AC212">
        <v>14</v>
      </c>
      <c r="AD212">
        <v>2</v>
      </c>
      <c r="AE212">
        <v>2</v>
      </c>
      <c r="AF212">
        <v>14</v>
      </c>
      <c r="AG212">
        <v>8</v>
      </c>
      <c r="AH212">
        <v>9</v>
      </c>
      <c r="AI212">
        <v>8</v>
      </c>
      <c r="AJ212" s="2">
        <f>IF(tblHR[[#This Row],[Attrition]]="Yes",1,0)</f>
        <v>1</v>
      </c>
      <c r="AK212" t="str">
        <f>IF(tblHR[[#This Row],[Age]]&lt;26,"18-25",IF(tblHR[[#This Row],[Age]]&lt;36,"26-35",IF(tblHR[[#This Row],[Age]]&lt;46,"36-45",IF(tblHR[[#This Row],[Age]]&lt;56,"46-55","56+"))))</f>
        <v>26-35</v>
      </c>
    </row>
    <row r="213" spans="1:37"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s="1">
        <v>8474</v>
      </c>
      <c r="T213">
        <v>20925</v>
      </c>
      <c r="U213">
        <v>1</v>
      </c>
      <c r="V213" t="s">
        <v>42</v>
      </c>
      <c r="W213" t="s">
        <v>43</v>
      </c>
      <c r="X213">
        <v>22</v>
      </c>
      <c r="Y213">
        <v>4</v>
      </c>
      <c r="Z213">
        <v>3</v>
      </c>
      <c r="AA213">
        <v>80</v>
      </c>
      <c r="AB213">
        <v>0</v>
      </c>
      <c r="AC213">
        <v>12</v>
      </c>
      <c r="AD213">
        <v>2</v>
      </c>
      <c r="AE213">
        <v>3</v>
      </c>
      <c r="AF213">
        <v>11</v>
      </c>
      <c r="AG213">
        <v>8</v>
      </c>
      <c r="AH213">
        <v>5</v>
      </c>
      <c r="AI213">
        <v>8</v>
      </c>
      <c r="AJ213" s="2">
        <f>IF(tblHR[[#This Row],[Attrition]]="Yes",1,0)</f>
        <v>0</v>
      </c>
      <c r="AK213" t="str">
        <f>IF(tblHR[[#This Row],[Age]]&lt;26,"18-25",IF(tblHR[[#This Row],[Age]]&lt;36,"26-35",IF(tblHR[[#This Row],[Age]]&lt;46,"36-45",IF(tblHR[[#This Row],[Age]]&lt;56,"46-55","56+"))))</f>
        <v>26-35</v>
      </c>
    </row>
    <row r="214" spans="1:37"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s="1">
        <v>9981</v>
      </c>
      <c r="T214">
        <v>12916</v>
      </c>
      <c r="U214">
        <v>1</v>
      </c>
      <c r="V214" t="s">
        <v>42</v>
      </c>
      <c r="W214" t="s">
        <v>43</v>
      </c>
      <c r="X214">
        <v>14</v>
      </c>
      <c r="Y214">
        <v>3</v>
      </c>
      <c r="Z214">
        <v>4</v>
      </c>
      <c r="AA214">
        <v>80</v>
      </c>
      <c r="AB214">
        <v>0</v>
      </c>
      <c r="AC214">
        <v>7</v>
      </c>
      <c r="AD214">
        <v>2</v>
      </c>
      <c r="AE214">
        <v>3</v>
      </c>
      <c r="AF214">
        <v>7</v>
      </c>
      <c r="AG214">
        <v>7</v>
      </c>
      <c r="AH214">
        <v>0</v>
      </c>
      <c r="AI214">
        <v>7</v>
      </c>
      <c r="AJ214" s="2">
        <f>IF(tblHR[[#This Row],[Attrition]]="Yes",1,0)</f>
        <v>0</v>
      </c>
      <c r="AK214" t="str">
        <f>IF(tblHR[[#This Row],[Age]]&lt;26,"18-25",IF(tblHR[[#This Row],[Age]]&lt;36,"26-35",IF(tblHR[[#This Row],[Age]]&lt;46,"36-45",IF(tblHR[[#This Row],[Age]]&lt;56,"46-55","56+"))))</f>
        <v>26-35</v>
      </c>
    </row>
    <row r="215" spans="1:37"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s="1">
        <v>12490</v>
      </c>
      <c r="T215">
        <v>15736</v>
      </c>
      <c r="U215">
        <v>5</v>
      </c>
      <c r="V215" t="s">
        <v>42</v>
      </c>
      <c r="W215" t="s">
        <v>43</v>
      </c>
      <c r="X215">
        <v>16</v>
      </c>
      <c r="Y215">
        <v>3</v>
      </c>
      <c r="Z215">
        <v>4</v>
      </c>
      <c r="AA215">
        <v>80</v>
      </c>
      <c r="AB215">
        <v>2</v>
      </c>
      <c r="AC215">
        <v>16</v>
      </c>
      <c r="AD215">
        <v>5</v>
      </c>
      <c r="AE215">
        <v>1</v>
      </c>
      <c r="AF215">
        <v>10</v>
      </c>
      <c r="AG215">
        <v>9</v>
      </c>
      <c r="AH215">
        <v>4</v>
      </c>
      <c r="AI215">
        <v>7</v>
      </c>
      <c r="AJ215" s="2">
        <f>IF(tblHR[[#This Row],[Attrition]]="Yes",1,0)</f>
        <v>0</v>
      </c>
      <c r="AK215" t="str">
        <f>IF(tblHR[[#This Row],[Age]]&lt;26,"18-25",IF(tblHR[[#This Row],[Age]]&lt;36,"26-35",IF(tblHR[[#This Row],[Age]]&lt;46,"36-45",IF(tblHR[[#This Row],[Age]]&lt;56,"46-55","56+"))))</f>
        <v>46-55</v>
      </c>
    </row>
    <row r="216" spans="1:37"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s="1">
        <v>2657</v>
      </c>
      <c r="T216">
        <v>8556</v>
      </c>
      <c r="U216">
        <v>5</v>
      </c>
      <c r="V216" t="s">
        <v>42</v>
      </c>
      <c r="W216" t="s">
        <v>35</v>
      </c>
      <c r="X216">
        <v>11</v>
      </c>
      <c r="Y216">
        <v>3</v>
      </c>
      <c r="Z216">
        <v>3</v>
      </c>
      <c r="AA216">
        <v>80</v>
      </c>
      <c r="AB216">
        <v>0</v>
      </c>
      <c r="AC216">
        <v>8</v>
      </c>
      <c r="AD216">
        <v>5</v>
      </c>
      <c r="AE216">
        <v>3</v>
      </c>
      <c r="AF216">
        <v>5</v>
      </c>
      <c r="AG216">
        <v>2</v>
      </c>
      <c r="AH216">
        <v>0</v>
      </c>
      <c r="AI216">
        <v>4</v>
      </c>
      <c r="AJ216" s="2">
        <f>IF(tblHR[[#This Row],[Attrition]]="Yes",1,0)</f>
        <v>1</v>
      </c>
      <c r="AK216" t="str">
        <f>IF(tblHR[[#This Row],[Age]]&lt;26,"18-25",IF(tblHR[[#This Row],[Age]]&lt;36,"26-35",IF(tblHR[[#This Row],[Age]]&lt;46,"36-45",IF(tblHR[[#This Row],[Age]]&lt;56,"46-55","56+"))))</f>
        <v>26-35</v>
      </c>
    </row>
    <row r="217" spans="1:37"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s="1">
        <v>13591</v>
      </c>
      <c r="T217">
        <v>14674</v>
      </c>
      <c r="U217">
        <v>3</v>
      </c>
      <c r="V217" t="s">
        <v>42</v>
      </c>
      <c r="W217" t="s">
        <v>35</v>
      </c>
      <c r="X217">
        <v>18</v>
      </c>
      <c r="Y217">
        <v>3</v>
      </c>
      <c r="Z217">
        <v>3</v>
      </c>
      <c r="AA217">
        <v>80</v>
      </c>
      <c r="AB217">
        <v>0</v>
      </c>
      <c r="AC217">
        <v>16</v>
      </c>
      <c r="AD217">
        <v>3</v>
      </c>
      <c r="AE217">
        <v>3</v>
      </c>
      <c r="AF217">
        <v>1</v>
      </c>
      <c r="AG217">
        <v>0</v>
      </c>
      <c r="AH217">
        <v>0</v>
      </c>
      <c r="AI217">
        <v>0</v>
      </c>
      <c r="AJ217" s="2">
        <f>IF(tblHR[[#This Row],[Attrition]]="Yes",1,0)</f>
        <v>0</v>
      </c>
      <c r="AK217" t="str">
        <f>IF(tblHR[[#This Row],[Age]]&lt;26,"18-25",IF(tblHR[[#This Row],[Age]]&lt;36,"26-35",IF(tblHR[[#This Row],[Age]]&lt;46,"36-45",IF(tblHR[[#This Row],[Age]]&lt;56,"46-55","56+"))))</f>
        <v>36-45</v>
      </c>
    </row>
    <row r="218" spans="1:37"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s="1">
        <v>6696</v>
      </c>
      <c r="T218">
        <v>22967</v>
      </c>
      <c r="U218">
        <v>5</v>
      </c>
      <c r="V218" t="s">
        <v>42</v>
      </c>
      <c r="W218" t="s">
        <v>43</v>
      </c>
      <c r="X218">
        <v>15</v>
      </c>
      <c r="Y218">
        <v>3</v>
      </c>
      <c r="Z218">
        <v>3</v>
      </c>
      <c r="AA218">
        <v>80</v>
      </c>
      <c r="AB218">
        <v>0</v>
      </c>
      <c r="AC218">
        <v>9</v>
      </c>
      <c r="AD218">
        <v>5</v>
      </c>
      <c r="AE218">
        <v>2</v>
      </c>
      <c r="AF218">
        <v>6</v>
      </c>
      <c r="AG218">
        <v>3</v>
      </c>
      <c r="AH218">
        <v>0</v>
      </c>
      <c r="AI218">
        <v>1</v>
      </c>
      <c r="AJ218" s="2">
        <f>IF(tblHR[[#This Row],[Attrition]]="Yes",1,0)</f>
        <v>1</v>
      </c>
      <c r="AK218" t="str">
        <f>IF(tblHR[[#This Row],[Age]]&lt;26,"18-25",IF(tblHR[[#This Row],[Age]]&lt;36,"26-35",IF(tblHR[[#This Row],[Age]]&lt;46,"36-45",IF(tblHR[[#This Row],[Age]]&lt;56,"46-55","56+"))))</f>
        <v>26-35</v>
      </c>
    </row>
    <row r="219" spans="1:37"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s="1">
        <v>2058</v>
      </c>
      <c r="T219">
        <v>19757</v>
      </c>
      <c r="U219">
        <v>0</v>
      </c>
      <c r="V219" t="s">
        <v>42</v>
      </c>
      <c r="W219" t="s">
        <v>43</v>
      </c>
      <c r="X219">
        <v>14</v>
      </c>
      <c r="Y219">
        <v>3</v>
      </c>
      <c r="Z219">
        <v>4</v>
      </c>
      <c r="AA219">
        <v>80</v>
      </c>
      <c r="AB219">
        <v>0</v>
      </c>
      <c r="AC219">
        <v>7</v>
      </c>
      <c r="AD219">
        <v>1</v>
      </c>
      <c r="AE219">
        <v>2</v>
      </c>
      <c r="AF219">
        <v>6</v>
      </c>
      <c r="AG219">
        <v>2</v>
      </c>
      <c r="AH219">
        <v>1</v>
      </c>
      <c r="AI219">
        <v>5</v>
      </c>
      <c r="AJ219" s="2">
        <f>IF(tblHR[[#This Row],[Attrition]]="Yes",1,0)</f>
        <v>1</v>
      </c>
      <c r="AK219" t="str">
        <f>IF(tblHR[[#This Row],[Age]]&lt;26,"18-25",IF(tblHR[[#This Row],[Age]]&lt;36,"26-35",IF(tblHR[[#This Row],[Age]]&lt;46,"36-45",IF(tblHR[[#This Row],[Age]]&lt;56,"46-55","56+"))))</f>
        <v>26-35</v>
      </c>
    </row>
    <row r="220" spans="1:37"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s="1">
        <v>8865</v>
      </c>
      <c r="T220">
        <v>16840</v>
      </c>
      <c r="U220">
        <v>6</v>
      </c>
      <c r="V220" t="s">
        <v>42</v>
      </c>
      <c r="W220" t="s">
        <v>43</v>
      </c>
      <c r="X220">
        <v>12</v>
      </c>
      <c r="Y220">
        <v>3</v>
      </c>
      <c r="Z220">
        <v>4</v>
      </c>
      <c r="AA220">
        <v>80</v>
      </c>
      <c r="AB220">
        <v>0</v>
      </c>
      <c r="AC220">
        <v>23</v>
      </c>
      <c r="AD220">
        <v>2</v>
      </c>
      <c r="AE220">
        <v>3</v>
      </c>
      <c r="AF220">
        <v>19</v>
      </c>
      <c r="AG220">
        <v>7</v>
      </c>
      <c r="AH220">
        <v>12</v>
      </c>
      <c r="AI220">
        <v>8</v>
      </c>
      <c r="AJ220" s="2">
        <f>IF(tblHR[[#This Row],[Attrition]]="Yes",1,0)</f>
        <v>0</v>
      </c>
      <c r="AK220" t="str">
        <f>IF(tblHR[[#This Row],[Age]]&lt;26,"18-25",IF(tblHR[[#This Row],[Age]]&lt;36,"26-35",IF(tblHR[[#This Row],[Age]]&lt;46,"36-45",IF(tblHR[[#This Row],[Age]]&lt;56,"46-55","56+"))))</f>
        <v>36-45</v>
      </c>
    </row>
    <row r="221" spans="1:37"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s="1">
        <v>5940</v>
      </c>
      <c r="T221">
        <v>17011</v>
      </c>
      <c r="U221">
        <v>2</v>
      </c>
      <c r="V221" t="s">
        <v>42</v>
      </c>
      <c r="W221" t="s">
        <v>43</v>
      </c>
      <c r="X221">
        <v>14</v>
      </c>
      <c r="Y221">
        <v>3</v>
      </c>
      <c r="Z221">
        <v>4</v>
      </c>
      <c r="AA221">
        <v>80</v>
      </c>
      <c r="AB221">
        <v>1</v>
      </c>
      <c r="AC221">
        <v>16</v>
      </c>
      <c r="AD221">
        <v>4</v>
      </c>
      <c r="AE221">
        <v>3</v>
      </c>
      <c r="AF221">
        <v>6</v>
      </c>
      <c r="AG221">
        <v>2</v>
      </c>
      <c r="AH221">
        <v>0</v>
      </c>
      <c r="AI221">
        <v>5</v>
      </c>
      <c r="AJ221" s="2">
        <f>IF(tblHR[[#This Row],[Attrition]]="Yes",1,0)</f>
        <v>0</v>
      </c>
      <c r="AK221" t="str">
        <f>IF(tblHR[[#This Row],[Age]]&lt;26,"18-25",IF(tblHR[[#This Row],[Age]]&lt;36,"26-35",IF(tblHR[[#This Row],[Age]]&lt;46,"36-45",IF(tblHR[[#This Row],[Age]]&lt;56,"46-55","56+"))))</f>
        <v>46-55</v>
      </c>
    </row>
    <row r="222" spans="1:37"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s="1">
        <v>5914</v>
      </c>
      <c r="T222">
        <v>9945</v>
      </c>
      <c r="U222">
        <v>8</v>
      </c>
      <c r="V222" t="s">
        <v>42</v>
      </c>
      <c r="W222" t="s">
        <v>43</v>
      </c>
      <c r="X222">
        <v>16</v>
      </c>
      <c r="Y222">
        <v>3</v>
      </c>
      <c r="Z222">
        <v>4</v>
      </c>
      <c r="AA222">
        <v>80</v>
      </c>
      <c r="AB222">
        <v>0</v>
      </c>
      <c r="AC222">
        <v>16</v>
      </c>
      <c r="AD222">
        <v>3</v>
      </c>
      <c r="AE222">
        <v>4</v>
      </c>
      <c r="AF222">
        <v>13</v>
      </c>
      <c r="AG222">
        <v>11</v>
      </c>
      <c r="AH222">
        <v>3</v>
      </c>
      <c r="AI222">
        <v>7</v>
      </c>
      <c r="AJ222" s="2">
        <f>IF(tblHR[[#This Row],[Attrition]]="Yes",1,0)</f>
        <v>0</v>
      </c>
      <c r="AK222" t="str">
        <f>IF(tblHR[[#This Row],[Age]]&lt;26,"18-25",IF(tblHR[[#This Row],[Age]]&lt;36,"26-35",IF(tblHR[[#This Row],[Age]]&lt;46,"36-45",IF(tblHR[[#This Row],[Age]]&lt;56,"46-55","56+"))))</f>
        <v>36-45</v>
      </c>
    </row>
    <row r="223" spans="1:37"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s="1">
        <v>2622</v>
      </c>
      <c r="T223">
        <v>13248</v>
      </c>
      <c r="U223">
        <v>6</v>
      </c>
      <c r="V223" t="s">
        <v>42</v>
      </c>
      <c r="W223" t="s">
        <v>43</v>
      </c>
      <c r="X223">
        <v>21</v>
      </c>
      <c r="Y223">
        <v>4</v>
      </c>
      <c r="Z223">
        <v>4</v>
      </c>
      <c r="AA223">
        <v>80</v>
      </c>
      <c r="AB223">
        <v>0</v>
      </c>
      <c r="AC223">
        <v>7</v>
      </c>
      <c r="AD223">
        <v>3</v>
      </c>
      <c r="AE223">
        <v>3</v>
      </c>
      <c r="AF223">
        <v>3</v>
      </c>
      <c r="AG223">
        <v>2</v>
      </c>
      <c r="AH223">
        <v>1</v>
      </c>
      <c r="AI223">
        <v>1</v>
      </c>
      <c r="AJ223" s="2">
        <f>IF(tblHR[[#This Row],[Attrition]]="Yes",1,0)</f>
        <v>0</v>
      </c>
      <c r="AK223" t="str">
        <f>IF(tblHR[[#This Row],[Age]]&lt;26,"18-25",IF(tblHR[[#This Row],[Age]]&lt;36,"26-35",IF(tblHR[[#This Row],[Age]]&lt;46,"36-45",IF(tblHR[[#This Row],[Age]]&lt;56,"46-55","56+"))))</f>
        <v>26-35</v>
      </c>
    </row>
    <row r="224" spans="1:37"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s="1">
        <v>12185</v>
      </c>
      <c r="T224">
        <v>10056</v>
      </c>
      <c r="U224">
        <v>1</v>
      </c>
      <c r="V224" t="s">
        <v>42</v>
      </c>
      <c r="W224" t="s">
        <v>35</v>
      </c>
      <c r="X224">
        <v>14</v>
      </c>
      <c r="Y224">
        <v>3</v>
      </c>
      <c r="Z224">
        <v>3</v>
      </c>
      <c r="AA224">
        <v>80</v>
      </c>
      <c r="AB224">
        <v>3</v>
      </c>
      <c r="AC224">
        <v>10</v>
      </c>
      <c r="AD224">
        <v>1</v>
      </c>
      <c r="AE224">
        <v>3</v>
      </c>
      <c r="AF224">
        <v>10</v>
      </c>
      <c r="AG224">
        <v>8</v>
      </c>
      <c r="AH224">
        <v>0</v>
      </c>
      <c r="AI224">
        <v>7</v>
      </c>
      <c r="AJ224" s="2">
        <f>IF(tblHR[[#This Row],[Attrition]]="Yes",1,0)</f>
        <v>0</v>
      </c>
      <c r="AK224" t="str">
        <f>IF(tblHR[[#This Row],[Age]]&lt;26,"18-25",IF(tblHR[[#This Row],[Age]]&lt;36,"26-35",IF(tblHR[[#This Row],[Age]]&lt;46,"36-45",IF(tblHR[[#This Row],[Age]]&lt;56,"46-55","56+"))))</f>
        <v>36-45</v>
      </c>
    </row>
    <row r="225" spans="1:37"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s="1">
        <v>10609</v>
      </c>
      <c r="T225">
        <v>9647</v>
      </c>
      <c r="U225">
        <v>0</v>
      </c>
      <c r="V225" t="s">
        <v>42</v>
      </c>
      <c r="W225" t="s">
        <v>43</v>
      </c>
      <c r="X225">
        <v>12</v>
      </c>
      <c r="Y225">
        <v>3</v>
      </c>
      <c r="Z225">
        <v>3</v>
      </c>
      <c r="AA225">
        <v>80</v>
      </c>
      <c r="AB225">
        <v>2</v>
      </c>
      <c r="AC225">
        <v>17</v>
      </c>
      <c r="AD225">
        <v>6</v>
      </c>
      <c r="AE225">
        <v>2</v>
      </c>
      <c r="AF225">
        <v>16</v>
      </c>
      <c r="AG225">
        <v>10</v>
      </c>
      <c r="AH225">
        <v>5</v>
      </c>
      <c r="AI225">
        <v>13</v>
      </c>
      <c r="AJ225" s="2">
        <f>IF(tblHR[[#This Row],[Attrition]]="Yes",1,0)</f>
        <v>0</v>
      </c>
      <c r="AK225" t="str">
        <f>IF(tblHR[[#This Row],[Age]]&lt;26,"18-25",IF(tblHR[[#This Row],[Age]]&lt;36,"26-35",IF(tblHR[[#This Row],[Age]]&lt;46,"36-45",IF(tblHR[[#This Row],[Age]]&lt;56,"46-55","56+"))))</f>
        <v>36-45</v>
      </c>
    </row>
    <row r="226" spans="1:37"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s="1">
        <v>4345</v>
      </c>
      <c r="T226">
        <v>4381</v>
      </c>
      <c r="U226">
        <v>0</v>
      </c>
      <c r="V226" t="s">
        <v>42</v>
      </c>
      <c r="W226" t="s">
        <v>43</v>
      </c>
      <c r="X226">
        <v>12</v>
      </c>
      <c r="Y226">
        <v>3</v>
      </c>
      <c r="Z226">
        <v>4</v>
      </c>
      <c r="AA226">
        <v>80</v>
      </c>
      <c r="AB226">
        <v>1</v>
      </c>
      <c r="AC226">
        <v>6</v>
      </c>
      <c r="AD226">
        <v>2</v>
      </c>
      <c r="AE226">
        <v>3</v>
      </c>
      <c r="AF226">
        <v>5</v>
      </c>
      <c r="AG226">
        <v>4</v>
      </c>
      <c r="AH226">
        <v>1</v>
      </c>
      <c r="AI226">
        <v>4</v>
      </c>
      <c r="AJ226" s="2">
        <f>IF(tblHR[[#This Row],[Attrition]]="Yes",1,0)</f>
        <v>0</v>
      </c>
      <c r="AK226" t="str">
        <f>IF(tblHR[[#This Row],[Age]]&lt;26,"18-25",IF(tblHR[[#This Row],[Age]]&lt;36,"26-35",IF(tblHR[[#This Row],[Age]]&lt;46,"36-45",IF(tblHR[[#This Row],[Age]]&lt;56,"46-55","56+"))))</f>
        <v>26-35</v>
      </c>
    </row>
    <row r="227" spans="1:37"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s="1">
        <v>2177</v>
      </c>
      <c r="T227">
        <v>8456</v>
      </c>
      <c r="U227">
        <v>3</v>
      </c>
      <c r="V227" t="s">
        <v>42</v>
      </c>
      <c r="W227" t="s">
        <v>43</v>
      </c>
      <c r="X227">
        <v>17</v>
      </c>
      <c r="Y227">
        <v>3</v>
      </c>
      <c r="Z227">
        <v>1</v>
      </c>
      <c r="AA227">
        <v>80</v>
      </c>
      <c r="AB227">
        <v>1</v>
      </c>
      <c r="AC227">
        <v>7</v>
      </c>
      <c r="AD227">
        <v>6</v>
      </c>
      <c r="AE227">
        <v>3</v>
      </c>
      <c r="AF227">
        <v>1</v>
      </c>
      <c r="AG227">
        <v>0</v>
      </c>
      <c r="AH227">
        <v>0</v>
      </c>
      <c r="AI227">
        <v>0</v>
      </c>
      <c r="AJ227" s="2">
        <f>IF(tblHR[[#This Row],[Attrition]]="Yes",1,0)</f>
        <v>0</v>
      </c>
      <c r="AK227" t="str">
        <f>IF(tblHR[[#This Row],[Age]]&lt;26,"18-25",IF(tblHR[[#This Row],[Age]]&lt;36,"26-35",IF(tblHR[[#This Row],[Age]]&lt;46,"36-45",IF(tblHR[[#This Row],[Age]]&lt;56,"46-55","56+"))))</f>
        <v>56+</v>
      </c>
    </row>
    <row r="228" spans="1:37"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s="1">
        <v>2793</v>
      </c>
      <c r="T228">
        <v>2539</v>
      </c>
      <c r="U228">
        <v>4</v>
      </c>
      <c r="V228" t="s">
        <v>42</v>
      </c>
      <c r="W228" t="s">
        <v>43</v>
      </c>
      <c r="X228">
        <v>17</v>
      </c>
      <c r="Y228">
        <v>3</v>
      </c>
      <c r="Z228">
        <v>3</v>
      </c>
      <c r="AA228">
        <v>80</v>
      </c>
      <c r="AB228">
        <v>1</v>
      </c>
      <c r="AC228">
        <v>13</v>
      </c>
      <c r="AD228">
        <v>2</v>
      </c>
      <c r="AE228">
        <v>3</v>
      </c>
      <c r="AF228">
        <v>9</v>
      </c>
      <c r="AG228">
        <v>8</v>
      </c>
      <c r="AH228">
        <v>5</v>
      </c>
      <c r="AI228">
        <v>8</v>
      </c>
      <c r="AJ228" s="2">
        <f>IF(tblHR[[#This Row],[Attrition]]="Yes",1,0)</f>
        <v>0</v>
      </c>
      <c r="AK228" t="str">
        <f>IF(tblHR[[#This Row],[Age]]&lt;26,"18-25",IF(tblHR[[#This Row],[Age]]&lt;36,"26-35",IF(tblHR[[#This Row],[Age]]&lt;46,"36-45",IF(tblHR[[#This Row],[Age]]&lt;56,"46-55","56+"))))</f>
        <v>36-45</v>
      </c>
    </row>
    <row r="229" spans="1:37"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s="1">
        <v>7918</v>
      </c>
      <c r="T229">
        <v>6599</v>
      </c>
      <c r="U229">
        <v>1</v>
      </c>
      <c r="V229" t="s">
        <v>42</v>
      </c>
      <c r="W229" t="s">
        <v>43</v>
      </c>
      <c r="X229">
        <v>14</v>
      </c>
      <c r="Y229">
        <v>3</v>
      </c>
      <c r="Z229">
        <v>4</v>
      </c>
      <c r="AA229">
        <v>80</v>
      </c>
      <c r="AB229">
        <v>1</v>
      </c>
      <c r="AC229">
        <v>11</v>
      </c>
      <c r="AD229">
        <v>5</v>
      </c>
      <c r="AE229">
        <v>3</v>
      </c>
      <c r="AF229">
        <v>11</v>
      </c>
      <c r="AG229">
        <v>10</v>
      </c>
      <c r="AH229">
        <v>4</v>
      </c>
      <c r="AI229">
        <v>1</v>
      </c>
      <c r="AJ229" s="2">
        <f>IF(tblHR[[#This Row],[Attrition]]="Yes",1,0)</f>
        <v>0</v>
      </c>
      <c r="AK229" t="str">
        <f>IF(tblHR[[#This Row],[Age]]&lt;26,"18-25",IF(tblHR[[#This Row],[Age]]&lt;36,"26-35",IF(tblHR[[#This Row],[Age]]&lt;46,"36-45",IF(tblHR[[#This Row],[Age]]&lt;56,"46-55","56+"))))</f>
        <v>26-35</v>
      </c>
    </row>
    <row r="230" spans="1:37"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s="1">
        <v>8789</v>
      </c>
      <c r="T230">
        <v>9096</v>
      </c>
      <c r="U230">
        <v>1</v>
      </c>
      <c r="V230" t="s">
        <v>42</v>
      </c>
      <c r="W230" t="s">
        <v>43</v>
      </c>
      <c r="X230">
        <v>14</v>
      </c>
      <c r="Y230">
        <v>3</v>
      </c>
      <c r="Z230">
        <v>1</v>
      </c>
      <c r="AA230">
        <v>80</v>
      </c>
      <c r="AB230">
        <v>0</v>
      </c>
      <c r="AC230">
        <v>10</v>
      </c>
      <c r="AD230">
        <v>3</v>
      </c>
      <c r="AE230">
        <v>4</v>
      </c>
      <c r="AF230">
        <v>10</v>
      </c>
      <c r="AG230">
        <v>7</v>
      </c>
      <c r="AH230">
        <v>0</v>
      </c>
      <c r="AI230">
        <v>8</v>
      </c>
      <c r="AJ230" s="2">
        <f>IF(tblHR[[#This Row],[Attrition]]="Yes",1,0)</f>
        <v>0</v>
      </c>
      <c r="AK230" t="str">
        <f>IF(tblHR[[#This Row],[Age]]&lt;26,"18-25",IF(tblHR[[#This Row],[Age]]&lt;36,"26-35",IF(tblHR[[#This Row],[Age]]&lt;46,"36-45",IF(tblHR[[#This Row],[Age]]&lt;56,"46-55","56+"))))</f>
        <v>26-35</v>
      </c>
    </row>
    <row r="231" spans="1:37"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s="1">
        <v>2389</v>
      </c>
      <c r="T231">
        <v>14961</v>
      </c>
      <c r="U231">
        <v>1</v>
      </c>
      <c r="V231" t="s">
        <v>42</v>
      </c>
      <c r="W231" t="s">
        <v>35</v>
      </c>
      <c r="X231">
        <v>13</v>
      </c>
      <c r="Y231">
        <v>3</v>
      </c>
      <c r="Z231">
        <v>3</v>
      </c>
      <c r="AA231">
        <v>80</v>
      </c>
      <c r="AB231">
        <v>0</v>
      </c>
      <c r="AC231">
        <v>4</v>
      </c>
      <c r="AD231">
        <v>3</v>
      </c>
      <c r="AE231">
        <v>2</v>
      </c>
      <c r="AF231">
        <v>4</v>
      </c>
      <c r="AG231">
        <v>3</v>
      </c>
      <c r="AH231">
        <v>0</v>
      </c>
      <c r="AI231">
        <v>1</v>
      </c>
      <c r="AJ231" s="2">
        <f>IF(tblHR[[#This Row],[Attrition]]="Yes",1,0)</f>
        <v>1</v>
      </c>
      <c r="AK231" t="str">
        <f>IF(tblHR[[#This Row],[Age]]&lt;26,"18-25",IF(tblHR[[#This Row],[Age]]&lt;36,"26-35",IF(tblHR[[#This Row],[Age]]&lt;46,"36-45",IF(tblHR[[#This Row],[Age]]&lt;56,"46-55","56+"))))</f>
        <v>26-35</v>
      </c>
    </row>
    <row r="232" spans="1:37"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s="1">
        <v>3212</v>
      </c>
      <c r="T232">
        <v>3300</v>
      </c>
      <c r="U232">
        <v>7</v>
      </c>
      <c r="V232" t="s">
        <v>42</v>
      </c>
      <c r="W232" t="s">
        <v>43</v>
      </c>
      <c r="X232">
        <v>15</v>
      </c>
      <c r="Y232">
        <v>3</v>
      </c>
      <c r="Z232">
        <v>2</v>
      </c>
      <c r="AA232">
        <v>80</v>
      </c>
      <c r="AB232">
        <v>0</v>
      </c>
      <c r="AC232">
        <v>6</v>
      </c>
      <c r="AD232">
        <v>3</v>
      </c>
      <c r="AE232">
        <v>2</v>
      </c>
      <c r="AF232">
        <v>2</v>
      </c>
      <c r="AG232">
        <v>2</v>
      </c>
      <c r="AH232">
        <v>2</v>
      </c>
      <c r="AI232">
        <v>2</v>
      </c>
      <c r="AJ232" s="2">
        <f>IF(tblHR[[#This Row],[Attrition]]="Yes",1,0)</f>
        <v>0</v>
      </c>
      <c r="AK232" t="str">
        <f>IF(tblHR[[#This Row],[Age]]&lt;26,"18-25",IF(tblHR[[#This Row],[Age]]&lt;36,"26-35",IF(tblHR[[#This Row],[Age]]&lt;46,"36-45",IF(tblHR[[#This Row],[Age]]&lt;56,"46-55","56+"))))</f>
        <v>46-55</v>
      </c>
    </row>
    <row r="233" spans="1:37"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s="1">
        <v>19232</v>
      </c>
      <c r="T233">
        <v>4933</v>
      </c>
      <c r="U233">
        <v>1</v>
      </c>
      <c r="V233" t="s">
        <v>42</v>
      </c>
      <c r="W233" t="s">
        <v>43</v>
      </c>
      <c r="X233">
        <v>11</v>
      </c>
      <c r="Y233">
        <v>3</v>
      </c>
      <c r="Z233">
        <v>4</v>
      </c>
      <c r="AA233">
        <v>80</v>
      </c>
      <c r="AB233">
        <v>0</v>
      </c>
      <c r="AC233">
        <v>22</v>
      </c>
      <c r="AD233">
        <v>3</v>
      </c>
      <c r="AE233">
        <v>3</v>
      </c>
      <c r="AF233">
        <v>22</v>
      </c>
      <c r="AG233">
        <v>17</v>
      </c>
      <c r="AH233">
        <v>11</v>
      </c>
      <c r="AI233">
        <v>15</v>
      </c>
      <c r="AJ233" s="2">
        <f>IF(tblHR[[#This Row],[Attrition]]="Yes",1,0)</f>
        <v>0</v>
      </c>
      <c r="AK233" t="str">
        <f>IF(tblHR[[#This Row],[Age]]&lt;26,"18-25",IF(tblHR[[#This Row],[Age]]&lt;36,"26-35",IF(tblHR[[#This Row],[Age]]&lt;46,"36-45",IF(tblHR[[#This Row],[Age]]&lt;56,"46-55","56+"))))</f>
        <v>36-45</v>
      </c>
    </row>
    <row r="234" spans="1:37"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s="1">
        <v>2267</v>
      </c>
      <c r="T234">
        <v>25657</v>
      </c>
      <c r="U234">
        <v>8</v>
      </c>
      <c r="V234" t="s">
        <v>42</v>
      </c>
      <c r="W234" t="s">
        <v>43</v>
      </c>
      <c r="X234">
        <v>17</v>
      </c>
      <c r="Y234">
        <v>3</v>
      </c>
      <c r="Z234">
        <v>4</v>
      </c>
      <c r="AA234">
        <v>80</v>
      </c>
      <c r="AB234">
        <v>0</v>
      </c>
      <c r="AC234">
        <v>7</v>
      </c>
      <c r="AD234">
        <v>2</v>
      </c>
      <c r="AE234">
        <v>2</v>
      </c>
      <c r="AF234">
        <v>2</v>
      </c>
      <c r="AG234">
        <v>2</v>
      </c>
      <c r="AH234">
        <v>2</v>
      </c>
      <c r="AI234">
        <v>2</v>
      </c>
      <c r="AJ234" s="2">
        <f>IF(tblHR[[#This Row],[Attrition]]="Yes",1,0)</f>
        <v>0</v>
      </c>
      <c r="AK234" t="str">
        <f>IF(tblHR[[#This Row],[Age]]&lt;26,"18-25",IF(tblHR[[#This Row],[Age]]&lt;36,"26-35",IF(tblHR[[#This Row],[Age]]&lt;46,"36-45",IF(tblHR[[#This Row],[Age]]&lt;56,"46-55","56+"))))</f>
        <v>56+</v>
      </c>
    </row>
    <row r="235" spans="1:37"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s="1">
        <v>19517</v>
      </c>
      <c r="T235">
        <v>24118</v>
      </c>
      <c r="U235">
        <v>3</v>
      </c>
      <c r="V235" t="s">
        <v>42</v>
      </c>
      <c r="W235" t="s">
        <v>43</v>
      </c>
      <c r="X235">
        <v>11</v>
      </c>
      <c r="Y235">
        <v>3</v>
      </c>
      <c r="Z235">
        <v>3</v>
      </c>
      <c r="AA235">
        <v>80</v>
      </c>
      <c r="AB235">
        <v>1</v>
      </c>
      <c r="AC235">
        <v>32</v>
      </c>
      <c r="AD235">
        <v>3</v>
      </c>
      <c r="AE235">
        <v>2</v>
      </c>
      <c r="AF235">
        <v>7</v>
      </c>
      <c r="AG235">
        <v>0</v>
      </c>
      <c r="AH235">
        <v>0</v>
      </c>
      <c r="AI235">
        <v>6</v>
      </c>
      <c r="AJ235" s="2">
        <f>IF(tblHR[[#This Row],[Attrition]]="Yes",1,0)</f>
        <v>0</v>
      </c>
      <c r="AK235" t="str">
        <f>IF(tblHR[[#This Row],[Age]]&lt;26,"18-25",IF(tblHR[[#This Row],[Age]]&lt;36,"26-35",IF(tblHR[[#This Row],[Age]]&lt;46,"36-45",IF(tblHR[[#This Row],[Age]]&lt;56,"46-55","56+"))))</f>
        <v>46-55</v>
      </c>
    </row>
    <row r="236" spans="1:37"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s="1">
        <v>2436</v>
      </c>
      <c r="T236">
        <v>22149</v>
      </c>
      <c r="U236">
        <v>5</v>
      </c>
      <c r="V236" t="s">
        <v>42</v>
      </c>
      <c r="W236" t="s">
        <v>35</v>
      </c>
      <c r="X236">
        <v>13</v>
      </c>
      <c r="Y236">
        <v>3</v>
      </c>
      <c r="Z236">
        <v>3</v>
      </c>
      <c r="AA236">
        <v>80</v>
      </c>
      <c r="AB236">
        <v>1</v>
      </c>
      <c r="AC236">
        <v>8</v>
      </c>
      <c r="AD236">
        <v>2</v>
      </c>
      <c r="AE236">
        <v>1</v>
      </c>
      <c r="AF236">
        <v>5</v>
      </c>
      <c r="AG236">
        <v>4</v>
      </c>
      <c r="AH236">
        <v>0</v>
      </c>
      <c r="AI236">
        <v>4</v>
      </c>
      <c r="AJ236" s="2">
        <f>IF(tblHR[[#This Row],[Attrition]]="Yes",1,0)</f>
        <v>1</v>
      </c>
      <c r="AK236" t="str">
        <f>IF(tblHR[[#This Row],[Age]]&lt;26,"18-25",IF(tblHR[[#This Row],[Age]]&lt;36,"26-35",IF(tblHR[[#This Row],[Age]]&lt;46,"36-45",IF(tblHR[[#This Row],[Age]]&lt;56,"46-55","56+"))))</f>
        <v>26-35</v>
      </c>
    </row>
    <row r="237" spans="1:37"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s="1">
        <v>16064</v>
      </c>
      <c r="T237">
        <v>7744</v>
      </c>
      <c r="U237">
        <v>5</v>
      </c>
      <c r="V237" t="s">
        <v>42</v>
      </c>
      <c r="W237" t="s">
        <v>35</v>
      </c>
      <c r="X237">
        <v>22</v>
      </c>
      <c r="Y237">
        <v>4</v>
      </c>
      <c r="Z237">
        <v>3</v>
      </c>
      <c r="AA237">
        <v>80</v>
      </c>
      <c r="AB237">
        <v>1</v>
      </c>
      <c r="AC237">
        <v>22</v>
      </c>
      <c r="AD237">
        <v>3</v>
      </c>
      <c r="AE237">
        <v>3</v>
      </c>
      <c r="AF237">
        <v>17</v>
      </c>
      <c r="AG237">
        <v>13</v>
      </c>
      <c r="AH237">
        <v>1</v>
      </c>
      <c r="AI237">
        <v>9</v>
      </c>
      <c r="AJ237" s="2">
        <f>IF(tblHR[[#This Row],[Attrition]]="Yes",1,0)</f>
        <v>0</v>
      </c>
      <c r="AK237" t="str">
        <f>IF(tblHR[[#This Row],[Age]]&lt;26,"18-25",IF(tblHR[[#This Row],[Age]]&lt;36,"26-35",IF(tblHR[[#This Row],[Age]]&lt;46,"36-45",IF(tblHR[[#This Row],[Age]]&lt;56,"46-55","56+"))))</f>
        <v>36-45</v>
      </c>
    </row>
    <row r="238" spans="1:37"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s="1">
        <v>2707</v>
      </c>
      <c r="T238">
        <v>21509</v>
      </c>
      <c r="U238">
        <v>7</v>
      </c>
      <c r="V238" t="s">
        <v>42</v>
      </c>
      <c r="W238" t="s">
        <v>43</v>
      </c>
      <c r="X238">
        <v>20</v>
      </c>
      <c r="Y238">
        <v>4</v>
      </c>
      <c r="Z238">
        <v>1</v>
      </c>
      <c r="AA238">
        <v>80</v>
      </c>
      <c r="AB238">
        <v>0</v>
      </c>
      <c r="AC238">
        <v>13</v>
      </c>
      <c r="AD238">
        <v>3</v>
      </c>
      <c r="AE238">
        <v>4</v>
      </c>
      <c r="AF238">
        <v>9</v>
      </c>
      <c r="AG238">
        <v>7</v>
      </c>
      <c r="AH238">
        <v>1</v>
      </c>
      <c r="AI238">
        <v>7</v>
      </c>
      <c r="AJ238" s="2">
        <f>IF(tblHR[[#This Row],[Attrition]]="Yes",1,0)</f>
        <v>1</v>
      </c>
      <c r="AK238" t="str">
        <f>IF(tblHR[[#This Row],[Age]]&lt;26,"18-25",IF(tblHR[[#This Row],[Age]]&lt;36,"26-35",IF(tblHR[[#This Row],[Age]]&lt;46,"36-45",IF(tblHR[[#This Row],[Age]]&lt;56,"46-55","56+"))))</f>
        <v>26-35</v>
      </c>
    </row>
    <row r="239" spans="1:37"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s="1">
        <v>19068</v>
      </c>
      <c r="T239">
        <v>21030</v>
      </c>
      <c r="U239">
        <v>1</v>
      </c>
      <c r="V239" t="s">
        <v>42</v>
      </c>
      <c r="W239" t="s">
        <v>35</v>
      </c>
      <c r="X239">
        <v>18</v>
      </c>
      <c r="Y239">
        <v>3</v>
      </c>
      <c r="Z239">
        <v>4</v>
      </c>
      <c r="AA239">
        <v>80</v>
      </c>
      <c r="AB239">
        <v>0</v>
      </c>
      <c r="AC239">
        <v>33</v>
      </c>
      <c r="AD239">
        <v>2</v>
      </c>
      <c r="AE239">
        <v>4</v>
      </c>
      <c r="AF239">
        <v>33</v>
      </c>
      <c r="AG239">
        <v>7</v>
      </c>
      <c r="AH239">
        <v>15</v>
      </c>
      <c r="AI239">
        <v>12</v>
      </c>
      <c r="AJ239" s="2">
        <f>IF(tblHR[[#This Row],[Attrition]]="Yes",1,0)</f>
        <v>0</v>
      </c>
      <c r="AK239" t="str">
        <f>IF(tblHR[[#This Row],[Age]]&lt;26,"18-25",IF(tblHR[[#This Row],[Age]]&lt;36,"26-35",IF(tblHR[[#This Row],[Age]]&lt;46,"36-45",IF(tblHR[[#This Row],[Age]]&lt;56,"46-55","56+"))))</f>
        <v>46-55</v>
      </c>
    </row>
    <row r="240" spans="1:37"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s="1">
        <v>3931</v>
      </c>
      <c r="T240">
        <v>20990</v>
      </c>
      <c r="U240">
        <v>2</v>
      </c>
      <c r="V240" t="s">
        <v>42</v>
      </c>
      <c r="W240" t="s">
        <v>43</v>
      </c>
      <c r="X240">
        <v>11</v>
      </c>
      <c r="Y240">
        <v>3</v>
      </c>
      <c r="Z240">
        <v>1</v>
      </c>
      <c r="AA240">
        <v>80</v>
      </c>
      <c r="AB240">
        <v>1</v>
      </c>
      <c r="AC240">
        <v>6</v>
      </c>
      <c r="AD240">
        <v>5</v>
      </c>
      <c r="AE240">
        <v>3</v>
      </c>
      <c r="AF240">
        <v>4</v>
      </c>
      <c r="AG240">
        <v>3</v>
      </c>
      <c r="AH240">
        <v>1</v>
      </c>
      <c r="AI240">
        <v>2</v>
      </c>
      <c r="AJ240" s="2">
        <f>IF(tblHR[[#This Row],[Attrition]]="Yes",1,0)</f>
        <v>0</v>
      </c>
      <c r="AK240" t="str">
        <f>IF(tblHR[[#This Row],[Age]]&lt;26,"18-25",IF(tblHR[[#This Row],[Age]]&lt;36,"26-35",IF(tblHR[[#This Row],[Age]]&lt;46,"36-45",IF(tblHR[[#This Row],[Age]]&lt;56,"46-55","56+"))))</f>
        <v>26-35</v>
      </c>
    </row>
    <row r="241" spans="1:37"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s="1">
        <v>3730</v>
      </c>
      <c r="T241">
        <v>9571</v>
      </c>
      <c r="U241">
        <v>0</v>
      </c>
      <c r="V241" t="s">
        <v>42</v>
      </c>
      <c r="W241" t="s">
        <v>35</v>
      </c>
      <c r="X241">
        <v>14</v>
      </c>
      <c r="Y241">
        <v>3</v>
      </c>
      <c r="Z241">
        <v>4</v>
      </c>
      <c r="AA241">
        <v>80</v>
      </c>
      <c r="AB241">
        <v>0</v>
      </c>
      <c r="AC241">
        <v>4</v>
      </c>
      <c r="AD241">
        <v>2</v>
      </c>
      <c r="AE241">
        <v>1</v>
      </c>
      <c r="AF241">
        <v>3</v>
      </c>
      <c r="AG241">
        <v>2</v>
      </c>
      <c r="AH241">
        <v>1</v>
      </c>
      <c r="AI241">
        <v>2</v>
      </c>
      <c r="AJ241" s="2">
        <f>IF(tblHR[[#This Row],[Attrition]]="Yes",1,0)</f>
        <v>1</v>
      </c>
      <c r="AK241" t="str">
        <f>IF(tblHR[[#This Row],[Age]]&lt;26,"18-25",IF(tblHR[[#This Row],[Age]]&lt;36,"26-35",IF(tblHR[[#This Row],[Age]]&lt;46,"36-45",IF(tblHR[[#This Row],[Age]]&lt;56,"46-55","56+"))))</f>
        <v>26-35</v>
      </c>
    </row>
    <row r="242" spans="1:37"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s="1">
        <v>2232</v>
      </c>
      <c r="T242">
        <v>15417</v>
      </c>
      <c r="U242">
        <v>7</v>
      </c>
      <c r="V242" t="s">
        <v>42</v>
      </c>
      <c r="W242" t="s">
        <v>43</v>
      </c>
      <c r="X242">
        <v>14</v>
      </c>
      <c r="Y242">
        <v>3</v>
      </c>
      <c r="Z242">
        <v>3</v>
      </c>
      <c r="AA242">
        <v>80</v>
      </c>
      <c r="AB242">
        <v>3</v>
      </c>
      <c r="AC242">
        <v>7</v>
      </c>
      <c r="AD242">
        <v>1</v>
      </c>
      <c r="AE242">
        <v>3</v>
      </c>
      <c r="AF242">
        <v>3</v>
      </c>
      <c r="AG242">
        <v>2</v>
      </c>
      <c r="AH242">
        <v>1</v>
      </c>
      <c r="AI242">
        <v>2</v>
      </c>
      <c r="AJ242" s="2">
        <f>IF(tblHR[[#This Row],[Attrition]]="Yes",1,0)</f>
        <v>0</v>
      </c>
      <c r="AK242" t="str">
        <f>IF(tblHR[[#This Row],[Age]]&lt;26,"18-25",IF(tblHR[[#This Row],[Age]]&lt;36,"26-35",IF(tblHR[[#This Row],[Age]]&lt;46,"36-45",IF(tblHR[[#This Row],[Age]]&lt;56,"46-55","56+"))))</f>
        <v>36-45</v>
      </c>
    </row>
    <row r="243" spans="1:37"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s="1">
        <v>4465</v>
      </c>
      <c r="T243">
        <v>12069</v>
      </c>
      <c r="U243">
        <v>0</v>
      </c>
      <c r="V243" t="s">
        <v>42</v>
      </c>
      <c r="W243" t="s">
        <v>43</v>
      </c>
      <c r="X243">
        <v>18</v>
      </c>
      <c r="Y243">
        <v>3</v>
      </c>
      <c r="Z243">
        <v>1</v>
      </c>
      <c r="AA243">
        <v>80</v>
      </c>
      <c r="AB243">
        <v>0</v>
      </c>
      <c r="AC243">
        <v>4</v>
      </c>
      <c r="AD243">
        <v>2</v>
      </c>
      <c r="AE243">
        <v>3</v>
      </c>
      <c r="AF243">
        <v>3</v>
      </c>
      <c r="AG243">
        <v>2</v>
      </c>
      <c r="AH243">
        <v>2</v>
      </c>
      <c r="AI243">
        <v>2</v>
      </c>
      <c r="AJ243" s="2">
        <f>IF(tblHR[[#This Row],[Attrition]]="Yes",1,0)</f>
        <v>0</v>
      </c>
      <c r="AK243" t="str">
        <f>IF(tblHR[[#This Row],[Age]]&lt;26,"18-25",IF(tblHR[[#This Row],[Age]]&lt;36,"26-35",IF(tblHR[[#This Row],[Age]]&lt;46,"36-45",IF(tblHR[[#This Row],[Age]]&lt;56,"46-55","56+"))))</f>
        <v>26-35</v>
      </c>
    </row>
    <row r="244" spans="1:37"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s="1">
        <v>3072</v>
      </c>
      <c r="T244">
        <v>19877</v>
      </c>
      <c r="U244">
        <v>2</v>
      </c>
      <c r="V244" t="s">
        <v>42</v>
      </c>
      <c r="W244" t="s">
        <v>43</v>
      </c>
      <c r="X244">
        <v>16</v>
      </c>
      <c r="Y244">
        <v>3</v>
      </c>
      <c r="Z244">
        <v>1</v>
      </c>
      <c r="AA244">
        <v>80</v>
      </c>
      <c r="AB244">
        <v>2</v>
      </c>
      <c r="AC244">
        <v>17</v>
      </c>
      <c r="AD244">
        <v>2</v>
      </c>
      <c r="AE244">
        <v>2</v>
      </c>
      <c r="AF244">
        <v>1</v>
      </c>
      <c r="AG244">
        <v>0</v>
      </c>
      <c r="AH244">
        <v>0</v>
      </c>
      <c r="AI244">
        <v>0</v>
      </c>
      <c r="AJ244" s="2">
        <f>IF(tblHR[[#This Row],[Attrition]]="Yes",1,0)</f>
        <v>0</v>
      </c>
      <c r="AK244" t="str">
        <f>IF(tblHR[[#This Row],[Age]]&lt;26,"18-25",IF(tblHR[[#This Row],[Age]]&lt;36,"26-35",IF(tblHR[[#This Row],[Age]]&lt;46,"36-45",IF(tblHR[[#This Row],[Age]]&lt;56,"46-55","56+"))))</f>
        <v>36-45</v>
      </c>
    </row>
    <row r="245" spans="1:37"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s="1">
        <v>3319</v>
      </c>
      <c r="T245">
        <v>24447</v>
      </c>
      <c r="U245">
        <v>1</v>
      </c>
      <c r="V245" t="s">
        <v>42</v>
      </c>
      <c r="W245" t="s">
        <v>43</v>
      </c>
      <c r="X245">
        <v>17</v>
      </c>
      <c r="Y245">
        <v>3</v>
      </c>
      <c r="Z245">
        <v>1</v>
      </c>
      <c r="AA245">
        <v>80</v>
      </c>
      <c r="AB245">
        <v>2</v>
      </c>
      <c r="AC245">
        <v>9</v>
      </c>
      <c r="AD245">
        <v>3</v>
      </c>
      <c r="AE245">
        <v>3</v>
      </c>
      <c r="AF245">
        <v>9</v>
      </c>
      <c r="AG245">
        <v>8</v>
      </c>
      <c r="AH245">
        <v>4</v>
      </c>
      <c r="AI245">
        <v>7</v>
      </c>
      <c r="AJ245" s="2">
        <f>IF(tblHR[[#This Row],[Attrition]]="Yes",1,0)</f>
        <v>0</v>
      </c>
      <c r="AK245" t="str">
        <f>IF(tblHR[[#This Row],[Age]]&lt;26,"18-25",IF(tblHR[[#This Row],[Age]]&lt;36,"26-35",IF(tblHR[[#This Row],[Age]]&lt;46,"36-45",IF(tblHR[[#This Row],[Age]]&lt;56,"46-55","56+"))))</f>
        <v>36-45</v>
      </c>
    </row>
    <row r="246" spans="1:37"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s="1">
        <v>19202</v>
      </c>
      <c r="T246">
        <v>15970</v>
      </c>
      <c r="U246">
        <v>0</v>
      </c>
      <c r="V246" t="s">
        <v>42</v>
      </c>
      <c r="W246" t="s">
        <v>43</v>
      </c>
      <c r="X246">
        <v>11</v>
      </c>
      <c r="Y246">
        <v>3</v>
      </c>
      <c r="Z246">
        <v>3</v>
      </c>
      <c r="AA246">
        <v>80</v>
      </c>
      <c r="AB246">
        <v>1</v>
      </c>
      <c r="AC246">
        <v>25</v>
      </c>
      <c r="AD246">
        <v>2</v>
      </c>
      <c r="AE246">
        <v>3</v>
      </c>
      <c r="AF246">
        <v>24</v>
      </c>
      <c r="AG246">
        <v>0</v>
      </c>
      <c r="AH246">
        <v>1</v>
      </c>
      <c r="AI246">
        <v>7</v>
      </c>
      <c r="AJ246" s="2">
        <f>IF(tblHR[[#This Row],[Attrition]]="Yes",1,0)</f>
        <v>0</v>
      </c>
      <c r="AK246" t="str">
        <f>IF(tblHR[[#This Row],[Age]]&lt;26,"18-25",IF(tblHR[[#This Row],[Age]]&lt;36,"26-35",IF(tblHR[[#This Row],[Age]]&lt;46,"36-45",IF(tblHR[[#This Row],[Age]]&lt;56,"46-55","56+"))))</f>
        <v>36-45</v>
      </c>
    </row>
    <row r="247" spans="1:37"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s="1">
        <v>13675</v>
      </c>
      <c r="T247">
        <v>13523</v>
      </c>
      <c r="U247">
        <v>9</v>
      </c>
      <c r="V247" t="s">
        <v>42</v>
      </c>
      <c r="W247" t="s">
        <v>43</v>
      </c>
      <c r="X247">
        <v>12</v>
      </c>
      <c r="Y247">
        <v>3</v>
      </c>
      <c r="Z247">
        <v>1</v>
      </c>
      <c r="AA247">
        <v>80</v>
      </c>
      <c r="AB247">
        <v>1</v>
      </c>
      <c r="AC247">
        <v>9</v>
      </c>
      <c r="AD247">
        <v>3</v>
      </c>
      <c r="AE247">
        <v>3</v>
      </c>
      <c r="AF247">
        <v>2</v>
      </c>
      <c r="AG247">
        <v>2</v>
      </c>
      <c r="AH247">
        <v>2</v>
      </c>
      <c r="AI247">
        <v>2</v>
      </c>
      <c r="AJ247" s="2">
        <f>IF(tblHR[[#This Row],[Attrition]]="Yes",1,0)</f>
        <v>0</v>
      </c>
      <c r="AK247" t="str">
        <f>IF(tblHR[[#This Row],[Age]]&lt;26,"18-25",IF(tblHR[[#This Row],[Age]]&lt;36,"26-35",IF(tblHR[[#This Row],[Age]]&lt;46,"36-45",IF(tblHR[[#This Row],[Age]]&lt;56,"46-55","56+"))))</f>
        <v>26-35</v>
      </c>
    </row>
    <row r="248" spans="1:37"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s="1">
        <v>2911</v>
      </c>
      <c r="T248">
        <v>14776</v>
      </c>
      <c r="U248">
        <v>1</v>
      </c>
      <c r="V248" t="s">
        <v>42</v>
      </c>
      <c r="W248" t="s">
        <v>43</v>
      </c>
      <c r="X248">
        <v>13</v>
      </c>
      <c r="Y248">
        <v>3</v>
      </c>
      <c r="Z248">
        <v>3</v>
      </c>
      <c r="AA248">
        <v>80</v>
      </c>
      <c r="AB248">
        <v>1</v>
      </c>
      <c r="AC248">
        <v>2</v>
      </c>
      <c r="AD248">
        <v>2</v>
      </c>
      <c r="AE248">
        <v>2</v>
      </c>
      <c r="AF248">
        <v>2</v>
      </c>
      <c r="AG248">
        <v>2</v>
      </c>
      <c r="AH248">
        <v>0</v>
      </c>
      <c r="AI248">
        <v>2</v>
      </c>
      <c r="AJ248" s="2">
        <f>IF(tblHR[[#This Row],[Attrition]]="Yes",1,0)</f>
        <v>0</v>
      </c>
      <c r="AK248" t="str">
        <f>IF(tblHR[[#This Row],[Age]]&lt;26,"18-25",IF(tblHR[[#This Row],[Age]]&lt;36,"26-35",IF(tblHR[[#This Row],[Age]]&lt;46,"36-45",IF(tblHR[[#This Row],[Age]]&lt;56,"46-55","56+"))))</f>
        <v>26-35</v>
      </c>
    </row>
    <row r="249" spans="1:37"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s="1">
        <v>5957</v>
      </c>
      <c r="T249">
        <v>23687</v>
      </c>
      <c r="U249">
        <v>6</v>
      </c>
      <c r="V249" t="s">
        <v>42</v>
      </c>
      <c r="W249" t="s">
        <v>43</v>
      </c>
      <c r="X249">
        <v>13</v>
      </c>
      <c r="Y249">
        <v>3</v>
      </c>
      <c r="Z249">
        <v>2</v>
      </c>
      <c r="AA249">
        <v>80</v>
      </c>
      <c r="AB249">
        <v>1</v>
      </c>
      <c r="AC249">
        <v>13</v>
      </c>
      <c r="AD249">
        <v>3</v>
      </c>
      <c r="AE249">
        <v>3</v>
      </c>
      <c r="AF249">
        <v>11</v>
      </c>
      <c r="AG249">
        <v>9</v>
      </c>
      <c r="AH249">
        <v>5</v>
      </c>
      <c r="AI249">
        <v>9</v>
      </c>
      <c r="AJ249" s="2">
        <f>IF(tblHR[[#This Row],[Attrition]]="Yes",1,0)</f>
        <v>0</v>
      </c>
      <c r="AK249" t="str">
        <f>IF(tblHR[[#This Row],[Age]]&lt;26,"18-25",IF(tblHR[[#This Row],[Age]]&lt;36,"26-35",IF(tblHR[[#This Row],[Age]]&lt;46,"36-45",IF(tblHR[[#This Row],[Age]]&lt;56,"46-55","56+"))))</f>
        <v>26-35</v>
      </c>
    </row>
    <row r="250" spans="1:37"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s="1">
        <v>3920</v>
      </c>
      <c r="T250">
        <v>18697</v>
      </c>
      <c r="U250">
        <v>2</v>
      </c>
      <c r="V250" t="s">
        <v>42</v>
      </c>
      <c r="W250" t="s">
        <v>43</v>
      </c>
      <c r="X250">
        <v>14</v>
      </c>
      <c r="Y250">
        <v>3</v>
      </c>
      <c r="Z250">
        <v>1</v>
      </c>
      <c r="AA250">
        <v>80</v>
      </c>
      <c r="AB250">
        <v>1</v>
      </c>
      <c r="AC250">
        <v>17</v>
      </c>
      <c r="AD250">
        <v>2</v>
      </c>
      <c r="AE250">
        <v>2</v>
      </c>
      <c r="AF250">
        <v>3</v>
      </c>
      <c r="AG250">
        <v>1</v>
      </c>
      <c r="AH250">
        <v>0</v>
      </c>
      <c r="AI250">
        <v>2</v>
      </c>
      <c r="AJ250" s="2">
        <f>IF(tblHR[[#This Row],[Attrition]]="Yes",1,0)</f>
        <v>0</v>
      </c>
      <c r="AK250" t="str">
        <f>IF(tblHR[[#This Row],[Age]]&lt;26,"18-25",IF(tblHR[[#This Row],[Age]]&lt;36,"26-35",IF(tblHR[[#This Row],[Age]]&lt;46,"36-45",IF(tblHR[[#This Row],[Age]]&lt;56,"46-55","56+"))))</f>
        <v>36-45</v>
      </c>
    </row>
    <row r="251" spans="1:37"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s="1">
        <v>6434</v>
      </c>
      <c r="T251">
        <v>5118</v>
      </c>
      <c r="U251">
        <v>4</v>
      </c>
      <c r="V251" t="s">
        <v>42</v>
      </c>
      <c r="W251" t="s">
        <v>43</v>
      </c>
      <c r="X251">
        <v>17</v>
      </c>
      <c r="Y251">
        <v>3</v>
      </c>
      <c r="Z251">
        <v>4</v>
      </c>
      <c r="AA251">
        <v>80</v>
      </c>
      <c r="AB251">
        <v>1</v>
      </c>
      <c r="AC251">
        <v>9</v>
      </c>
      <c r="AD251">
        <v>1</v>
      </c>
      <c r="AE251">
        <v>3</v>
      </c>
      <c r="AF251">
        <v>3</v>
      </c>
      <c r="AG251">
        <v>2</v>
      </c>
      <c r="AH251">
        <v>0</v>
      </c>
      <c r="AI251">
        <v>2</v>
      </c>
      <c r="AJ251" s="2">
        <f>IF(tblHR[[#This Row],[Attrition]]="Yes",1,0)</f>
        <v>0</v>
      </c>
      <c r="AK251" t="str">
        <f>IF(tblHR[[#This Row],[Age]]&lt;26,"18-25",IF(tblHR[[#This Row],[Age]]&lt;36,"26-35",IF(tblHR[[#This Row],[Age]]&lt;46,"36-45",IF(tblHR[[#This Row],[Age]]&lt;56,"46-55","56+"))))</f>
        <v>36-45</v>
      </c>
    </row>
    <row r="252" spans="1:37"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s="1">
        <v>10048</v>
      </c>
      <c r="T252">
        <v>22573</v>
      </c>
      <c r="U252">
        <v>6</v>
      </c>
      <c r="V252" t="s">
        <v>42</v>
      </c>
      <c r="W252" t="s">
        <v>43</v>
      </c>
      <c r="X252">
        <v>11</v>
      </c>
      <c r="Y252">
        <v>3</v>
      </c>
      <c r="Z252">
        <v>2</v>
      </c>
      <c r="AA252">
        <v>80</v>
      </c>
      <c r="AB252">
        <v>2</v>
      </c>
      <c r="AC252">
        <v>17</v>
      </c>
      <c r="AD252">
        <v>5</v>
      </c>
      <c r="AE252">
        <v>3</v>
      </c>
      <c r="AF252">
        <v>1</v>
      </c>
      <c r="AG252">
        <v>0</v>
      </c>
      <c r="AH252">
        <v>0</v>
      </c>
      <c r="AI252">
        <v>0</v>
      </c>
      <c r="AJ252" s="2">
        <f>IF(tblHR[[#This Row],[Attrition]]="Yes",1,0)</f>
        <v>1</v>
      </c>
      <c r="AK252" t="str">
        <f>IF(tblHR[[#This Row],[Age]]&lt;26,"18-25",IF(tblHR[[#This Row],[Age]]&lt;36,"26-35",IF(tblHR[[#This Row],[Age]]&lt;46,"36-45",IF(tblHR[[#This Row],[Age]]&lt;56,"46-55","56+"))))</f>
        <v>36-45</v>
      </c>
    </row>
    <row r="253" spans="1:37"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s="1">
        <v>10938</v>
      </c>
      <c r="T253">
        <v>6420</v>
      </c>
      <c r="U253">
        <v>0</v>
      </c>
      <c r="V253" t="s">
        <v>42</v>
      </c>
      <c r="W253" t="s">
        <v>43</v>
      </c>
      <c r="X253">
        <v>25</v>
      </c>
      <c r="Y253">
        <v>4</v>
      </c>
      <c r="Z253">
        <v>4</v>
      </c>
      <c r="AA253">
        <v>80</v>
      </c>
      <c r="AB253">
        <v>0</v>
      </c>
      <c r="AC253">
        <v>20</v>
      </c>
      <c r="AD253">
        <v>1</v>
      </c>
      <c r="AE253">
        <v>3</v>
      </c>
      <c r="AF253">
        <v>19</v>
      </c>
      <c r="AG253">
        <v>6</v>
      </c>
      <c r="AH253">
        <v>11</v>
      </c>
      <c r="AI253">
        <v>8</v>
      </c>
      <c r="AJ253" s="2">
        <f>IF(tblHR[[#This Row],[Attrition]]="Yes",1,0)</f>
        <v>0</v>
      </c>
      <c r="AK253" t="str">
        <f>IF(tblHR[[#This Row],[Age]]&lt;26,"18-25",IF(tblHR[[#This Row],[Age]]&lt;36,"26-35",IF(tblHR[[#This Row],[Age]]&lt;46,"36-45",IF(tblHR[[#This Row],[Age]]&lt;56,"46-55","56+"))))</f>
        <v>36-45</v>
      </c>
    </row>
    <row r="254" spans="1:37"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s="1">
        <v>2340</v>
      </c>
      <c r="T254">
        <v>22673</v>
      </c>
      <c r="U254">
        <v>1</v>
      </c>
      <c r="V254" t="s">
        <v>42</v>
      </c>
      <c r="W254" t="s">
        <v>43</v>
      </c>
      <c r="X254">
        <v>19</v>
      </c>
      <c r="Y254">
        <v>3</v>
      </c>
      <c r="Z254">
        <v>1</v>
      </c>
      <c r="AA254">
        <v>80</v>
      </c>
      <c r="AB254">
        <v>0</v>
      </c>
      <c r="AC254">
        <v>6</v>
      </c>
      <c r="AD254">
        <v>1</v>
      </c>
      <c r="AE254">
        <v>3</v>
      </c>
      <c r="AF254">
        <v>6</v>
      </c>
      <c r="AG254">
        <v>5</v>
      </c>
      <c r="AH254">
        <v>1</v>
      </c>
      <c r="AI254">
        <v>5</v>
      </c>
      <c r="AJ254" s="2">
        <f>IF(tblHR[[#This Row],[Attrition]]="Yes",1,0)</f>
        <v>0</v>
      </c>
      <c r="AK254" t="str">
        <f>IF(tblHR[[#This Row],[Age]]&lt;26,"18-25",IF(tblHR[[#This Row],[Age]]&lt;36,"26-35",IF(tblHR[[#This Row],[Age]]&lt;46,"36-45",IF(tblHR[[#This Row],[Age]]&lt;56,"46-55","56+"))))</f>
        <v>26-35</v>
      </c>
    </row>
    <row r="255" spans="1:37"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s="1">
        <v>6545</v>
      </c>
      <c r="T255">
        <v>23016</v>
      </c>
      <c r="U255">
        <v>3</v>
      </c>
      <c r="V255" t="s">
        <v>42</v>
      </c>
      <c r="W255" t="s">
        <v>35</v>
      </c>
      <c r="X255">
        <v>13</v>
      </c>
      <c r="Y255">
        <v>3</v>
      </c>
      <c r="Z255">
        <v>3</v>
      </c>
      <c r="AA255">
        <v>80</v>
      </c>
      <c r="AB255">
        <v>0</v>
      </c>
      <c r="AC255">
        <v>10</v>
      </c>
      <c r="AD255">
        <v>1</v>
      </c>
      <c r="AE255">
        <v>3</v>
      </c>
      <c r="AF255">
        <v>3</v>
      </c>
      <c r="AG255">
        <v>2</v>
      </c>
      <c r="AH255">
        <v>0</v>
      </c>
      <c r="AI255">
        <v>2</v>
      </c>
      <c r="AJ255" s="2">
        <f>IF(tblHR[[#This Row],[Attrition]]="Yes",1,0)</f>
        <v>0</v>
      </c>
      <c r="AK255" t="str">
        <f>IF(tblHR[[#This Row],[Age]]&lt;26,"18-25",IF(tblHR[[#This Row],[Age]]&lt;36,"26-35",IF(tblHR[[#This Row],[Age]]&lt;46,"36-45",IF(tblHR[[#This Row],[Age]]&lt;56,"46-55","56+"))))</f>
        <v>36-45</v>
      </c>
    </row>
    <row r="256" spans="1:37"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s="1">
        <v>6931</v>
      </c>
      <c r="T256">
        <v>10732</v>
      </c>
      <c r="U256">
        <v>2</v>
      </c>
      <c r="V256" t="s">
        <v>42</v>
      </c>
      <c r="W256" t="s">
        <v>43</v>
      </c>
      <c r="X256">
        <v>14</v>
      </c>
      <c r="Y256">
        <v>3</v>
      </c>
      <c r="Z256">
        <v>4</v>
      </c>
      <c r="AA256">
        <v>80</v>
      </c>
      <c r="AB256">
        <v>1</v>
      </c>
      <c r="AC256">
        <v>10</v>
      </c>
      <c r="AD256">
        <v>2</v>
      </c>
      <c r="AE256">
        <v>3</v>
      </c>
      <c r="AF256">
        <v>3</v>
      </c>
      <c r="AG256">
        <v>2</v>
      </c>
      <c r="AH256">
        <v>0</v>
      </c>
      <c r="AI256">
        <v>2</v>
      </c>
      <c r="AJ256" s="2">
        <f>IF(tblHR[[#This Row],[Attrition]]="Yes",1,0)</f>
        <v>0</v>
      </c>
      <c r="AK256" t="str">
        <f>IF(tblHR[[#This Row],[Age]]&lt;26,"18-25",IF(tblHR[[#This Row],[Age]]&lt;36,"26-35",IF(tblHR[[#This Row],[Age]]&lt;46,"36-45",IF(tblHR[[#This Row],[Age]]&lt;56,"46-55","56+"))))</f>
        <v>26-35</v>
      </c>
    </row>
    <row r="257" spans="1:37"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s="1">
        <v>4898</v>
      </c>
      <c r="T257">
        <v>7505</v>
      </c>
      <c r="U257">
        <v>0</v>
      </c>
      <c r="V257" t="s">
        <v>42</v>
      </c>
      <c r="W257" t="s">
        <v>43</v>
      </c>
      <c r="X257">
        <v>12</v>
      </c>
      <c r="Y257">
        <v>3</v>
      </c>
      <c r="Z257">
        <v>4</v>
      </c>
      <c r="AA257">
        <v>80</v>
      </c>
      <c r="AB257">
        <v>2</v>
      </c>
      <c r="AC257">
        <v>5</v>
      </c>
      <c r="AD257">
        <v>3</v>
      </c>
      <c r="AE257">
        <v>3</v>
      </c>
      <c r="AF257">
        <v>4</v>
      </c>
      <c r="AG257">
        <v>2</v>
      </c>
      <c r="AH257">
        <v>1</v>
      </c>
      <c r="AI257">
        <v>2</v>
      </c>
      <c r="AJ257" s="2">
        <f>IF(tblHR[[#This Row],[Attrition]]="Yes",1,0)</f>
        <v>0</v>
      </c>
      <c r="AK257" t="str">
        <f>IF(tblHR[[#This Row],[Age]]&lt;26,"18-25",IF(tblHR[[#This Row],[Age]]&lt;36,"26-35",IF(tblHR[[#This Row],[Age]]&lt;46,"36-45",IF(tblHR[[#This Row],[Age]]&lt;56,"46-55","56+"))))</f>
        <v>18-25</v>
      </c>
    </row>
    <row r="258" spans="1:37"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s="1">
        <v>2593</v>
      </c>
      <c r="T258">
        <v>8007</v>
      </c>
      <c r="U258">
        <v>0</v>
      </c>
      <c r="V258" t="s">
        <v>42</v>
      </c>
      <c r="W258" t="s">
        <v>35</v>
      </c>
      <c r="X258">
        <v>11</v>
      </c>
      <c r="Y258">
        <v>3</v>
      </c>
      <c r="Z258">
        <v>3</v>
      </c>
      <c r="AA258">
        <v>80</v>
      </c>
      <c r="AB258">
        <v>1</v>
      </c>
      <c r="AC258">
        <v>10</v>
      </c>
      <c r="AD258">
        <v>4</v>
      </c>
      <c r="AE258">
        <v>3</v>
      </c>
      <c r="AF258">
        <v>9</v>
      </c>
      <c r="AG258">
        <v>6</v>
      </c>
      <c r="AH258">
        <v>7</v>
      </c>
      <c r="AI258">
        <v>8</v>
      </c>
      <c r="AJ258" s="2">
        <f>IF(tblHR[[#This Row],[Attrition]]="Yes",1,0)</f>
        <v>0</v>
      </c>
      <c r="AK258" t="str">
        <f>IF(tblHR[[#This Row],[Age]]&lt;26,"18-25",IF(tblHR[[#This Row],[Age]]&lt;36,"26-35",IF(tblHR[[#This Row],[Age]]&lt;46,"36-45",IF(tblHR[[#This Row],[Age]]&lt;56,"46-55","56+"))))</f>
        <v>36-45</v>
      </c>
    </row>
    <row r="259" spans="1:37"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s="1">
        <v>19436</v>
      </c>
      <c r="T259">
        <v>5949</v>
      </c>
      <c r="U259">
        <v>0</v>
      </c>
      <c r="V259" t="s">
        <v>42</v>
      </c>
      <c r="W259" t="s">
        <v>43</v>
      </c>
      <c r="X259">
        <v>19</v>
      </c>
      <c r="Y259">
        <v>3</v>
      </c>
      <c r="Z259">
        <v>4</v>
      </c>
      <c r="AA259">
        <v>80</v>
      </c>
      <c r="AB259">
        <v>1</v>
      </c>
      <c r="AC259">
        <v>22</v>
      </c>
      <c r="AD259">
        <v>5</v>
      </c>
      <c r="AE259">
        <v>3</v>
      </c>
      <c r="AF259">
        <v>21</v>
      </c>
      <c r="AG259">
        <v>7</v>
      </c>
      <c r="AH259">
        <v>3</v>
      </c>
      <c r="AI259">
        <v>9</v>
      </c>
      <c r="AJ259" s="2">
        <f>IF(tblHR[[#This Row],[Attrition]]="Yes",1,0)</f>
        <v>0</v>
      </c>
      <c r="AK259" t="str">
        <f>IF(tblHR[[#This Row],[Age]]&lt;26,"18-25",IF(tblHR[[#This Row],[Age]]&lt;36,"26-35",IF(tblHR[[#This Row],[Age]]&lt;46,"36-45",IF(tblHR[[#This Row],[Age]]&lt;56,"46-55","56+"))))</f>
        <v>36-45</v>
      </c>
    </row>
    <row r="260" spans="1:37"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s="1">
        <v>2723</v>
      </c>
      <c r="T260">
        <v>23231</v>
      </c>
      <c r="U260">
        <v>1</v>
      </c>
      <c r="V260" t="s">
        <v>42</v>
      </c>
      <c r="W260" t="s">
        <v>43</v>
      </c>
      <c r="X260">
        <v>11</v>
      </c>
      <c r="Y260">
        <v>3</v>
      </c>
      <c r="Z260">
        <v>2</v>
      </c>
      <c r="AA260">
        <v>80</v>
      </c>
      <c r="AB260">
        <v>0</v>
      </c>
      <c r="AC260">
        <v>1</v>
      </c>
      <c r="AD260">
        <v>0</v>
      </c>
      <c r="AE260">
        <v>2</v>
      </c>
      <c r="AF260">
        <v>1</v>
      </c>
      <c r="AG260">
        <v>0</v>
      </c>
      <c r="AH260">
        <v>0</v>
      </c>
      <c r="AI260">
        <v>0</v>
      </c>
      <c r="AJ260" s="2">
        <f>IF(tblHR[[#This Row],[Attrition]]="Yes",1,0)</f>
        <v>0</v>
      </c>
      <c r="AK260" t="str">
        <f>IF(tblHR[[#This Row],[Age]]&lt;26,"18-25",IF(tblHR[[#This Row],[Age]]&lt;36,"26-35",IF(tblHR[[#This Row],[Age]]&lt;46,"36-45",IF(tblHR[[#This Row],[Age]]&lt;56,"46-55","56+"))))</f>
        <v>46-55</v>
      </c>
    </row>
    <row r="261" spans="1:37"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s="1">
        <v>3479</v>
      </c>
      <c r="T261">
        <v>11652</v>
      </c>
      <c r="U261">
        <v>0</v>
      </c>
      <c r="V261" t="s">
        <v>42</v>
      </c>
      <c r="W261" t="s">
        <v>43</v>
      </c>
      <c r="X261">
        <v>11</v>
      </c>
      <c r="Y261">
        <v>3</v>
      </c>
      <c r="Z261">
        <v>2</v>
      </c>
      <c r="AA261">
        <v>80</v>
      </c>
      <c r="AB261">
        <v>0</v>
      </c>
      <c r="AC261">
        <v>6</v>
      </c>
      <c r="AD261">
        <v>2</v>
      </c>
      <c r="AE261">
        <v>4</v>
      </c>
      <c r="AF261">
        <v>5</v>
      </c>
      <c r="AG261">
        <v>4</v>
      </c>
      <c r="AH261">
        <v>1</v>
      </c>
      <c r="AI261">
        <v>4</v>
      </c>
      <c r="AJ261" s="2">
        <f>IF(tblHR[[#This Row],[Attrition]]="Yes",1,0)</f>
        <v>1</v>
      </c>
      <c r="AK261" t="str">
        <f>IF(tblHR[[#This Row],[Age]]&lt;26,"18-25",IF(tblHR[[#This Row],[Age]]&lt;36,"26-35",IF(tblHR[[#This Row],[Age]]&lt;46,"36-45",IF(tblHR[[#This Row],[Age]]&lt;56,"46-55","56+"))))</f>
        <v>26-35</v>
      </c>
    </row>
    <row r="262" spans="1:37"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s="1">
        <v>2794</v>
      </c>
      <c r="T262">
        <v>26062</v>
      </c>
      <c r="U262">
        <v>1</v>
      </c>
      <c r="V262" t="s">
        <v>42</v>
      </c>
      <c r="W262" t="s">
        <v>43</v>
      </c>
      <c r="X262">
        <v>20</v>
      </c>
      <c r="Y262">
        <v>4</v>
      </c>
      <c r="Z262">
        <v>3</v>
      </c>
      <c r="AA262">
        <v>80</v>
      </c>
      <c r="AB262">
        <v>0</v>
      </c>
      <c r="AC262">
        <v>5</v>
      </c>
      <c r="AD262">
        <v>3</v>
      </c>
      <c r="AE262">
        <v>1</v>
      </c>
      <c r="AF262">
        <v>5</v>
      </c>
      <c r="AG262">
        <v>1</v>
      </c>
      <c r="AH262">
        <v>0</v>
      </c>
      <c r="AI262">
        <v>3</v>
      </c>
      <c r="AJ262" s="2">
        <f>IF(tblHR[[#This Row],[Attrition]]="Yes",1,0)</f>
        <v>0</v>
      </c>
      <c r="AK262" t="str">
        <f>IF(tblHR[[#This Row],[Age]]&lt;26,"18-25",IF(tblHR[[#This Row],[Age]]&lt;36,"26-35",IF(tblHR[[#This Row],[Age]]&lt;46,"36-45",IF(tblHR[[#This Row],[Age]]&lt;56,"46-55","56+"))))</f>
        <v>26-35</v>
      </c>
    </row>
    <row r="263" spans="1:37"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s="1">
        <v>5249</v>
      </c>
      <c r="T263">
        <v>19682</v>
      </c>
      <c r="U263">
        <v>3</v>
      </c>
      <c r="V263" t="s">
        <v>42</v>
      </c>
      <c r="W263" t="s">
        <v>43</v>
      </c>
      <c r="X263">
        <v>18</v>
      </c>
      <c r="Y263">
        <v>3</v>
      </c>
      <c r="Z263">
        <v>4</v>
      </c>
      <c r="AA263">
        <v>80</v>
      </c>
      <c r="AB263">
        <v>1</v>
      </c>
      <c r="AC263">
        <v>13</v>
      </c>
      <c r="AD263">
        <v>0</v>
      </c>
      <c r="AE263">
        <v>3</v>
      </c>
      <c r="AF263">
        <v>8</v>
      </c>
      <c r="AG263">
        <v>7</v>
      </c>
      <c r="AH263">
        <v>7</v>
      </c>
      <c r="AI263">
        <v>5</v>
      </c>
      <c r="AJ263" s="2">
        <f>IF(tblHR[[#This Row],[Attrition]]="Yes",1,0)</f>
        <v>0</v>
      </c>
      <c r="AK263" t="str">
        <f>IF(tblHR[[#This Row],[Age]]&lt;26,"18-25",IF(tblHR[[#This Row],[Age]]&lt;36,"26-35",IF(tblHR[[#This Row],[Age]]&lt;46,"36-45",IF(tblHR[[#This Row],[Age]]&lt;56,"46-55","56+"))))</f>
        <v>36-45</v>
      </c>
    </row>
    <row r="264" spans="1:37"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s="1">
        <v>2176</v>
      </c>
      <c r="T264">
        <v>19737</v>
      </c>
      <c r="U264">
        <v>4</v>
      </c>
      <c r="V264" t="s">
        <v>42</v>
      </c>
      <c r="W264" t="s">
        <v>43</v>
      </c>
      <c r="X264">
        <v>13</v>
      </c>
      <c r="Y264">
        <v>3</v>
      </c>
      <c r="Z264">
        <v>4</v>
      </c>
      <c r="AA264">
        <v>80</v>
      </c>
      <c r="AB264">
        <v>0</v>
      </c>
      <c r="AC264">
        <v>9</v>
      </c>
      <c r="AD264">
        <v>5</v>
      </c>
      <c r="AE264">
        <v>3</v>
      </c>
      <c r="AF264">
        <v>6</v>
      </c>
      <c r="AG264">
        <v>2</v>
      </c>
      <c r="AH264">
        <v>0</v>
      </c>
      <c r="AI264">
        <v>4</v>
      </c>
      <c r="AJ264" s="2">
        <f>IF(tblHR[[#This Row],[Attrition]]="Yes",1,0)</f>
        <v>0</v>
      </c>
      <c r="AK264" t="str">
        <f>IF(tblHR[[#This Row],[Age]]&lt;26,"18-25",IF(tblHR[[#This Row],[Age]]&lt;36,"26-35",IF(tblHR[[#This Row],[Age]]&lt;46,"36-45",IF(tblHR[[#This Row],[Age]]&lt;56,"46-55","56+"))))</f>
        <v>26-35</v>
      </c>
    </row>
    <row r="265" spans="1:37"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s="1">
        <v>16872</v>
      </c>
      <c r="T265">
        <v>14977</v>
      </c>
      <c r="U265">
        <v>3</v>
      </c>
      <c r="V265" t="s">
        <v>42</v>
      </c>
      <c r="W265" t="s">
        <v>35</v>
      </c>
      <c r="X265">
        <v>12</v>
      </c>
      <c r="Y265">
        <v>3</v>
      </c>
      <c r="Z265">
        <v>2</v>
      </c>
      <c r="AA265">
        <v>80</v>
      </c>
      <c r="AB265">
        <v>1</v>
      </c>
      <c r="AC265">
        <v>28</v>
      </c>
      <c r="AD265">
        <v>2</v>
      </c>
      <c r="AE265">
        <v>2</v>
      </c>
      <c r="AF265">
        <v>7</v>
      </c>
      <c r="AG265">
        <v>7</v>
      </c>
      <c r="AH265">
        <v>7</v>
      </c>
      <c r="AI265">
        <v>7</v>
      </c>
      <c r="AJ265" s="2">
        <f>IF(tblHR[[#This Row],[Attrition]]="Yes",1,0)</f>
        <v>0</v>
      </c>
      <c r="AK265" t="str">
        <f>IF(tblHR[[#This Row],[Age]]&lt;26,"18-25",IF(tblHR[[#This Row],[Age]]&lt;36,"26-35",IF(tblHR[[#This Row],[Age]]&lt;46,"36-45",IF(tblHR[[#This Row],[Age]]&lt;56,"46-55","56+"))))</f>
        <v>46-55</v>
      </c>
    </row>
    <row r="266" spans="1:37"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s="1">
        <v>3485</v>
      </c>
      <c r="T266">
        <v>14935</v>
      </c>
      <c r="U266">
        <v>2</v>
      </c>
      <c r="V266" t="s">
        <v>42</v>
      </c>
      <c r="W266" t="s">
        <v>43</v>
      </c>
      <c r="X266">
        <v>11</v>
      </c>
      <c r="Y266">
        <v>3</v>
      </c>
      <c r="Z266">
        <v>3</v>
      </c>
      <c r="AA266">
        <v>80</v>
      </c>
      <c r="AB266">
        <v>0</v>
      </c>
      <c r="AC266">
        <v>5</v>
      </c>
      <c r="AD266">
        <v>5</v>
      </c>
      <c r="AE266">
        <v>1</v>
      </c>
      <c r="AF266">
        <v>0</v>
      </c>
      <c r="AG266">
        <v>0</v>
      </c>
      <c r="AH266">
        <v>0</v>
      </c>
      <c r="AI266">
        <v>0</v>
      </c>
      <c r="AJ266" s="2">
        <f>IF(tblHR[[#This Row],[Attrition]]="Yes",1,0)</f>
        <v>1</v>
      </c>
      <c r="AK266" t="str">
        <f>IF(tblHR[[#This Row],[Age]]&lt;26,"18-25",IF(tblHR[[#This Row],[Age]]&lt;36,"26-35",IF(tblHR[[#This Row],[Age]]&lt;46,"36-45",IF(tblHR[[#This Row],[Age]]&lt;56,"46-55","56+"))))</f>
        <v>26-35</v>
      </c>
    </row>
    <row r="267" spans="1:37"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s="1">
        <v>6644</v>
      </c>
      <c r="T267">
        <v>3687</v>
      </c>
      <c r="U267">
        <v>2</v>
      </c>
      <c r="V267" t="s">
        <v>42</v>
      </c>
      <c r="W267" t="s">
        <v>43</v>
      </c>
      <c r="X267">
        <v>19</v>
      </c>
      <c r="Y267">
        <v>3</v>
      </c>
      <c r="Z267">
        <v>2</v>
      </c>
      <c r="AA267">
        <v>80</v>
      </c>
      <c r="AB267">
        <v>2</v>
      </c>
      <c r="AC267">
        <v>10</v>
      </c>
      <c r="AD267">
        <v>2</v>
      </c>
      <c r="AE267">
        <v>3</v>
      </c>
      <c r="AF267">
        <v>0</v>
      </c>
      <c r="AG267">
        <v>0</v>
      </c>
      <c r="AH267">
        <v>0</v>
      </c>
      <c r="AI267">
        <v>0</v>
      </c>
      <c r="AJ267" s="2">
        <f>IF(tblHR[[#This Row],[Attrition]]="Yes",1,0)</f>
        <v>0</v>
      </c>
      <c r="AK267" t="str">
        <f>IF(tblHR[[#This Row],[Age]]&lt;26,"18-25",IF(tblHR[[#This Row],[Age]]&lt;36,"26-35",IF(tblHR[[#This Row],[Age]]&lt;46,"36-45",IF(tblHR[[#This Row],[Age]]&lt;56,"46-55","56+"))))</f>
        <v>26-35</v>
      </c>
    </row>
    <row r="268" spans="1:37"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s="1">
        <v>5582</v>
      </c>
      <c r="T268">
        <v>14408</v>
      </c>
      <c r="U268">
        <v>0</v>
      </c>
      <c r="V268" t="s">
        <v>42</v>
      </c>
      <c r="W268" t="s">
        <v>43</v>
      </c>
      <c r="X268">
        <v>21</v>
      </c>
      <c r="Y268">
        <v>4</v>
      </c>
      <c r="Z268">
        <v>2</v>
      </c>
      <c r="AA268">
        <v>80</v>
      </c>
      <c r="AB268">
        <v>1</v>
      </c>
      <c r="AC268">
        <v>10</v>
      </c>
      <c r="AD268">
        <v>2</v>
      </c>
      <c r="AE268">
        <v>3</v>
      </c>
      <c r="AF268">
        <v>9</v>
      </c>
      <c r="AG268">
        <v>0</v>
      </c>
      <c r="AH268">
        <v>7</v>
      </c>
      <c r="AI268">
        <v>8</v>
      </c>
      <c r="AJ268" s="2">
        <f>IF(tblHR[[#This Row],[Attrition]]="Yes",1,0)</f>
        <v>0</v>
      </c>
      <c r="AK268" t="str">
        <f>IF(tblHR[[#This Row],[Age]]&lt;26,"18-25",IF(tblHR[[#This Row],[Age]]&lt;36,"26-35",IF(tblHR[[#This Row],[Age]]&lt;46,"36-45",IF(tblHR[[#This Row],[Age]]&lt;56,"46-55","56+"))))</f>
        <v>26-35</v>
      </c>
    </row>
    <row r="269" spans="1:37"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s="1">
        <v>4000</v>
      </c>
      <c r="T269">
        <v>18384</v>
      </c>
      <c r="U269">
        <v>1</v>
      </c>
      <c r="V269" t="s">
        <v>42</v>
      </c>
      <c r="W269" t="s">
        <v>43</v>
      </c>
      <c r="X269">
        <v>12</v>
      </c>
      <c r="Y269">
        <v>3</v>
      </c>
      <c r="Z269">
        <v>4</v>
      </c>
      <c r="AA269">
        <v>80</v>
      </c>
      <c r="AB269">
        <v>2</v>
      </c>
      <c r="AC269">
        <v>6</v>
      </c>
      <c r="AD269">
        <v>2</v>
      </c>
      <c r="AE269">
        <v>3</v>
      </c>
      <c r="AF269">
        <v>6</v>
      </c>
      <c r="AG269">
        <v>3</v>
      </c>
      <c r="AH269">
        <v>1</v>
      </c>
      <c r="AI269">
        <v>5</v>
      </c>
      <c r="AJ269" s="2">
        <f>IF(tblHR[[#This Row],[Attrition]]="Yes",1,0)</f>
        <v>0</v>
      </c>
      <c r="AK269" t="str">
        <f>IF(tblHR[[#This Row],[Age]]&lt;26,"18-25",IF(tblHR[[#This Row],[Age]]&lt;36,"26-35",IF(tblHR[[#This Row],[Age]]&lt;46,"36-45",IF(tblHR[[#This Row],[Age]]&lt;56,"46-55","56+"))))</f>
        <v>18-25</v>
      </c>
    </row>
    <row r="270" spans="1:37"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s="1">
        <v>13496</v>
      </c>
      <c r="T270">
        <v>7501</v>
      </c>
      <c r="U270">
        <v>0</v>
      </c>
      <c r="V270" t="s">
        <v>42</v>
      </c>
      <c r="W270" t="s">
        <v>35</v>
      </c>
      <c r="X270">
        <v>14</v>
      </c>
      <c r="Y270">
        <v>3</v>
      </c>
      <c r="Z270">
        <v>2</v>
      </c>
      <c r="AA270">
        <v>80</v>
      </c>
      <c r="AB270">
        <v>0</v>
      </c>
      <c r="AC270">
        <v>21</v>
      </c>
      <c r="AD270">
        <v>2</v>
      </c>
      <c r="AE270">
        <v>3</v>
      </c>
      <c r="AF270">
        <v>20</v>
      </c>
      <c r="AG270">
        <v>7</v>
      </c>
      <c r="AH270">
        <v>4</v>
      </c>
      <c r="AI270">
        <v>10</v>
      </c>
      <c r="AJ270" s="2">
        <f>IF(tblHR[[#This Row],[Attrition]]="Yes",1,0)</f>
        <v>0</v>
      </c>
      <c r="AK270" t="str">
        <f>IF(tblHR[[#This Row],[Age]]&lt;26,"18-25",IF(tblHR[[#This Row],[Age]]&lt;36,"26-35",IF(tblHR[[#This Row],[Age]]&lt;46,"36-45",IF(tblHR[[#This Row],[Age]]&lt;56,"46-55","56+"))))</f>
        <v>36-45</v>
      </c>
    </row>
    <row r="271" spans="1:37"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s="1">
        <v>3210</v>
      </c>
      <c r="T271">
        <v>20251</v>
      </c>
      <c r="U271">
        <v>0</v>
      </c>
      <c r="V271" t="s">
        <v>42</v>
      </c>
      <c r="W271" t="s">
        <v>43</v>
      </c>
      <c r="X271">
        <v>11</v>
      </c>
      <c r="Y271">
        <v>3</v>
      </c>
      <c r="Z271">
        <v>3</v>
      </c>
      <c r="AA271">
        <v>80</v>
      </c>
      <c r="AB271">
        <v>1</v>
      </c>
      <c r="AC271">
        <v>16</v>
      </c>
      <c r="AD271">
        <v>4</v>
      </c>
      <c r="AE271">
        <v>3</v>
      </c>
      <c r="AF271">
        <v>15</v>
      </c>
      <c r="AG271">
        <v>13</v>
      </c>
      <c r="AH271">
        <v>10</v>
      </c>
      <c r="AI271">
        <v>11</v>
      </c>
      <c r="AJ271" s="2">
        <f>IF(tblHR[[#This Row],[Attrition]]="Yes",1,0)</f>
        <v>0</v>
      </c>
      <c r="AK271" t="str">
        <f>IF(tblHR[[#This Row],[Age]]&lt;26,"18-25",IF(tblHR[[#This Row],[Age]]&lt;36,"26-35",IF(tblHR[[#This Row],[Age]]&lt;46,"36-45",IF(tblHR[[#This Row],[Age]]&lt;56,"46-55","56+"))))</f>
        <v>36-45</v>
      </c>
    </row>
    <row r="272" spans="1:37"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s="1">
        <v>19045</v>
      </c>
      <c r="T272">
        <v>18938</v>
      </c>
      <c r="U272">
        <v>0</v>
      </c>
      <c r="V272" t="s">
        <v>42</v>
      </c>
      <c r="W272" t="s">
        <v>35</v>
      </c>
      <c r="X272">
        <v>14</v>
      </c>
      <c r="Y272">
        <v>3</v>
      </c>
      <c r="Z272">
        <v>3</v>
      </c>
      <c r="AA272">
        <v>80</v>
      </c>
      <c r="AB272">
        <v>0</v>
      </c>
      <c r="AC272">
        <v>37</v>
      </c>
      <c r="AD272">
        <v>2</v>
      </c>
      <c r="AE272">
        <v>3</v>
      </c>
      <c r="AF272">
        <v>36</v>
      </c>
      <c r="AG272">
        <v>10</v>
      </c>
      <c r="AH272">
        <v>4</v>
      </c>
      <c r="AI272">
        <v>13</v>
      </c>
      <c r="AJ272" s="2">
        <f>IF(tblHR[[#This Row],[Attrition]]="Yes",1,0)</f>
        <v>0</v>
      </c>
      <c r="AK272" t="str">
        <f>IF(tblHR[[#This Row],[Age]]&lt;26,"18-25",IF(tblHR[[#This Row],[Age]]&lt;36,"26-35",IF(tblHR[[#This Row],[Age]]&lt;46,"36-45",IF(tblHR[[#This Row],[Age]]&lt;56,"46-55","56+"))))</f>
        <v>46-55</v>
      </c>
    </row>
    <row r="273" spans="1:37"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s="1">
        <v>11849</v>
      </c>
      <c r="T273">
        <v>10268</v>
      </c>
      <c r="U273">
        <v>1</v>
      </c>
      <c r="V273" t="s">
        <v>42</v>
      </c>
      <c r="W273" t="s">
        <v>35</v>
      </c>
      <c r="X273">
        <v>12</v>
      </c>
      <c r="Y273">
        <v>3</v>
      </c>
      <c r="Z273">
        <v>4</v>
      </c>
      <c r="AA273">
        <v>80</v>
      </c>
      <c r="AB273">
        <v>1</v>
      </c>
      <c r="AC273">
        <v>10</v>
      </c>
      <c r="AD273">
        <v>2</v>
      </c>
      <c r="AE273">
        <v>2</v>
      </c>
      <c r="AF273">
        <v>10</v>
      </c>
      <c r="AG273">
        <v>7</v>
      </c>
      <c r="AH273">
        <v>9</v>
      </c>
      <c r="AI273">
        <v>9</v>
      </c>
      <c r="AJ273" s="2">
        <f>IF(tblHR[[#This Row],[Attrition]]="Yes",1,0)</f>
        <v>1</v>
      </c>
      <c r="AK273" t="str">
        <f>IF(tblHR[[#This Row],[Age]]&lt;26,"18-25",IF(tblHR[[#This Row],[Age]]&lt;36,"26-35",IF(tblHR[[#This Row],[Age]]&lt;46,"36-45",IF(tblHR[[#This Row],[Age]]&lt;56,"46-55","56+"))))</f>
        <v>46-55</v>
      </c>
    </row>
    <row r="274" spans="1:37"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s="1">
        <v>2070</v>
      </c>
      <c r="T274">
        <v>2613</v>
      </c>
      <c r="U274">
        <v>1</v>
      </c>
      <c r="V274" t="s">
        <v>42</v>
      </c>
      <c r="W274" t="s">
        <v>43</v>
      </c>
      <c r="X274">
        <v>23</v>
      </c>
      <c r="Y274">
        <v>4</v>
      </c>
      <c r="Z274">
        <v>4</v>
      </c>
      <c r="AA274">
        <v>80</v>
      </c>
      <c r="AB274">
        <v>1</v>
      </c>
      <c r="AC274">
        <v>5</v>
      </c>
      <c r="AD274">
        <v>3</v>
      </c>
      <c r="AE274">
        <v>2</v>
      </c>
      <c r="AF274">
        <v>5</v>
      </c>
      <c r="AG274">
        <v>2</v>
      </c>
      <c r="AH274">
        <v>0</v>
      </c>
      <c r="AI274">
        <v>4</v>
      </c>
      <c r="AJ274" s="2">
        <f>IF(tblHR[[#This Row],[Attrition]]="Yes",1,0)</f>
        <v>0</v>
      </c>
      <c r="AK274" t="str">
        <f>IF(tblHR[[#This Row],[Age]]&lt;26,"18-25",IF(tblHR[[#This Row],[Age]]&lt;36,"26-35",IF(tblHR[[#This Row],[Age]]&lt;46,"36-45",IF(tblHR[[#This Row],[Age]]&lt;56,"46-55","56+"))))</f>
        <v>26-35</v>
      </c>
    </row>
    <row r="275" spans="1:37"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s="1">
        <v>6502</v>
      </c>
      <c r="T275">
        <v>22825</v>
      </c>
      <c r="U275">
        <v>4</v>
      </c>
      <c r="V275" t="s">
        <v>42</v>
      </c>
      <c r="W275" t="s">
        <v>43</v>
      </c>
      <c r="X275">
        <v>14</v>
      </c>
      <c r="Y275">
        <v>3</v>
      </c>
      <c r="Z275">
        <v>2</v>
      </c>
      <c r="AA275">
        <v>80</v>
      </c>
      <c r="AB275">
        <v>1</v>
      </c>
      <c r="AC275">
        <v>7</v>
      </c>
      <c r="AD275">
        <v>5</v>
      </c>
      <c r="AE275">
        <v>4</v>
      </c>
      <c r="AF275">
        <v>5</v>
      </c>
      <c r="AG275">
        <v>4</v>
      </c>
      <c r="AH275">
        <v>0</v>
      </c>
      <c r="AI275">
        <v>1</v>
      </c>
      <c r="AJ275" s="2">
        <f>IF(tblHR[[#This Row],[Attrition]]="Yes",1,0)</f>
        <v>0</v>
      </c>
      <c r="AK275" t="str">
        <f>IF(tblHR[[#This Row],[Age]]&lt;26,"18-25",IF(tblHR[[#This Row],[Age]]&lt;36,"26-35",IF(tblHR[[#This Row],[Age]]&lt;46,"36-45",IF(tblHR[[#This Row],[Age]]&lt;56,"46-55","56+"))))</f>
        <v>36-45</v>
      </c>
    </row>
    <row r="276" spans="1:37"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s="1">
        <v>3230</v>
      </c>
      <c r="T276">
        <v>10531</v>
      </c>
      <c r="U276">
        <v>1</v>
      </c>
      <c r="V276" t="s">
        <v>42</v>
      </c>
      <c r="W276" t="s">
        <v>43</v>
      </c>
      <c r="X276">
        <v>17</v>
      </c>
      <c r="Y276">
        <v>3</v>
      </c>
      <c r="Z276">
        <v>1</v>
      </c>
      <c r="AA276">
        <v>80</v>
      </c>
      <c r="AB276">
        <v>0</v>
      </c>
      <c r="AC276">
        <v>3</v>
      </c>
      <c r="AD276">
        <v>4</v>
      </c>
      <c r="AE276">
        <v>4</v>
      </c>
      <c r="AF276">
        <v>3</v>
      </c>
      <c r="AG276">
        <v>2</v>
      </c>
      <c r="AH276">
        <v>1</v>
      </c>
      <c r="AI276">
        <v>0</v>
      </c>
      <c r="AJ276" s="2">
        <f>IF(tblHR[[#This Row],[Attrition]]="Yes",1,0)</f>
        <v>0</v>
      </c>
      <c r="AK276" t="str">
        <f>IF(tblHR[[#This Row],[Age]]&lt;26,"18-25",IF(tblHR[[#This Row],[Age]]&lt;36,"26-35",IF(tblHR[[#This Row],[Age]]&lt;46,"36-45",IF(tblHR[[#This Row],[Age]]&lt;56,"46-55","56+"))))</f>
        <v>18-25</v>
      </c>
    </row>
    <row r="277" spans="1:37"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s="1">
        <v>13603</v>
      </c>
      <c r="T277">
        <v>11677</v>
      </c>
      <c r="U277">
        <v>2</v>
      </c>
      <c r="V277" t="s">
        <v>42</v>
      </c>
      <c r="W277" t="s">
        <v>35</v>
      </c>
      <c r="X277">
        <v>18</v>
      </c>
      <c r="Y277">
        <v>3</v>
      </c>
      <c r="Z277">
        <v>1</v>
      </c>
      <c r="AA277">
        <v>80</v>
      </c>
      <c r="AB277">
        <v>2</v>
      </c>
      <c r="AC277">
        <v>15</v>
      </c>
      <c r="AD277">
        <v>2</v>
      </c>
      <c r="AE277">
        <v>3</v>
      </c>
      <c r="AF277">
        <v>5</v>
      </c>
      <c r="AG277">
        <v>2</v>
      </c>
      <c r="AH277">
        <v>0</v>
      </c>
      <c r="AI277">
        <v>2</v>
      </c>
      <c r="AJ277" s="2">
        <f>IF(tblHR[[#This Row],[Attrition]]="Yes",1,0)</f>
        <v>0</v>
      </c>
      <c r="AK277" t="str">
        <f>IF(tblHR[[#This Row],[Age]]&lt;26,"18-25",IF(tblHR[[#This Row],[Age]]&lt;36,"26-35",IF(tblHR[[#This Row],[Age]]&lt;46,"36-45",IF(tblHR[[#This Row],[Age]]&lt;56,"46-55","56+"))))</f>
        <v>36-45</v>
      </c>
    </row>
    <row r="278" spans="1:37"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s="1">
        <v>11996</v>
      </c>
      <c r="T278">
        <v>19100</v>
      </c>
      <c r="U278">
        <v>7</v>
      </c>
      <c r="V278" t="s">
        <v>42</v>
      </c>
      <c r="W278" t="s">
        <v>43</v>
      </c>
      <c r="X278">
        <v>18</v>
      </c>
      <c r="Y278">
        <v>3</v>
      </c>
      <c r="Z278">
        <v>2</v>
      </c>
      <c r="AA278">
        <v>80</v>
      </c>
      <c r="AB278">
        <v>1</v>
      </c>
      <c r="AC278">
        <v>10</v>
      </c>
      <c r="AD278">
        <v>6</v>
      </c>
      <c r="AE278">
        <v>2</v>
      </c>
      <c r="AF278">
        <v>7</v>
      </c>
      <c r="AG278">
        <v>7</v>
      </c>
      <c r="AH278">
        <v>6</v>
      </c>
      <c r="AI278">
        <v>2</v>
      </c>
      <c r="AJ278" s="2">
        <f>IF(tblHR[[#This Row],[Attrition]]="Yes",1,0)</f>
        <v>0</v>
      </c>
      <c r="AK278" t="str">
        <f>IF(tblHR[[#This Row],[Age]]&lt;26,"18-25",IF(tblHR[[#This Row],[Age]]&lt;36,"26-35",IF(tblHR[[#This Row],[Age]]&lt;46,"36-45",IF(tblHR[[#This Row],[Age]]&lt;56,"46-55","56+"))))</f>
        <v>26-35</v>
      </c>
    </row>
    <row r="279" spans="1:37"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s="1">
        <v>5605</v>
      </c>
      <c r="T279">
        <v>19191</v>
      </c>
      <c r="U279">
        <v>1</v>
      </c>
      <c r="V279" t="s">
        <v>42</v>
      </c>
      <c r="W279" t="s">
        <v>35</v>
      </c>
      <c r="X279">
        <v>24</v>
      </c>
      <c r="Y279">
        <v>4</v>
      </c>
      <c r="Z279">
        <v>3</v>
      </c>
      <c r="AA279">
        <v>80</v>
      </c>
      <c r="AB279">
        <v>1</v>
      </c>
      <c r="AC279">
        <v>8</v>
      </c>
      <c r="AD279">
        <v>3</v>
      </c>
      <c r="AE279">
        <v>3</v>
      </c>
      <c r="AF279">
        <v>8</v>
      </c>
      <c r="AG279">
        <v>0</v>
      </c>
      <c r="AH279">
        <v>7</v>
      </c>
      <c r="AI279">
        <v>7</v>
      </c>
      <c r="AJ279" s="2">
        <f>IF(tblHR[[#This Row],[Attrition]]="Yes",1,0)</f>
        <v>0</v>
      </c>
      <c r="AK279" t="str">
        <f>IF(tblHR[[#This Row],[Age]]&lt;26,"18-25",IF(tblHR[[#This Row],[Age]]&lt;36,"26-35",IF(tblHR[[#This Row],[Age]]&lt;46,"36-45",IF(tblHR[[#This Row],[Age]]&lt;56,"46-55","56+"))))</f>
        <v>36-45</v>
      </c>
    </row>
    <row r="280" spans="1:37"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s="1">
        <v>6397</v>
      </c>
      <c r="T280">
        <v>26767</v>
      </c>
      <c r="U280">
        <v>1</v>
      </c>
      <c r="V280" t="s">
        <v>42</v>
      </c>
      <c r="W280" t="s">
        <v>43</v>
      </c>
      <c r="X280">
        <v>20</v>
      </c>
      <c r="Y280">
        <v>4</v>
      </c>
      <c r="Z280">
        <v>1</v>
      </c>
      <c r="AA280">
        <v>80</v>
      </c>
      <c r="AB280">
        <v>1</v>
      </c>
      <c r="AC280">
        <v>6</v>
      </c>
      <c r="AD280">
        <v>6</v>
      </c>
      <c r="AE280">
        <v>1</v>
      </c>
      <c r="AF280">
        <v>6</v>
      </c>
      <c r="AG280">
        <v>5</v>
      </c>
      <c r="AH280">
        <v>1</v>
      </c>
      <c r="AI280">
        <v>4</v>
      </c>
      <c r="AJ280" s="2">
        <f>IF(tblHR[[#This Row],[Attrition]]="Yes",1,0)</f>
        <v>0</v>
      </c>
      <c r="AK280" t="str">
        <f>IF(tblHR[[#This Row],[Age]]&lt;26,"18-25",IF(tblHR[[#This Row],[Age]]&lt;36,"26-35",IF(tblHR[[#This Row],[Age]]&lt;46,"36-45",IF(tblHR[[#This Row],[Age]]&lt;56,"46-55","56+"))))</f>
        <v>26-35</v>
      </c>
    </row>
    <row r="281" spans="1:37"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s="1">
        <v>19144</v>
      </c>
      <c r="T281">
        <v>15815</v>
      </c>
      <c r="U281">
        <v>3</v>
      </c>
      <c r="V281" t="s">
        <v>42</v>
      </c>
      <c r="W281" t="s">
        <v>43</v>
      </c>
      <c r="X281">
        <v>14</v>
      </c>
      <c r="Y281">
        <v>3</v>
      </c>
      <c r="Z281">
        <v>1</v>
      </c>
      <c r="AA281">
        <v>80</v>
      </c>
      <c r="AB281">
        <v>2</v>
      </c>
      <c r="AC281">
        <v>28</v>
      </c>
      <c r="AD281">
        <v>4</v>
      </c>
      <c r="AE281">
        <v>2</v>
      </c>
      <c r="AF281">
        <v>10</v>
      </c>
      <c r="AG281">
        <v>4</v>
      </c>
      <c r="AH281">
        <v>1</v>
      </c>
      <c r="AI281">
        <v>6</v>
      </c>
      <c r="AJ281" s="2">
        <f>IF(tblHR[[#This Row],[Attrition]]="Yes",1,0)</f>
        <v>0</v>
      </c>
      <c r="AK281" t="str">
        <f>IF(tblHR[[#This Row],[Age]]&lt;26,"18-25",IF(tblHR[[#This Row],[Age]]&lt;36,"26-35",IF(tblHR[[#This Row],[Age]]&lt;46,"36-45",IF(tblHR[[#This Row],[Age]]&lt;56,"46-55","56+"))))</f>
        <v>46-55</v>
      </c>
    </row>
    <row r="282" spans="1:37"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s="1">
        <v>17584</v>
      </c>
      <c r="T282">
        <v>21016</v>
      </c>
      <c r="U282">
        <v>3</v>
      </c>
      <c r="V282" t="s">
        <v>42</v>
      </c>
      <c r="W282" t="s">
        <v>35</v>
      </c>
      <c r="X282">
        <v>16</v>
      </c>
      <c r="Y282">
        <v>3</v>
      </c>
      <c r="Z282">
        <v>4</v>
      </c>
      <c r="AA282">
        <v>80</v>
      </c>
      <c r="AB282">
        <v>3</v>
      </c>
      <c r="AC282">
        <v>21</v>
      </c>
      <c r="AD282">
        <v>5</v>
      </c>
      <c r="AE282">
        <v>2</v>
      </c>
      <c r="AF282">
        <v>5</v>
      </c>
      <c r="AG282">
        <v>3</v>
      </c>
      <c r="AH282">
        <v>1</v>
      </c>
      <c r="AI282">
        <v>3</v>
      </c>
      <c r="AJ282" s="2">
        <f>IF(tblHR[[#This Row],[Attrition]]="Yes",1,0)</f>
        <v>0</v>
      </c>
      <c r="AK282" t="str">
        <f>IF(tblHR[[#This Row],[Age]]&lt;26,"18-25",IF(tblHR[[#This Row],[Age]]&lt;36,"26-35",IF(tblHR[[#This Row],[Age]]&lt;46,"36-45",IF(tblHR[[#This Row],[Age]]&lt;56,"46-55","56+"))))</f>
        <v>46-55</v>
      </c>
    </row>
    <row r="283" spans="1:37"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s="1">
        <v>4907</v>
      </c>
      <c r="T283">
        <v>24532</v>
      </c>
      <c r="U283">
        <v>1</v>
      </c>
      <c r="V283" t="s">
        <v>42</v>
      </c>
      <c r="W283" t="s">
        <v>43</v>
      </c>
      <c r="X283">
        <v>25</v>
      </c>
      <c r="Y283">
        <v>4</v>
      </c>
      <c r="Z283">
        <v>3</v>
      </c>
      <c r="AA283">
        <v>80</v>
      </c>
      <c r="AB283">
        <v>0</v>
      </c>
      <c r="AC283">
        <v>20</v>
      </c>
      <c r="AD283">
        <v>3</v>
      </c>
      <c r="AE283">
        <v>3</v>
      </c>
      <c r="AF283">
        <v>20</v>
      </c>
      <c r="AG283">
        <v>16</v>
      </c>
      <c r="AH283">
        <v>11</v>
      </c>
      <c r="AI283">
        <v>6</v>
      </c>
      <c r="AJ283" s="2">
        <f>IF(tblHR[[#This Row],[Attrition]]="Yes",1,0)</f>
        <v>0</v>
      </c>
      <c r="AK283" t="str">
        <f>IF(tblHR[[#This Row],[Age]]&lt;26,"18-25",IF(tblHR[[#This Row],[Age]]&lt;36,"26-35",IF(tblHR[[#This Row],[Age]]&lt;46,"36-45",IF(tblHR[[#This Row],[Age]]&lt;56,"46-55","56+"))))</f>
        <v>36-45</v>
      </c>
    </row>
    <row r="284" spans="1:37"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s="1">
        <v>4554</v>
      </c>
      <c r="T284">
        <v>20260</v>
      </c>
      <c r="U284">
        <v>1</v>
      </c>
      <c r="V284" t="s">
        <v>42</v>
      </c>
      <c r="W284" t="s">
        <v>43</v>
      </c>
      <c r="X284">
        <v>18</v>
      </c>
      <c r="Y284">
        <v>3</v>
      </c>
      <c r="Z284">
        <v>1</v>
      </c>
      <c r="AA284">
        <v>80</v>
      </c>
      <c r="AB284">
        <v>0</v>
      </c>
      <c r="AC284">
        <v>10</v>
      </c>
      <c r="AD284">
        <v>3</v>
      </c>
      <c r="AE284">
        <v>2</v>
      </c>
      <c r="AF284">
        <v>10</v>
      </c>
      <c r="AG284">
        <v>7</v>
      </c>
      <c r="AH284">
        <v>0</v>
      </c>
      <c r="AI284">
        <v>9</v>
      </c>
      <c r="AJ284" s="2">
        <f>IF(tblHR[[#This Row],[Attrition]]="Yes",1,0)</f>
        <v>0</v>
      </c>
      <c r="AK284" t="str">
        <f>IF(tblHR[[#This Row],[Age]]&lt;26,"18-25",IF(tblHR[[#This Row],[Age]]&lt;36,"26-35",IF(tblHR[[#This Row],[Age]]&lt;46,"36-45",IF(tblHR[[#This Row],[Age]]&lt;56,"46-55","56+"))))</f>
        <v>26-35</v>
      </c>
    </row>
    <row r="285" spans="1:37"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s="1">
        <v>5415</v>
      </c>
      <c r="T285">
        <v>15972</v>
      </c>
      <c r="U285">
        <v>3</v>
      </c>
      <c r="V285" t="s">
        <v>42</v>
      </c>
      <c r="W285" t="s">
        <v>35</v>
      </c>
      <c r="X285">
        <v>19</v>
      </c>
      <c r="Y285">
        <v>3</v>
      </c>
      <c r="Z285">
        <v>4</v>
      </c>
      <c r="AA285">
        <v>80</v>
      </c>
      <c r="AB285">
        <v>1</v>
      </c>
      <c r="AC285">
        <v>12</v>
      </c>
      <c r="AD285">
        <v>4</v>
      </c>
      <c r="AE285">
        <v>3</v>
      </c>
      <c r="AF285">
        <v>10</v>
      </c>
      <c r="AG285">
        <v>7</v>
      </c>
      <c r="AH285">
        <v>0</v>
      </c>
      <c r="AI285">
        <v>8</v>
      </c>
      <c r="AJ285" s="2">
        <f>IF(tblHR[[#This Row],[Attrition]]="Yes",1,0)</f>
        <v>0</v>
      </c>
      <c r="AK285" t="str">
        <f>IF(tblHR[[#This Row],[Age]]&lt;26,"18-25",IF(tblHR[[#This Row],[Age]]&lt;36,"26-35",IF(tblHR[[#This Row],[Age]]&lt;46,"36-45",IF(tblHR[[#This Row],[Age]]&lt;56,"46-55","56+"))))</f>
        <v>46-55</v>
      </c>
    </row>
    <row r="286" spans="1:37"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s="1">
        <v>4741</v>
      </c>
      <c r="T286">
        <v>22722</v>
      </c>
      <c r="U286">
        <v>1</v>
      </c>
      <c r="V286" t="s">
        <v>42</v>
      </c>
      <c r="W286" t="s">
        <v>35</v>
      </c>
      <c r="X286">
        <v>13</v>
      </c>
      <c r="Y286">
        <v>3</v>
      </c>
      <c r="Z286">
        <v>3</v>
      </c>
      <c r="AA286">
        <v>80</v>
      </c>
      <c r="AB286">
        <v>1</v>
      </c>
      <c r="AC286">
        <v>5</v>
      </c>
      <c r="AD286">
        <v>3</v>
      </c>
      <c r="AE286">
        <v>3</v>
      </c>
      <c r="AF286">
        <v>5</v>
      </c>
      <c r="AG286">
        <v>3</v>
      </c>
      <c r="AH286">
        <v>3</v>
      </c>
      <c r="AI286">
        <v>3</v>
      </c>
      <c r="AJ286" s="2">
        <f>IF(tblHR[[#This Row],[Attrition]]="Yes",1,0)</f>
        <v>0</v>
      </c>
      <c r="AK286" t="str">
        <f>IF(tblHR[[#This Row],[Age]]&lt;26,"18-25",IF(tblHR[[#This Row],[Age]]&lt;36,"26-35",IF(tblHR[[#This Row],[Age]]&lt;46,"36-45",IF(tblHR[[#This Row],[Age]]&lt;56,"46-55","56+"))))</f>
        <v>26-35</v>
      </c>
    </row>
    <row r="287" spans="1:37"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s="1">
        <v>2115</v>
      </c>
      <c r="T287">
        <v>15881</v>
      </c>
      <c r="U287">
        <v>1</v>
      </c>
      <c r="V287" t="s">
        <v>42</v>
      </c>
      <c r="W287" t="s">
        <v>43</v>
      </c>
      <c r="X287">
        <v>12</v>
      </c>
      <c r="Y287">
        <v>3</v>
      </c>
      <c r="Z287">
        <v>2</v>
      </c>
      <c r="AA287">
        <v>80</v>
      </c>
      <c r="AB287">
        <v>0</v>
      </c>
      <c r="AC287">
        <v>17</v>
      </c>
      <c r="AD287">
        <v>3</v>
      </c>
      <c r="AE287">
        <v>3</v>
      </c>
      <c r="AF287">
        <v>17</v>
      </c>
      <c r="AG287">
        <v>12</v>
      </c>
      <c r="AH287">
        <v>5</v>
      </c>
      <c r="AI287">
        <v>7</v>
      </c>
      <c r="AJ287" s="2">
        <f>IF(tblHR[[#This Row],[Attrition]]="Yes",1,0)</f>
        <v>0</v>
      </c>
      <c r="AK287" t="str">
        <f>IF(tblHR[[#This Row],[Age]]&lt;26,"18-25",IF(tblHR[[#This Row],[Age]]&lt;36,"26-35",IF(tblHR[[#This Row],[Age]]&lt;46,"36-45",IF(tblHR[[#This Row],[Age]]&lt;56,"46-55","56+"))))</f>
        <v>36-45</v>
      </c>
    </row>
    <row r="288" spans="1:37"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s="1">
        <v>3161</v>
      </c>
      <c r="T288">
        <v>19920</v>
      </c>
      <c r="U288">
        <v>3</v>
      </c>
      <c r="V288" t="s">
        <v>42</v>
      </c>
      <c r="W288" t="s">
        <v>35</v>
      </c>
      <c r="X288">
        <v>22</v>
      </c>
      <c r="Y288">
        <v>4</v>
      </c>
      <c r="Z288">
        <v>4</v>
      </c>
      <c r="AA288">
        <v>80</v>
      </c>
      <c r="AB288">
        <v>1</v>
      </c>
      <c r="AC288">
        <v>19</v>
      </c>
      <c r="AD288">
        <v>0</v>
      </c>
      <c r="AE288">
        <v>1</v>
      </c>
      <c r="AF288">
        <v>1</v>
      </c>
      <c r="AG288">
        <v>0</v>
      </c>
      <c r="AH288">
        <v>0</v>
      </c>
      <c r="AI288">
        <v>0</v>
      </c>
      <c r="AJ288" s="2">
        <f>IF(tblHR[[#This Row],[Attrition]]="Yes",1,0)</f>
        <v>1</v>
      </c>
      <c r="AK288" t="str">
        <f>IF(tblHR[[#This Row],[Age]]&lt;26,"18-25",IF(tblHR[[#This Row],[Age]]&lt;36,"26-35",IF(tblHR[[#This Row],[Age]]&lt;46,"36-45",IF(tblHR[[#This Row],[Age]]&lt;56,"46-55","56+"))))</f>
        <v>36-45</v>
      </c>
    </row>
    <row r="289" spans="1:37"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s="1">
        <v>5745</v>
      </c>
      <c r="T289">
        <v>18899</v>
      </c>
      <c r="U289">
        <v>9</v>
      </c>
      <c r="V289" t="s">
        <v>42</v>
      </c>
      <c r="W289" t="s">
        <v>43</v>
      </c>
      <c r="X289">
        <v>14</v>
      </c>
      <c r="Y289">
        <v>3</v>
      </c>
      <c r="Z289">
        <v>2</v>
      </c>
      <c r="AA289">
        <v>80</v>
      </c>
      <c r="AB289">
        <v>1</v>
      </c>
      <c r="AC289">
        <v>10</v>
      </c>
      <c r="AD289">
        <v>2</v>
      </c>
      <c r="AE289">
        <v>3</v>
      </c>
      <c r="AF289">
        <v>2</v>
      </c>
      <c r="AG289">
        <v>2</v>
      </c>
      <c r="AH289">
        <v>1</v>
      </c>
      <c r="AI289">
        <v>2</v>
      </c>
      <c r="AJ289" s="2">
        <f>IF(tblHR[[#This Row],[Attrition]]="Yes",1,0)</f>
        <v>0</v>
      </c>
      <c r="AK289" t="str">
        <f>IF(tblHR[[#This Row],[Age]]&lt;26,"18-25",IF(tblHR[[#This Row],[Age]]&lt;36,"26-35",IF(tblHR[[#This Row],[Age]]&lt;46,"36-45",IF(tblHR[[#This Row],[Age]]&lt;56,"46-55","56+"))))</f>
        <v>36-45</v>
      </c>
    </row>
    <row r="290" spans="1:37"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s="1">
        <v>2373</v>
      </c>
      <c r="T290">
        <v>14180</v>
      </c>
      <c r="U290">
        <v>2</v>
      </c>
      <c r="V290" t="s">
        <v>42</v>
      </c>
      <c r="W290" t="s">
        <v>35</v>
      </c>
      <c r="X290">
        <v>13</v>
      </c>
      <c r="Y290">
        <v>3</v>
      </c>
      <c r="Z290">
        <v>4</v>
      </c>
      <c r="AA290">
        <v>80</v>
      </c>
      <c r="AB290">
        <v>1</v>
      </c>
      <c r="AC290">
        <v>5</v>
      </c>
      <c r="AD290">
        <v>2</v>
      </c>
      <c r="AE290">
        <v>3</v>
      </c>
      <c r="AF290">
        <v>3</v>
      </c>
      <c r="AG290">
        <v>2</v>
      </c>
      <c r="AH290">
        <v>0</v>
      </c>
      <c r="AI290">
        <v>2</v>
      </c>
      <c r="AJ290" s="2">
        <f>IF(tblHR[[#This Row],[Attrition]]="Yes",1,0)</f>
        <v>1</v>
      </c>
      <c r="AK290" t="str">
        <f>IF(tblHR[[#This Row],[Age]]&lt;26,"18-25",IF(tblHR[[#This Row],[Age]]&lt;36,"26-35",IF(tblHR[[#This Row],[Age]]&lt;46,"36-45",IF(tblHR[[#This Row],[Age]]&lt;56,"46-55","56+"))))</f>
        <v>26-35</v>
      </c>
    </row>
    <row r="291" spans="1:37"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s="1">
        <v>3310</v>
      </c>
      <c r="T291">
        <v>4488</v>
      </c>
      <c r="U291">
        <v>1</v>
      </c>
      <c r="V291" t="s">
        <v>42</v>
      </c>
      <c r="W291" t="s">
        <v>43</v>
      </c>
      <c r="X291">
        <v>21</v>
      </c>
      <c r="Y291">
        <v>4</v>
      </c>
      <c r="Z291">
        <v>4</v>
      </c>
      <c r="AA291">
        <v>80</v>
      </c>
      <c r="AB291">
        <v>0</v>
      </c>
      <c r="AC291">
        <v>5</v>
      </c>
      <c r="AD291">
        <v>3</v>
      </c>
      <c r="AE291">
        <v>3</v>
      </c>
      <c r="AF291">
        <v>5</v>
      </c>
      <c r="AG291">
        <v>3</v>
      </c>
      <c r="AH291">
        <v>0</v>
      </c>
      <c r="AI291">
        <v>2</v>
      </c>
      <c r="AJ291" s="2">
        <f>IF(tblHR[[#This Row],[Attrition]]="Yes",1,0)</f>
        <v>0</v>
      </c>
      <c r="AK291" t="str">
        <f>IF(tblHR[[#This Row],[Age]]&lt;26,"18-25",IF(tblHR[[#This Row],[Age]]&lt;36,"26-35",IF(tblHR[[#This Row],[Age]]&lt;46,"36-45",IF(tblHR[[#This Row],[Age]]&lt;56,"46-55","56+"))))</f>
        <v>26-35</v>
      </c>
    </row>
    <row r="292" spans="1:37"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s="1">
        <v>18665</v>
      </c>
      <c r="T292">
        <v>25594</v>
      </c>
      <c r="U292">
        <v>9</v>
      </c>
      <c r="V292" t="s">
        <v>42</v>
      </c>
      <c r="W292" t="s">
        <v>35</v>
      </c>
      <c r="X292">
        <v>11</v>
      </c>
      <c r="Y292">
        <v>3</v>
      </c>
      <c r="Z292">
        <v>4</v>
      </c>
      <c r="AA292">
        <v>80</v>
      </c>
      <c r="AB292">
        <v>0</v>
      </c>
      <c r="AC292">
        <v>22</v>
      </c>
      <c r="AD292">
        <v>4</v>
      </c>
      <c r="AE292">
        <v>3</v>
      </c>
      <c r="AF292">
        <v>3</v>
      </c>
      <c r="AG292">
        <v>2</v>
      </c>
      <c r="AH292">
        <v>1</v>
      </c>
      <c r="AI292">
        <v>2</v>
      </c>
      <c r="AJ292" s="2">
        <f>IF(tblHR[[#This Row],[Attrition]]="Yes",1,0)</f>
        <v>0</v>
      </c>
      <c r="AK292" t="str">
        <f>IF(tblHR[[#This Row],[Age]]&lt;26,"18-25",IF(tblHR[[#This Row],[Age]]&lt;36,"26-35",IF(tblHR[[#This Row],[Age]]&lt;46,"36-45",IF(tblHR[[#This Row],[Age]]&lt;56,"46-55","56+"))))</f>
        <v>46-55</v>
      </c>
    </row>
    <row r="293" spans="1:37"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s="1">
        <v>4485</v>
      </c>
      <c r="T293">
        <v>26285</v>
      </c>
      <c r="U293">
        <v>4</v>
      </c>
      <c r="V293" t="s">
        <v>42</v>
      </c>
      <c r="W293" t="s">
        <v>43</v>
      </c>
      <c r="X293">
        <v>12</v>
      </c>
      <c r="Y293">
        <v>3</v>
      </c>
      <c r="Z293">
        <v>4</v>
      </c>
      <c r="AA293">
        <v>80</v>
      </c>
      <c r="AB293">
        <v>0</v>
      </c>
      <c r="AC293">
        <v>10</v>
      </c>
      <c r="AD293">
        <v>2</v>
      </c>
      <c r="AE293">
        <v>3</v>
      </c>
      <c r="AF293">
        <v>8</v>
      </c>
      <c r="AG293">
        <v>0</v>
      </c>
      <c r="AH293">
        <v>7</v>
      </c>
      <c r="AI293">
        <v>7</v>
      </c>
      <c r="AJ293" s="2">
        <f>IF(tblHR[[#This Row],[Attrition]]="Yes",1,0)</f>
        <v>0</v>
      </c>
      <c r="AK293" t="str">
        <f>IF(tblHR[[#This Row],[Age]]&lt;26,"18-25",IF(tblHR[[#This Row],[Age]]&lt;36,"26-35",IF(tblHR[[#This Row],[Age]]&lt;46,"36-45",IF(tblHR[[#This Row],[Age]]&lt;56,"46-55","56+"))))</f>
        <v>36-45</v>
      </c>
    </row>
    <row r="294" spans="1:37"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s="1">
        <v>2789</v>
      </c>
      <c r="T294">
        <v>3909</v>
      </c>
      <c r="U294">
        <v>1</v>
      </c>
      <c r="V294" t="s">
        <v>42</v>
      </c>
      <c r="W294" t="s">
        <v>43</v>
      </c>
      <c r="X294">
        <v>11</v>
      </c>
      <c r="Y294">
        <v>3</v>
      </c>
      <c r="Z294">
        <v>3</v>
      </c>
      <c r="AA294">
        <v>80</v>
      </c>
      <c r="AB294">
        <v>1</v>
      </c>
      <c r="AC294">
        <v>2</v>
      </c>
      <c r="AD294">
        <v>5</v>
      </c>
      <c r="AE294">
        <v>2</v>
      </c>
      <c r="AF294">
        <v>2</v>
      </c>
      <c r="AG294">
        <v>2</v>
      </c>
      <c r="AH294">
        <v>2</v>
      </c>
      <c r="AI294">
        <v>2</v>
      </c>
      <c r="AJ294" s="2">
        <f>IF(tblHR[[#This Row],[Attrition]]="Yes",1,0)</f>
        <v>0</v>
      </c>
      <c r="AK294" t="str">
        <f>IF(tblHR[[#This Row],[Age]]&lt;26,"18-25",IF(tblHR[[#This Row],[Age]]&lt;36,"26-35",IF(tblHR[[#This Row],[Age]]&lt;46,"36-45",IF(tblHR[[#This Row],[Age]]&lt;56,"46-55","56+"))))</f>
        <v>26-35</v>
      </c>
    </row>
    <row r="295" spans="1:37"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s="1">
        <v>5828</v>
      </c>
      <c r="T295">
        <v>8450</v>
      </c>
      <c r="U295">
        <v>1</v>
      </c>
      <c r="V295" t="s">
        <v>42</v>
      </c>
      <c r="W295" t="s">
        <v>35</v>
      </c>
      <c r="X295">
        <v>12</v>
      </c>
      <c r="Y295">
        <v>3</v>
      </c>
      <c r="Z295">
        <v>2</v>
      </c>
      <c r="AA295">
        <v>80</v>
      </c>
      <c r="AB295">
        <v>0</v>
      </c>
      <c r="AC295">
        <v>8</v>
      </c>
      <c r="AD295">
        <v>0</v>
      </c>
      <c r="AE295">
        <v>3</v>
      </c>
      <c r="AF295">
        <v>8</v>
      </c>
      <c r="AG295">
        <v>7</v>
      </c>
      <c r="AH295">
        <v>7</v>
      </c>
      <c r="AI295">
        <v>4</v>
      </c>
      <c r="AJ295" s="2">
        <f>IF(tblHR[[#This Row],[Attrition]]="Yes",1,0)</f>
        <v>1</v>
      </c>
      <c r="AK295" t="str">
        <f>IF(tblHR[[#This Row],[Age]]&lt;26,"18-25",IF(tblHR[[#This Row],[Age]]&lt;36,"26-35",IF(tblHR[[#This Row],[Age]]&lt;46,"36-45",IF(tblHR[[#This Row],[Age]]&lt;56,"46-55","56+"))))</f>
        <v>26-35</v>
      </c>
    </row>
    <row r="296" spans="1:37"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s="1">
        <v>2326</v>
      </c>
      <c r="T296">
        <v>11411</v>
      </c>
      <c r="U296">
        <v>1</v>
      </c>
      <c r="V296" t="s">
        <v>42</v>
      </c>
      <c r="W296" t="s">
        <v>35</v>
      </c>
      <c r="X296">
        <v>12</v>
      </c>
      <c r="Y296">
        <v>3</v>
      </c>
      <c r="Z296">
        <v>3</v>
      </c>
      <c r="AA296">
        <v>80</v>
      </c>
      <c r="AB296">
        <v>3</v>
      </c>
      <c r="AC296">
        <v>4</v>
      </c>
      <c r="AD296">
        <v>3</v>
      </c>
      <c r="AE296">
        <v>2</v>
      </c>
      <c r="AF296">
        <v>4</v>
      </c>
      <c r="AG296">
        <v>2</v>
      </c>
      <c r="AH296">
        <v>1</v>
      </c>
      <c r="AI296">
        <v>2</v>
      </c>
      <c r="AJ296" s="2">
        <f>IF(tblHR[[#This Row],[Attrition]]="Yes",1,0)</f>
        <v>0</v>
      </c>
      <c r="AK296" t="str">
        <f>IF(tblHR[[#This Row],[Age]]&lt;26,"18-25",IF(tblHR[[#This Row],[Age]]&lt;36,"26-35",IF(tblHR[[#This Row],[Age]]&lt;46,"36-45",IF(tblHR[[#This Row],[Age]]&lt;56,"46-55","56+"))))</f>
        <v>36-45</v>
      </c>
    </row>
    <row r="297" spans="1:37"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s="1">
        <v>13525</v>
      </c>
      <c r="T297">
        <v>14864</v>
      </c>
      <c r="U297">
        <v>5</v>
      </c>
      <c r="V297" t="s">
        <v>42</v>
      </c>
      <c r="W297" t="s">
        <v>43</v>
      </c>
      <c r="X297">
        <v>14</v>
      </c>
      <c r="Y297">
        <v>3</v>
      </c>
      <c r="Z297">
        <v>4</v>
      </c>
      <c r="AA297">
        <v>80</v>
      </c>
      <c r="AB297">
        <v>1</v>
      </c>
      <c r="AC297">
        <v>23</v>
      </c>
      <c r="AD297">
        <v>2</v>
      </c>
      <c r="AE297">
        <v>4</v>
      </c>
      <c r="AF297">
        <v>20</v>
      </c>
      <c r="AG297">
        <v>4</v>
      </c>
      <c r="AH297">
        <v>4</v>
      </c>
      <c r="AI297">
        <v>8</v>
      </c>
      <c r="AJ297" s="2">
        <f>IF(tblHR[[#This Row],[Attrition]]="Yes",1,0)</f>
        <v>0</v>
      </c>
      <c r="AK297" t="str">
        <f>IF(tblHR[[#This Row],[Age]]&lt;26,"18-25",IF(tblHR[[#This Row],[Age]]&lt;36,"26-35",IF(tblHR[[#This Row],[Age]]&lt;46,"36-45",IF(tblHR[[#This Row],[Age]]&lt;56,"46-55","56+"))))</f>
        <v>36-45</v>
      </c>
    </row>
    <row r="298" spans="1:37"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s="1">
        <v>1420</v>
      </c>
      <c r="T298">
        <v>25233</v>
      </c>
      <c r="U298">
        <v>1</v>
      </c>
      <c r="V298" t="s">
        <v>42</v>
      </c>
      <c r="W298" t="s">
        <v>43</v>
      </c>
      <c r="X298">
        <v>13</v>
      </c>
      <c r="Y298">
        <v>3</v>
      </c>
      <c r="Z298">
        <v>3</v>
      </c>
      <c r="AA298">
        <v>80</v>
      </c>
      <c r="AB298">
        <v>0</v>
      </c>
      <c r="AC298">
        <v>0</v>
      </c>
      <c r="AD298">
        <v>2</v>
      </c>
      <c r="AE298">
        <v>3</v>
      </c>
      <c r="AF298">
        <v>0</v>
      </c>
      <c r="AG298">
        <v>0</v>
      </c>
      <c r="AH298">
        <v>0</v>
      </c>
      <c r="AI298">
        <v>0</v>
      </c>
      <c r="AJ298" s="2">
        <f>IF(tblHR[[#This Row],[Attrition]]="Yes",1,0)</f>
        <v>1</v>
      </c>
      <c r="AK298" t="str">
        <f>IF(tblHR[[#This Row],[Age]]&lt;26,"18-25",IF(tblHR[[#This Row],[Age]]&lt;36,"26-35",IF(tblHR[[#This Row],[Age]]&lt;46,"36-45",IF(tblHR[[#This Row],[Age]]&lt;56,"46-55","56+"))))</f>
        <v>18-25</v>
      </c>
    </row>
    <row r="299" spans="1:37"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s="1">
        <v>8020</v>
      </c>
      <c r="T299">
        <v>5100</v>
      </c>
      <c r="U299">
        <v>0</v>
      </c>
      <c r="V299" t="s">
        <v>42</v>
      </c>
      <c r="W299" t="s">
        <v>43</v>
      </c>
      <c r="X299">
        <v>15</v>
      </c>
      <c r="Y299">
        <v>3</v>
      </c>
      <c r="Z299">
        <v>3</v>
      </c>
      <c r="AA299">
        <v>80</v>
      </c>
      <c r="AB299">
        <v>2</v>
      </c>
      <c r="AC299">
        <v>12</v>
      </c>
      <c r="AD299">
        <v>3</v>
      </c>
      <c r="AE299">
        <v>2</v>
      </c>
      <c r="AF299">
        <v>11</v>
      </c>
      <c r="AG299">
        <v>9</v>
      </c>
      <c r="AH299">
        <v>6</v>
      </c>
      <c r="AI299">
        <v>9</v>
      </c>
      <c r="AJ299" s="2">
        <f>IF(tblHR[[#This Row],[Attrition]]="Yes",1,0)</f>
        <v>0</v>
      </c>
      <c r="AK299" t="str">
        <f>IF(tblHR[[#This Row],[Age]]&lt;26,"18-25",IF(tblHR[[#This Row],[Age]]&lt;36,"26-35",IF(tblHR[[#This Row],[Age]]&lt;46,"36-45",IF(tblHR[[#This Row],[Age]]&lt;56,"46-55","56+"))))</f>
        <v>26-35</v>
      </c>
    </row>
    <row r="300" spans="1:37"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s="1">
        <v>3688</v>
      </c>
      <c r="T300">
        <v>7122</v>
      </c>
      <c r="U300">
        <v>4</v>
      </c>
      <c r="V300" t="s">
        <v>42</v>
      </c>
      <c r="W300" t="s">
        <v>43</v>
      </c>
      <c r="X300">
        <v>18</v>
      </c>
      <c r="Y300">
        <v>3</v>
      </c>
      <c r="Z300">
        <v>4</v>
      </c>
      <c r="AA300">
        <v>80</v>
      </c>
      <c r="AB300">
        <v>2</v>
      </c>
      <c r="AC300">
        <v>4</v>
      </c>
      <c r="AD300">
        <v>2</v>
      </c>
      <c r="AE300">
        <v>3</v>
      </c>
      <c r="AF300">
        <v>1</v>
      </c>
      <c r="AG300">
        <v>0</v>
      </c>
      <c r="AH300">
        <v>0</v>
      </c>
      <c r="AI300">
        <v>0</v>
      </c>
      <c r="AJ300" s="2">
        <f>IF(tblHR[[#This Row],[Attrition]]="Yes",1,0)</f>
        <v>0</v>
      </c>
      <c r="AK300" t="str">
        <f>IF(tblHR[[#This Row],[Age]]&lt;26,"18-25",IF(tblHR[[#This Row],[Age]]&lt;36,"26-35",IF(tblHR[[#This Row],[Age]]&lt;46,"36-45",IF(tblHR[[#This Row],[Age]]&lt;56,"46-55","56+"))))</f>
        <v>36-45</v>
      </c>
    </row>
    <row r="301" spans="1:37"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s="1">
        <v>5482</v>
      </c>
      <c r="T301">
        <v>16321</v>
      </c>
      <c r="U301">
        <v>5</v>
      </c>
      <c r="V301" t="s">
        <v>42</v>
      </c>
      <c r="W301" t="s">
        <v>43</v>
      </c>
      <c r="X301">
        <v>18</v>
      </c>
      <c r="Y301">
        <v>3</v>
      </c>
      <c r="Z301">
        <v>4</v>
      </c>
      <c r="AA301">
        <v>80</v>
      </c>
      <c r="AB301">
        <v>1</v>
      </c>
      <c r="AC301">
        <v>13</v>
      </c>
      <c r="AD301">
        <v>3</v>
      </c>
      <c r="AE301">
        <v>3</v>
      </c>
      <c r="AF301">
        <v>4</v>
      </c>
      <c r="AG301">
        <v>1</v>
      </c>
      <c r="AH301">
        <v>1</v>
      </c>
      <c r="AI301">
        <v>2</v>
      </c>
      <c r="AJ301" s="2">
        <f>IF(tblHR[[#This Row],[Attrition]]="Yes",1,0)</f>
        <v>0</v>
      </c>
      <c r="AK301" t="str">
        <f>IF(tblHR[[#This Row],[Age]]&lt;26,"18-25",IF(tblHR[[#This Row],[Age]]&lt;36,"26-35",IF(tblHR[[#This Row],[Age]]&lt;46,"36-45",IF(tblHR[[#This Row],[Age]]&lt;56,"46-55","56+"))))</f>
        <v>46-55</v>
      </c>
    </row>
    <row r="302" spans="1:37"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s="1">
        <v>16015</v>
      </c>
      <c r="T302">
        <v>15896</v>
      </c>
      <c r="U302">
        <v>1</v>
      </c>
      <c r="V302" t="s">
        <v>42</v>
      </c>
      <c r="W302" t="s">
        <v>43</v>
      </c>
      <c r="X302">
        <v>19</v>
      </c>
      <c r="Y302">
        <v>3</v>
      </c>
      <c r="Z302">
        <v>2</v>
      </c>
      <c r="AA302">
        <v>80</v>
      </c>
      <c r="AB302">
        <v>0</v>
      </c>
      <c r="AC302">
        <v>22</v>
      </c>
      <c r="AD302">
        <v>2</v>
      </c>
      <c r="AE302">
        <v>3</v>
      </c>
      <c r="AF302">
        <v>22</v>
      </c>
      <c r="AG302">
        <v>10</v>
      </c>
      <c r="AH302">
        <v>0</v>
      </c>
      <c r="AI302">
        <v>4</v>
      </c>
      <c r="AJ302" s="2">
        <f>IF(tblHR[[#This Row],[Attrition]]="Yes",1,0)</f>
        <v>0</v>
      </c>
      <c r="AK302" t="str">
        <f>IF(tblHR[[#This Row],[Age]]&lt;26,"18-25",IF(tblHR[[#This Row],[Age]]&lt;36,"26-35",IF(tblHR[[#This Row],[Age]]&lt;46,"36-45",IF(tblHR[[#This Row],[Age]]&lt;56,"46-55","56+"))))</f>
        <v>36-45</v>
      </c>
    </row>
    <row r="303" spans="1:37"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s="1">
        <v>1200</v>
      </c>
      <c r="T303">
        <v>9724</v>
      </c>
      <c r="U303">
        <v>1</v>
      </c>
      <c r="V303" t="s">
        <v>42</v>
      </c>
      <c r="W303" t="s">
        <v>43</v>
      </c>
      <c r="X303">
        <v>12</v>
      </c>
      <c r="Y303">
        <v>3</v>
      </c>
      <c r="Z303">
        <v>1</v>
      </c>
      <c r="AA303">
        <v>80</v>
      </c>
      <c r="AB303">
        <v>0</v>
      </c>
      <c r="AC303">
        <v>0</v>
      </c>
      <c r="AD303">
        <v>2</v>
      </c>
      <c r="AE303">
        <v>3</v>
      </c>
      <c r="AF303">
        <v>0</v>
      </c>
      <c r="AG303">
        <v>0</v>
      </c>
      <c r="AH303">
        <v>0</v>
      </c>
      <c r="AI303">
        <v>0</v>
      </c>
      <c r="AJ303" s="2">
        <f>IF(tblHR[[#This Row],[Attrition]]="Yes",1,0)</f>
        <v>0</v>
      </c>
      <c r="AK303" t="str">
        <f>IF(tblHR[[#This Row],[Age]]&lt;26,"18-25",IF(tblHR[[#This Row],[Age]]&lt;36,"26-35",IF(tblHR[[#This Row],[Age]]&lt;46,"36-45",IF(tblHR[[#This Row],[Age]]&lt;56,"46-55","56+"))))</f>
        <v>18-25</v>
      </c>
    </row>
    <row r="304" spans="1:37"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s="1">
        <v>5661</v>
      </c>
      <c r="T304">
        <v>4824</v>
      </c>
      <c r="U304">
        <v>0</v>
      </c>
      <c r="V304" t="s">
        <v>42</v>
      </c>
      <c r="W304" t="s">
        <v>43</v>
      </c>
      <c r="X304">
        <v>19</v>
      </c>
      <c r="Y304">
        <v>3</v>
      </c>
      <c r="Z304">
        <v>3</v>
      </c>
      <c r="AA304">
        <v>80</v>
      </c>
      <c r="AB304">
        <v>0</v>
      </c>
      <c r="AC304">
        <v>9</v>
      </c>
      <c r="AD304">
        <v>2</v>
      </c>
      <c r="AE304">
        <v>3</v>
      </c>
      <c r="AF304">
        <v>8</v>
      </c>
      <c r="AG304">
        <v>3</v>
      </c>
      <c r="AH304">
        <v>0</v>
      </c>
      <c r="AI304">
        <v>7</v>
      </c>
      <c r="AJ304" s="2">
        <f>IF(tblHR[[#This Row],[Attrition]]="Yes",1,0)</f>
        <v>0</v>
      </c>
      <c r="AK304" t="str">
        <f>IF(tblHR[[#This Row],[Age]]&lt;26,"18-25",IF(tblHR[[#This Row],[Age]]&lt;36,"26-35",IF(tblHR[[#This Row],[Age]]&lt;46,"36-45",IF(tblHR[[#This Row],[Age]]&lt;56,"46-55","56+"))))</f>
        <v>26-35</v>
      </c>
    </row>
    <row r="305" spans="1:37"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s="1">
        <v>6929</v>
      </c>
      <c r="T305">
        <v>12241</v>
      </c>
      <c r="U305">
        <v>4</v>
      </c>
      <c r="V305" t="s">
        <v>42</v>
      </c>
      <c r="W305" t="s">
        <v>43</v>
      </c>
      <c r="X305">
        <v>11</v>
      </c>
      <c r="Y305">
        <v>3</v>
      </c>
      <c r="Z305">
        <v>2</v>
      </c>
      <c r="AA305">
        <v>80</v>
      </c>
      <c r="AB305">
        <v>1</v>
      </c>
      <c r="AC305">
        <v>10</v>
      </c>
      <c r="AD305">
        <v>3</v>
      </c>
      <c r="AE305">
        <v>2</v>
      </c>
      <c r="AF305">
        <v>8</v>
      </c>
      <c r="AG305">
        <v>7</v>
      </c>
      <c r="AH305">
        <v>7</v>
      </c>
      <c r="AI305">
        <v>7</v>
      </c>
      <c r="AJ305" s="2">
        <f>IF(tblHR[[#This Row],[Attrition]]="Yes",1,0)</f>
        <v>0</v>
      </c>
      <c r="AK305" t="str">
        <f>IF(tblHR[[#This Row],[Age]]&lt;26,"18-25",IF(tblHR[[#This Row],[Age]]&lt;36,"26-35",IF(tblHR[[#This Row],[Age]]&lt;46,"36-45",IF(tblHR[[#This Row],[Age]]&lt;56,"46-55","56+"))))</f>
        <v>26-35</v>
      </c>
    </row>
    <row r="306" spans="1:37"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s="1">
        <v>9613</v>
      </c>
      <c r="T306">
        <v>10942</v>
      </c>
      <c r="U306">
        <v>0</v>
      </c>
      <c r="V306" t="s">
        <v>42</v>
      </c>
      <c r="W306" t="s">
        <v>43</v>
      </c>
      <c r="X306">
        <v>17</v>
      </c>
      <c r="Y306">
        <v>3</v>
      </c>
      <c r="Z306">
        <v>1</v>
      </c>
      <c r="AA306">
        <v>80</v>
      </c>
      <c r="AB306">
        <v>3</v>
      </c>
      <c r="AC306">
        <v>19</v>
      </c>
      <c r="AD306">
        <v>5</v>
      </c>
      <c r="AE306">
        <v>2</v>
      </c>
      <c r="AF306">
        <v>18</v>
      </c>
      <c r="AG306">
        <v>10</v>
      </c>
      <c r="AH306">
        <v>3</v>
      </c>
      <c r="AI306">
        <v>7</v>
      </c>
      <c r="AJ306" s="2">
        <f>IF(tblHR[[#This Row],[Attrition]]="Yes",1,0)</f>
        <v>0</v>
      </c>
      <c r="AK306" t="str">
        <f>IF(tblHR[[#This Row],[Age]]&lt;26,"18-25",IF(tblHR[[#This Row],[Age]]&lt;36,"26-35",IF(tblHR[[#This Row],[Age]]&lt;46,"36-45",IF(tblHR[[#This Row],[Age]]&lt;56,"46-55","56+"))))</f>
        <v>36-45</v>
      </c>
    </row>
    <row r="307" spans="1:37"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s="1">
        <v>5674</v>
      </c>
      <c r="T307">
        <v>6927</v>
      </c>
      <c r="U307">
        <v>7</v>
      </c>
      <c r="V307" t="s">
        <v>42</v>
      </c>
      <c r="W307" t="s">
        <v>43</v>
      </c>
      <c r="X307">
        <v>15</v>
      </c>
      <c r="Y307">
        <v>3</v>
      </c>
      <c r="Z307">
        <v>3</v>
      </c>
      <c r="AA307">
        <v>80</v>
      </c>
      <c r="AB307">
        <v>1</v>
      </c>
      <c r="AC307">
        <v>11</v>
      </c>
      <c r="AD307">
        <v>3</v>
      </c>
      <c r="AE307">
        <v>3</v>
      </c>
      <c r="AF307">
        <v>9</v>
      </c>
      <c r="AG307">
        <v>8</v>
      </c>
      <c r="AH307">
        <v>0</v>
      </c>
      <c r="AI307">
        <v>8</v>
      </c>
      <c r="AJ307" s="2">
        <f>IF(tblHR[[#This Row],[Attrition]]="Yes",1,0)</f>
        <v>0</v>
      </c>
      <c r="AK307" t="str">
        <f>IF(tblHR[[#This Row],[Age]]&lt;26,"18-25",IF(tblHR[[#This Row],[Age]]&lt;36,"26-35",IF(tblHR[[#This Row],[Age]]&lt;46,"36-45",IF(tblHR[[#This Row],[Age]]&lt;56,"46-55","56+"))))</f>
        <v>36-45</v>
      </c>
    </row>
    <row r="308" spans="1:37"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s="1">
        <v>5484</v>
      </c>
      <c r="T308">
        <v>16985</v>
      </c>
      <c r="U308">
        <v>1</v>
      </c>
      <c r="V308" t="s">
        <v>42</v>
      </c>
      <c r="W308" t="s">
        <v>43</v>
      </c>
      <c r="X308">
        <v>14</v>
      </c>
      <c r="Y308">
        <v>3</v>
      </c>
      <c r="Z308">
        <v>3</v>
      </c>
      <c r="AA308">
        <v>80</v>
      </c>
      <c r="AB308">
        <v>1</v>
      </c>
      <c r="AC308">
        <v>13</v>
      </c>
      <c r="AD308">
        <v>3</v>
      </c>
      <c r="AE308">
        <v>2</v>
      </c>
      <c r="AF308">
        <v>13</v>
      </c>
      <c r="AG308">
        <v>8</v>
      </c>
      <c r="AH308">
        <v>4</v>
      </c>
      <c r="AI308">
        <v>8</v>
      </c>
      <c r="AJ308" s="2">
        <f>IF(tblHR[[#This Row],[Attrition]]="Yes",1,0)</f>
        <v>0</v>
      </c>
      <c r="AK308" t="str">
        <f>IF(tblHR[[#This Row],[Age]]&lt;26,"18-25",IF(tblHR[[#This Row],[Age]]&lt;36,"26-35",IF(tblHR[[#This Row],[Age]]&lt;46,"36-45",IF(tblHR[[#This Row],[Age]]&lt;56,"46-55","56+"))))</f>
        <v>26-35</v>
      </c>
    </row>
    <row r="309" spans="1:37"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s="1">
        <v>12061</v>
      </c>
      <c r="T309">
        <v>26707</v>
      </c>
      <c r="U309">
        <v>3</v>
      </c>
      <c r="V309" t="s">
        <v>42</v>
      </c>
      <c r="W309" t="s">
        <v>43</v>
      </c>
      <c r="X309">
        <v>17</v>
      </c>
      <c r="Y309">
        <v>3</v>
      </c>
      <c r="Z309">
        <v>3</v>
      </c>
      <c r="AA309">
        <v>80</v>
      </c>
      <c r="AB309">
        <v>1</v>
      </c>
      <c r="AC309">
        <v>19</v>
      </c>
      <c r="AD309">
        <v>2</v>
      </c>
      <c r="AE309">
        <v>3</v>
      </c>
      <c r="AF309">
        <v>10</v>
      </c>
      <c r="AG309">
        <v>8</v>
      </c>
      <c r="AH309">
        <v>0</v>
      </c>
      <c r="AI309">
        <v>1</v>
      </c>
      <c r="AJ309" s="2">
        <f>IF(tblHR[[#This Row],[Attrition]]="Yes",1,0)</f>
        <v>0</v>
      </c>
      <c r="AK309" t="str">
        <f>IF(tblHR[[#This Row],[Age]]&lt;26,"18-25",IF(tblHR[[#This Row],[Age]]&lt;36,"26-35",IF(tblHR[[#This Row],[Age]]&lt;46,"36-45",IF(tblHR[[#This Row],[Age]]&lt;56,"46-55","56+"))))</f>
        <v>36-45</v>
      </c>
    </row>
    <row r="310" spans="1:37"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s="1">
        <v>5660</v>
      </c>
      <c r="T310">
        <v>17056</v>
      </c>
      <c r="U310">
        <v>2</v>
      </c>
      <c r="V310" t="s">
        <v>42</v>
      </c>
      <c r="W310" t="s">
        <v>35</v>
      </c>
      <c r="X310">
        <v>13</v>
      </c>
      <c r="Y310">
        <v>3</v>
      </c>
      <c r="Z310">
        <v>4</v>
      </c>
      <c r="AA310">
        <v>80</v>
      </c>
      <c r="AB310">
        <v>1</v>
      </c>
      <c r="AC310">
        <v>12</v>
      </c>
      <c r="AD310">
        <v>2</v>
      </c>
      <c r="AE310">
        <v>3</v>
      </c>
      <c r="AF310">
        <v>5</v>
      </c>
      <c r="AG310">
        <v>3</v>
      </c>
      <c r="AH310">
        <v>1</v>
      </c>
      <c r="AI310">
        <v>2</v>
      </c>
      <c r="AJ310" s="2">
        <f>IF(tblHR[[#This Row],[Attrition]]="Yes",1,0)</f>
        <v>0</v>
      </c>
      <c r="AK310" t="str">
        <f>IF(tblHR[[#This Row],[Age]]&lt;26,"18-25",IF(tblHR[[#This Row],[Age]]&lt;36,"26-35",IF(tblHR[[#This Row],[Age]]&lt;46,"36-45",IF(tblHR[[#This Row],[Age]]&lt;56,"46-55","56+"))))</f>
        <v>56+</v>
      </c>
    </row>
    <row r="311" spans="1:37"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s="1">
        <v>4821</v>
      </c>
      <c r="T311">
        <v>10077</v>
      </c>
      <c r="U311">
        <v>0</v>
      </c>
      <c r="V311" t="s">
        <v>42</v>
      </c>
      <c r="W311" t="s">
        <v>35</v>
      </c>
      <c r="X311">
        <v>12</v>
      </c>
      <c r="Y311">
        <v>3</v>
      </c>
      <c r="Z311">
        <v>3</v>
      </c>
      <c r="AA311">
        <v>80</v>
      </c>
      <c r="AB311">
        <v>1</v>
      </c>
      <c r="AC311">
        <v>6</v>
      </c>
      <c r="AD311">
        <v>4</v>
      </c>
      <c r="AE311">
        <v>3</v>
      </c>
      <c r="AF311">
        <v>5</v>
      </c>
      <c r="AG311">
        <v>2</v>
      </c>
      <c r="AH311">
        <v>0</v>
      </c>
      <c r="AI311">
        <v>3</v>
      </c>
      <c r="AJ311" s="2">
        <f>IF(tblHR[[#This Row],[Attrition]]="Yes",1,0)</f>
        <v>0</v>
      </c>
      <c r="AK311" t="str">
        <f>IF(tblHR[[#This Row],[Age]]&lt;26,"18-25",IF(tblHR[[#This Row],[Age]]&lt;36,"26-35",IF(tblHR[[#This Row],[Age]]&lt;46,"36-45",IF(tblHR[[#This Row],[Age]]&lt;56,"46-55","56+"))))</f>
        <v>26-35</v>
      </c>
    </row>
    <row r="312" spans="1:37"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s="1">
        <v>6410</v>
      </c>
      <c r="T312">
        <v>17822</v>
      </c>
      <c r="U312">
        <v>3</v>
      </c>
      <c r="V312" t="s">
        <v>42</v>
      </c>
      <c r="W312" t="s">
        <v>43</v>
      </c>
      <c r="X312">
        <v>12</v>
      </c>
      <c r="Y312">
        <v>3</v>
      </c>
      <c r="Z312">
        <v>4</v>
      </c>
      <c r="AA312">
        <v>80</v>
      </c>
      <c r="AB312">
        <v>0</v>
      </c>
      <c r="AC312">
        <v>9</v>
      </c>
      <c r="AD312">
        <v>1</v>
      </c>
      <c r="AE312">
        <v>3</v>
      </c>
      <c r="AF312">
        <v>2</v>
      </c>
      <c r="AG312">
        <v>2</v>
      </c>
      <c r="AH312">
        <v>1</v>
      </c>
      <c r="AI312">
        <v>0</v>
      </c>
      <c r="AJ312" s="2">
        <f>IF(tblHR[[#This Row],[Attrition]]="Yes",1,0)</f>
        <v>0</v>
      </c>
      <c r="AK312" t="str">
        <f>IF(tblHR[[#This Row],[Age]]&lt;26,"18-25",IF(tblHR[[#This Row],[Age]]&lt;36,"26-35",IF(tblHR[[#This Row],[Age]]&lt;46,"36-45",IF(tblHR[[#This Row],[Age]]&lt;56,"46-55","56+"))))</f>
        <v>26-35</v>
      </c>
    </row>
    <row r="313" spans="1:37"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s="1">
        <v>5210</v>
      </c>
      <c r="T313">
        <v>20308</v>
      </c>
      <c r="U313">
        <v>1</v>
      </c>
      <c r="V313" t="s">
        <v>42</v>
      </c>
      <c r="W313" t="s">
        <v>43</v>
      </c>
      <c r="X313">
        <v>18</v>
      </c>
      <c r="Y313">
        <v>3</v>
      </c>
      <c r="Z313">
        <v>1</v>
      </c>
      <c r="AA313">
        <v>80</v>
      </c>
      <c r="AB313">
        <v>1</v>
      </c>
      <c r="AC313">
        <v>24</v>
      </c>
      <c r="AD313">
        <v>2</v>
      </c>
      <c r="AE313">
        <v>3</v>
      </c>
      <c r="AF313">
        <v>24</v>
      </c>
      <c r="AG313">
        <v>9</v>
      </c>
      <c r="AH313">
        <v>9</v>
      </c>
      <c r="AI313">
        <v>11</v>
      </c>
      <c r="AJ313" s="2">
        <f>IF(tblHR[[#This Row],[Attrition]]="Yes",1,0)</f>
        <v>0</v>
      </c>
      <c r="AK313" t="str">
        <f>IF(tblHR[[#This Row],[Age]]&lt;26,"18-25",IF(tblHR[[#This Row],[Age]]&lt;36,"26-35",IF(tblHR[[#This Row],[Age]]&lt;46,"36-45",IF(tblHR[[#This Row],[Age]]&lt;56,"46-55","56+"))))</f>
        <v>36-45</v>
      </c>
    </row>
    <row r="314" spans="1:37"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s="1">
        <v>2695</v>
      </c>
      <c r="T314">
        <v>7747</v>
      </c>
      <c r="U314">
        <v>0</v>
      </c>
      <c r="V314" t="s">
        <v>42</v>
      </c>
      <c r="W314" t="s">
        <v>35</v>
      </c>
      <c r="X314">
        <v>18</v>
      </c>
      <c r="Y314">
        <v>3</v>
      </c>
      <c r="Z314">
        <v>2</v>
      </c>
      <c r="AA314">
        <v>80</v>
      </c>
      <c r="AB314">
        <v>1</v>
      </c>
      <c r="AC314">
        <v>3</v>
      </c>
      <c r="AD314">
        <v>2</v>
      </c>
      <c r="AE314">
        <v>1</v>
      </c>
      <c r="AF314">
        <v>2</v>
      </c>
      <c r="AG314">
        <v>2</v>
      </c>
      <c r="AH314">
        <v>2</v>
      </c>
      <c r="AI314">
        <v>2</v>
      </c>
      <c r="AJ314" s="2">
        <f>IF(tblHR[[#This Row],[Attrition]]="Yes",1,0)</f>
        <v>0</v>
      </c>
      <c r="AK314" t="str">
        <f>IF(tblHR[[#This Row],[Age]]&lt;26,"18-25",IF(tblHR[[#This Row],[Age]]&lt;36,"26-35",IF(tblHR[[#This Row],[Age]]&lt;46,"36-45",IF(tblHR[[#This Row],[Age]]&lt;56,"46-55","56+"))))</f>
        <v>26-35</v>
      </c>
    </row>
    <row r="315" spans="1:37"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s="1">
        <v>11878</v>
      </c>
      <c r="T315">
        <v>23364</v>
      </c>
      <c r="U315">
        <v>6</v>
      </c>
      <c r="V315" t="s">
        <v>42</v>
      </c>
      <c r="W315" t="s">
        <v>43</v>
      </c>
      <c r="X315">
        <v>11</v>
      </c>
      <c r="Y315">
        <v>3</v>
      </c>
      <c r="Z315">
        <v>2</v>
      </c>
      <c r="AA315">
        <v>80</v>
      </c>
      <c r="AB315">
        <v>2</v>
      </c>
      <c r="AC315">
        <v>12</v>
      </c>
      <c r="AD315">
        <v>2</v>
      </c>
      <c r="AE315">
        <v>3</v>
      </c>
      <c r="AF315">
        <v>10</v>
      </c>
      <c r="AG315">
        <v>6</v>
      </c>
      <c r="AH315">
        <v>8</v>
      </c>
      <c r="AI315">
        <v>8</v>
      </c>
      <c r="AJ315" s="2">
        <f>IF(tblHR[[#This Row],[Attrition]]="Yes",1,0)</f>
        <v>0</v>
      </c>
      <c r="AK315" t="str">
        <f>IF(tblHR[[#This Row],[Age]]&lt;26,"18-25",IF(tblHR[[#This Row],[Age]]&lt;36,"26-35",IF(tblHR[[#This Row],[Age]]&lt;46,"36-45",IF(tblHR[[#This Row],[Age]]&lt;56,"46-55","56+"))))</f>
        <v>26-35</v>
      </c>
    </row>
    <row r="316" spans="1:37"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s="1">
        <v>17068</v>
      </c>
      <c r="T316">
        <v>5355</v>
      </c>
      <c r="U316">
        <v>1</v>
      </c>
      <c r="V316" t="s">
        <v>42</v>
      </c>
      <c r="W316" t="s">
        <v>35</v>
      </c>
      <c r="X316">
        <v>14</v>
      </c>
      <c r="Y316">
        <v>3</v>
      </c>
      <c r="Z316">
        <v>4</v>
      </c>
      <c r="AA316">
        <v>80</v>
      </c>
      <c r="AB316">
        <v>0</v>
      </c>
      <c r="AC316">
        <v>21</v>
      </c>
      <c r="AD316">
        <v>3</v>
      </c>
      <c r="AE316">
        <v>3</v>
      </c>
      <c r="AF316">
        <v>21</v>
      </c>
      <c r="AG316">
        <v>9</v>
      </c>
      <c r="AH316">
        <v>11</v>
      </c>
      <c r="AI316">
        <v>10</v>
      </c>
      <c r="AJ316" s="2">
        <f>IF(tblHR[[#This Row],[Attrition]]="Yes",1,0)</f>
        <v>0</v>
      </c>
      <c r="AK316" t="str">
        <f>IF(tblHR[[#This Row],[Age]]&lt;26,"18-25",IF(tblHR[[#This Row],[Age]]&lt;36,"26-35",IF(tblHR[[#This Row],[Age]]&lt;46,"36-45",IF(tblHR[[#This Row],[Age]]&lt;56,"46-55","56+"))))</f>
        <v>36-45</v>
      </c>
    </row>
    <row r="317" spans="1:37"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s="1">
        <v>2455</v>
      </c>
      <c r="T317">
        <v>10675</v>
      </c>
      <c r="U317">
        <v>0</v>
      </c>
      <c r="V317" t="s">
        <v>42</v>
      </c>
      <c r="W317" t="s">
        <v>43</v>
      </c>
      <c r="X317">
        <v>19</v>
      </c>
      <c r="Y317">
        <v>3</v>
      </c>
      <c r="Z317">
        <v>1</v>
      </c>
      <c r="AA317">
        <v>80</v>
      </c>
      <c r="AB317">
        <v>0</v>
      </c>
      <c r="AC317">
        <v>9</v>
      </c>
      <c r="AD317">
        <v>5</v>
      </c>
      <c r="AE317">
        <v>3</v>
      </c>
      <c r="AF317">
        <v>8</v>
      </c>
      <c r="AG317">
        <v>7</v>
      </c>
      <c r="AH317">
        <v>1</v>
      </c>
      <c r="AI317">
        <v>7</v>
      </c>
      <c r="AJ317" s="2">
        <f>IF(tblHR[[#This Row],[Attrition]]="Yes",1,0)</f>
        <v>0</v>
      </c>
      <c r="AK317" t="str">
        <f>IF(tblHR[[#This Row],[Age]]&lt;26,"18-25",IF(tblHR[[#This Row],[Age]]&lt;36,"26-35",IF(tblHR[[#This Row],[Age]]&lt;46,"36-45",IF(tblHR[[#This Row],[Age]]&lt;56,"46-55","56+"))))</f>
        <v>36-45</v>
      </c>
    </row>
    <row r="318" spans="1:37"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s="1">
        <v>13964</v>
      </c>
      <c r="T318">
        <v>17810</v>
      </c>
      <c r="U318">
        <v>7</v>
      </c>
      <c r="V318" t="s">
        <v>42</v>
      </c>
      <c r="W318" t="s">
        <v>35</v>
      </c>
      <c r="X318">
        <v>12</v>
      </c>
      <c r="Y318">
        <v>3</v>
      </c>
      <c r="Z318">
        <v>4</v>
      </c>
      <c r="AA318">
        <v>80</v>
      </c>
      <c r="AB318">
        <v>0</v>
      </c>
      <c r="AC318">
        <v>25</v>
      </c>
      <c r="AD318">
        <v>2</v>
      </c>
      <c r="AE318">
        <v>3</v>
      </c>
      <c r="AF318">
        <v>7</v>
      </c>
      <c r="AG318">
        <v>1</v>
      </c>
      <c r="AH318">
        <v>0</v>
      </c>
      <c r="AI318">
        <v>7</v>
      </c>
      <c r="AJ318" s="2">
        <f>IF(tblHR[[#This Row],[Attrition]]="Yes",1,0)</f>
        <v>0</v>
      </c>
      <c r="AK318" t="str">
        <f>IF(tblHR[[#This Row],[Age]]&lt;26,"18-25",IF(tblHR[[#This Row],[Age]]&lt;36,"26-35",IF(tblHR[[#This Row],[Age]]&lt;46,"36-45",IF(tblHR[[#This Row],[Age]]&lt;56,"46-55","56+"))))</f>
        <v>46-55</v>
      </c>
    </row>
    <row r="319" spans="1:37"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s="1">
        <v>4941</v>
      </c>
      <c r="T319">
        <v>17747</v>
      </c>
      <c r="U319">
        <v>2</v>
      </c>
      <c r="V319" t="s">
        <v>42</v>
      </c>
      <c r="W319" t="s">
        <v>43</v>
      </c>
      <c r="X319">
        <v>15</v>
      </c>
      <c r="Y319">
        <v>3</v>
      </c>
      <c r="Z319">
        <v>1</v>
      </c>
      <c r="AA319">
        <v>80</v>
      </c>
      <c r="AB319">
        <v>0</v>
      </c>
      <c r="AC319">
        <v>11</v>
      </c>
      <c r="AD319">
        <v>3</v>
      </c>
      <c r="AE319">
        <v>2</v>
      </c>
      <c r="AF319">
        <v>8</v>
      </c>
      <c r="AG319">
        <v>2</v>
      </c>
      <c r="AH319">
        <v>7</v>
      </c>
      <c r="AI319">
        <v>7</v>
      </c>
      <c r="AJ319" s="2">
        <f>IF(tblHR[[#This Row],[Attrition]]="Yes",1,0)</f>
        <v>1</v>
      </c>
      <c r="AK319" t="str">
        <f>IF(tblHR[[#This Row],[Age]]&lt;26,"18-25",IF(tblHR[[#This Row],[Age]]&lt;36,"26-35",IF(tblHR[[#This Row],[Age]]&lt;46,"36-45",IF(tblHR[[#This Row],[Age]]&lt;56,"46-55","56+"))))</f>
        <v>46-55</v>
      </c>
    </row>
    <row r="320" spans="1:37"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s="1">
        <v>2478</v>
      </c>
      <c r="T320">
        <v>20938</v>
      </c>
      <c r="U320">
        <v>1</v>
      </c>
      <c r="V320" t="s">
        <v>42</v>
      </c>
      <c r="W320" t="s">
        <v>35</v>
      </c>
      <c r="X320">
        <v>12</v>
      </c>
      <c r="Y320">
        <v>3</v>
      </c>
      <c r="Z320">
        <v>2</v>
      </c>
      <c r="AA320">
        <v>80</v>
      </c>
      <c r="AB320">
        <v>0</v>
      </c>
      <c r="AC320">
        <v>4</v>
      </c>
      <c r="AD320">
        <v>2</v>
      </c>
      <c r="AE320">
        <v>2</v>
      </c>
      <c r="AF320">
        <v>4</v>
      </c>
      <c r="AG320">
        <v>3</v>
      </c>
      <c r="AH320">
        <v>1</v>
      </c>
      <c r="AI320">
        <v>2</v>
      </c>
      <c r="AJ320" s="2">
        <f>IF(tblHR[[#This Row],[Attrition]]="Yes",1,0)</f>
        <v>0</v>
      </c>
      <c r="AK320" t="str">
        <f>IF(tblHR[[#This Row],[Age]]&lt;26,"18-25",IF(tblHR[[#This Row],[Age]]&lt;36,"26-35",IF(tblHR[[#This Row],[Age]]&lt;46,"36-45",IF(tblHR[[#This Row],[Age]]&lt;56,"46-55","56+"))))</f>
        <v>26-35</v>
      </c>
    </row>
    <row r="321" spans="1:37"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s="1">
        <v>5228</v>
      </c>
      <c r="T321">
        <v>24624</v>
      </c>
      <c r="U321">
        <v>1</v>
      </c>
      <c r="V321" t="s">
        <v>42</v>
      </c>
      <c r="W321" t="s">
        <v>35</v>
      </c>
      <c r="X321">
        <v>11</v>
      </c>
      <c r="Y321">
        <v>3</v>
      </c>
      <c r="Z321">
        <v>4</v>
      </c>
      <c r="AA321">
        <v>80</v>
      </c>
      <c r="AB321">
        <v>0</v>
      </c>
      <c r="AC321">
        <v>13</v>
      </c>
      <c r="AD321">
        <v>2</v>
      </c>
      <c r="AE321">
        <v>3</v>
      </c>
      <c r="AF321">
        <v>13</v>
      </c>
      <c r="AG321">
        <v>12</v>
      </c>
      <c r="AH321">
        <v>11</v>
      </c>
      <c r="AI321">
        <v>9</v>
      </c>
      <c r="AJ321" s="2">
        <f>IF(tblHR[[#This Row],[Attrition]]="Yes",1,0)</f>
        <v>0</v>
      </c>
      <c r="AK321" t="str">
        <f>IF(tblHR[[#This Row],[Age]]&lt;26,"18-25",IF(tblHR[[#This Row],[Age]]&lt;36,"26-35",IF(tblHR[[#This Row],[Age]]&lt;46,"36-45",IF(tblHR[[#This Row],[Age]]&lt;56,"46-55","56+"))))</f>
        <v>26-35</v>
      </c>
    </row>
    <row r="322" spans="1:37"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s="1">
        <v>4478</v>
      </c>
      <c r="T322">
        <v>5242</v>
      </c>
      <c r="U322">
        <v>1</v>
      </c>
      <c r="V322" t="s">
        <v>42</v>
      </c>
      <c r="W322" t="s">
        <v>35</v>
      </c>
      <c r="X322">
        <v>11</v>
      </c>
      <c r="Y322">
        <v>3</v>
      </c>
      <c r="Z322">
        <v>1</v>
      </c>
      <c r="AA322">
        <v>80</v>
      </c>
      <c r="AB322">
        <v>0</v>
      </c>
      <c r="AC322">
        <v>5</v>
      </c>
      <c r="AD322">
        <v>3</v>
      </c>
      <c r="AE322">
        <v>3</v>
      </c>
      <c r="AF322">
        <v>5</v>
      </c>
      <c r="AG322">
        <v>4</v>
      </c>
      <c r="AH322">
        <v>0</v>
      </c>
      <c r="AI322">
        <v>4</v>
      </c>
      <c r="AJ322" s="2">
        <f>IF(tblHR[[#This Row],[Attrition]]="Yes",1,0)</f>
        <v>0</v>
      </c>
      <c r="AK322" t="str">
        <f>IF(tblHR[[#This Row],[Age]]&lt;26,"18-25",IF(tblHR[[#This Row],[Age]]&lt;36,"26-35",IF(tblHR[[#This Row],[Age]]&lt;46,"36-45",IF(tblHR[[#This Row],[Age]]&lt;56,"46-55","56+"))))</f>
        <v>26-35</v>
      </c>
    </row>
    <row r="323" spans="1:37"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s="1">
        <v>7547</v>
      </c>
      <c r="T323">
        <v>7143</v>
      </c>
      <c r="U323">
        <v>4</v>
      </c>
      <c r="V323" t="s">
        <v>42</v>
      </c>
      <c r="W323" t="s">
        <v>43</v>
      </c>
      <c r="X323">
        <v>12</v>
      </c>
      <c r="Y323">
        <v>3</v>
      </c>
      <c r="Z323">
        <v>4</v>
      </c>
      <c r="AA323">
        <v>80</v>
      </c>
      <c r="AB323">
        <v>3</v>
      </c>
      <c r="AC323">
        <v>13</v>
      </c>
      <c r="AD323">
        <v>3</v>
      </c>
      <c r="AE323">
        <v>3</v>
      </c>
      <c r="AF323">
        <v>7</v>
      </c>
      <c r="AG323">
        <v>7</v>
      </c>
      <c r="AH323">
        <v>1</v>
      </c>
      <c r="AI323">
        <v>7</v>
      </c>
      <c r="AJ323" s="2">
        <f>IF(tblHR[[#This Row],[Attrition]]="Yes",1,0)</f>
        <v>0</v>
      </c>
      <c r="AK323" t="str">
        <f>IF(tblHR[[#This Row],[Age]]&lt;26,"18-25",IF(tblHR[[#This Row],[Age]]&lt;36,"26-35",IF(tblHR[[#This Row],[Age]]&lt;46,"36-45",IF(tblHR[[#This Row],[Age]]&lt;56,"46-55","56+"))))</f>
        <v>26-35</v>
      </c>
    </row>
    <row r="324" spans="1:37"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s="1">
        <v>5055</v>
      </c>
      <c r="T324">
        <v>10557</v>
      </c>
      <c r="U324">
        <v>7</v>
      </c>
      <c r="V324" t="s">
        <v>42</v>
      </c>
      <c r="W324" t="s">
        <v>43</v>
      </c>
      <c r="X324">
        <v>16</v>
      </c>
      <c r="Y324">
        <v>3</v>
      </c>
      <c r="Z324">
        <v>3</v>
      </c>
      <c r="AA324">
        <v>80</v>
      </c>
      <c r="AB324">
        <v>0</v>
      </c>
      <c r="AC324">
        <v>10</v>
      </c>
      <c r="AD324">
        <v>0</v>
      </c>
      <c r="AE324">
        <v>2</v>
      </c>
      <c r="AF324">
        <v>7</v>
      </c>
      <c r="AG324">
        <v>7</v>
      </c>
      <c r="AH324">
        <v>0</v>
      </c>
      <c r="AI324">
        <v>7</v>
      </c>
      <c r="AJ324" s="2">
        <f>IF(tblHR[[#This Row],[Attrition]]="Yes",1,0)</f>
        <v>0</v>
      </c>
      <c r="AK324" t="str">
        <f>IF(tblHR[[#This Row],[Age]]&lt;26,"18-25",IF(tblHR[[#This Row],[Age]]&lt;36,"26-35",IF(tblHR[[#This Row],[Age]]&lt;46,"36-45",IF(tblHR[[#This Row],[Age]]&lt;56,"46-55","56+"))))</f>
        <v>26-35</v>
      </c>
    </row>
    <row r="325" spans="1:37"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s="1">
        <v>3464</v>
      </c>
      <c r="T325">
        <v>24737</v>
      </c>
      <c r="U325">
        <v>5</v>
      </c>
      <c r="V325" t="s">
        <v>42</v>
      </c>
      <c r="W325" t="s">
        <v>35</v>
      </c>
      <c r="X325">
        <v>13</v>
      </c>
      <c r="Y325">
        <v>3</v>
      </c>
      <c r="Z325">
        <v>4</v>
      </c>
      <c r="AA325">
        <v>80</v>
      </c>
      <c r="AB325">
        <v>0</v>
      </c>
      <c r="AC325">
        <v>5</v>
      </c>
      <c r="AD325">
        <v>4</v>
      </c>
      <c r="AE325">
        <v>2</v>
      </c>
      <c r="AF325">
        <v>3</v>
      </c>
      <c r="AG325">
        <v>2</v>
      </c>
      <c r="AH325">
        <v>2</v>
      </c>
      <c r="AI325">
        <v>2</v>
      </c>
      <c r="AJ325" s="2">
        <f>IF(tblHR[[#This Row],[Attrition]]="Yes",1,0)</f>
        <v>1</v>
      </c>
      <c r="AK325" t="str">
        <f>IF(tblHR[[#This Row],[Age]]&lt;26,"18-25",IF(tblHR[[#This Row],[Age]]&lt;36,"26-35",IF(tblHR[[#This Row],[Age]]&lt;46,"36-45",IF(tblHR[[#This Row],[Age]]&lt;56,"46-55","56+"))))</f>
        <v>26-35</v>
      </c>
    </row>
    <row r="326" spans="1:37"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s="1">
        <v>5775</v>
      </c>
      <c r="T326">
        <v>11934</v>
      </c>
      <c r="U326">
        <v>1</v>
      </c>
      <c r="V326" t="s">
        <v>42</v>
      </c>
      <c r="W326" t="s">
        <v>43</v>
      </c>
      <c r="X326">
        <v>13</v>
      </c>
      <c r="Y326">
        <v>3</v>
      </c>
      <c r="Z326">
        <v>4</v>
      </c>
      <c r="AA326">
        <v>80</v>
      </c>
      <c r="AB326">
        <v>2</v>
      </c>
      <c r="AC326">
        <v>11</v>
      </c>
      <c r="AD326">
        <v>2</v>
      </c>
      <c r="AE326">
        <v>3</v>
      </c>
      <c r="AF326">
        <v>10</v>
      </c>
      <c r="AG326">
        <v>8</v>
      </c>
      <c r="AH326">
        <v>1</v>
      </c>
      <c r="AI326">
        <v>9</v>
      </c>
      <c r="AJ326" s="2">
        <f>IF(tblHR[[#This Row],[Attrition]]="Yes",1,0)</f>
        <v>0</v>
      </c>
      <c r="AK326" t="str">
        <f>IF(tblHR[[#This Row],[Age]]&lt;26,"18-25",IF(tblHR[[#This Row],[Age]]&lt;36,"26-35",IF(tblHR[[#This Row],[Age]]&lt;46,"36-45",IF(tblHR[[#This Row],[Age]]&lt;56,"46-55","56+"))))</f>
        <v>26-35</v>
      </c>
    </row>
    <row r="327" spans="1:37"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s="1">
        <v>8943</v>
      </c>
      <c r="T327">
        <v>14034</v>
      </c>
      <c r="U327">
        <v>1</v>
      </c>
      <c r="V327" t="s">
        <v>42</v>
      </c>
      <c r="W327" t="s">
        <v>43</v>
      </c>
      <c r="X327">
        <v>24</v>
      </c>
      <c r="Y327">
        <v>4</v>
      </c>
      <c r="Z327">
        <v>1</v>
      </c>
      <c r="AA327">
        <v>80</v>
      </c>
      <c r="AB327">
        <v>1</v>
      </c>
      <c r="AC327">
        <v>10</v>
      </c>
      <c r="AD327">
        <v>2</v>
      </c>
      <c r="AE327">
        <v>3</v>
      </c>
      <c r="AF327">
        <v>10</v>
      </c>
      <c r="AG327">
        <v>9</v>
      </c>
      <c r="AH327">
        <v>8</v>
      </c>
      <c r="AI327">
        <v>9</v>
      </c>
      <c r="AJ327" s="2">
        <f>IF(tblHR[[#This Row],[Attrition]]="Yes",1,0)</f>
        <v>0</v>
      </c>
      <c r="AK327" t="str">
        <f>IF(tblHR[[#This Row],[Age]]&lt;26,"18-25",IF(tblHR[[#This Row],[Age]]&lt;36,"26-35",IF(tblHR[[#This Row],[Age]]&lt;46,"36-45",IF(tblHR[[#This Row],[Age]]&lt;56,"46-55","56+"))))</f>
        <v>26-35</v>
      </c>
    </row>
    <row r="328" spans="1:37"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s="1">
        <v>19272</v>
      </c>
      <c r="T328">
        <v>21141</v>
      </c>
      <c r="U328">
        <v>1</v>
      </c>
      <c r="V328" t="s">
        <v>42</v>
      </c>
      <c r="W328" t="s">
        <v>43</v>
      </c>
      <c r="X328">
        <v>15</v>
      </c>
      <c r="Y328">
        <v>3</v>
      </c>
      <c r="Z328">
        <v>1</v>
      </c>
      <c r="AA328">
        <v>80</v>
      </c>
      <c r="AB328">
        <v>1</v>
      </c>
      <c r="AC328">
        <v>21</v>
      </c>
      <c r="AD328">
        <v>2</v>
      </c>
      <c r="AE328">
        <v>3</v>
      </c>
      <c r="AF328">
        <v>21</v>
      </c>
      <c r="AG328">
        <v>9</v>
      </c>
      <c r="AH328">
        <v>13</v>
      </c>
      <c r="AI328">
        <v>3</v>
      </c>
      <c r="AJ328" s="2">
        <f>IF(tblHR[[#This Row],[Attrition]]="Yes",1,0)</f>
        <v>0</v>
      </c>
      <c r="AK328" t="str">
        <f>IF(tblHR[[#This Row],[Age]]&lt;26,"18-25",IF(tblHR[[#This Row],[Age]]&lt;36,"26-35",IF(tblHR[[#This Row],[Age]]&lt;46,"36-45",IF(tblHR[[#This Row],[Age]]&lt;56,"46-55","56+"))))</f>
        <v>36-45</v>
      </c>
    </row>
    <row r="329" spans="1:37"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s="1">
        <v>5238</v>
      </c>
      <c r="T329">
        <v>17778</v>
      </c>
      <c r="U329">
        <v>4</v>
      </c>
      <c r="V329" t="s">
        <v>42</v>
      </c>
      <c r="W329" t="s">
        <v>35</v>
      </c>
      <c r="X329">
        <v>18</v>
      </c>
      <c r="Y329">
        <v>3</v>
      </c>
      <c r="Z329">
        <v>1</v>
      </c>
      <c r="AA329">
        <v>80</v>
      </c>
      <c r="AB329">
        <v>0</v>
      </c>
      <c r="AC329">
        <v>12</v>
      </c>
      <c r="AD329">
        <v>3</v>
      </c>
      <c r="AE329">
        <v>2</v>
      </c>
      <c r="AF329">
        <v>1</v>
      </c>
      <c r="AG329">
        <v>0</v>
      </c>
      <c r="AH329">
        <v>0</v>
      </c>
      <c r="AI329">
        <v>0</v>
      </c>
      <c r="AJ329" s="2">
        <f>IF(tblHR[[#This Row],[Attrition]]="Yes",1,0)</f>
        <v>1</v>
      </c>
      <c r="AK329" t="str">
        <f>IF(tblHR[[#This Row],[Age]]&lt;26,"18-25",IF(tblHR[[#This Row],[Age]]&lt;36,"26-35",IF(tblHR[[#This Row],[Age]]&lt;46,"36-45",IF(tblHR[[#This Row],[Age]]&lt;56,"46-55","56+"))))</f>
        <v>36-45</v>
      </c>
    </row>
    <row r="330" spans="1:37"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s="1">
        <v>4682</v>
      </c>
      <c r="T330">
        <v>4317</v>
      </c>
      <c r="U330">
        <v>3</v>
      </c>
      <c r="V330" t="s">
        <v>42</v>
      </c>
      <c r="W330" t="s">
        <v>43</v>
      </c>
      <c r="X330">
        <v>14</v>
      </c>
      <c r="Y330">
        <v>3</v>
      </c>
      <c r="Z330">
        <v>3</v>
      </c>
      <c r="AA330">
        <v>80</v>
      </c>
      <c r="AB330">
        <v>0</v>
      </c>
      <c r="AC330">
        <v>9</v>
      </c>
      <c r="AD330">
        <v>6</v>
      </c>
      <c r="AE330">
        <v>2</v>
      </c>
      <c r="AF330">
        <v>7</v>
      </c>
      <c r="AG330">
        <v>7</v>
      </c>
      <c r="AH330">
        <v>0</v>
      </c>
      <c r="AI330">
        <v>1</v>
      </c>
      <c r="AJ330" s="2">
        <f>IF(tblHR[[#This Row],[Attrition]]="Yes",1,0)</f>
        <v>0</v>
      </c>
      <c r="AK330" t="str">
        <f>IF(tblHR[[#This Row],[Age]]&lt;26,"18-25",IF(tblHR[[#This Row],[Age]]&lt;36,"26-35",IF(tblHR[[#This Row],[Age]]&lt;46,"36-45",IF(tblHR[[#This Row],[Age]]&lt;56,"46-55","56+"))))</f>
        <v>26-35</v>
      </c>
    </row>
    <row r="331" spans="1:37"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s="1">
        <v>18300</v>
      </c>
      <c r="T331">
        <v>16375</v>
      </c>
      <c r="U331">
        <v>4</v>
      </c>
      <c r="V331" t="s">
        <v>42</v>
      </c>
      <c r="W331" t="s">
        <v>43</v>
      </c>
      <c r="X331">
        <v>11</v>
      </c>
      <c r="Y331">
        <v>3</v>
      </c>
      <c r="Z331">
        <v>2</v>
      </c>
      <c r="AA331">
        <v>80</v>
      </c>
      <c r="AB331">
        <v>1</v>
      </c>
      <c r="AC331">
        <v>21</v>
      </c>
      <c r="AD331">
        <v>2</v>
      </c>
      <c r="AE331">
        <v>3</v>
      </c>
      <c r="AF331">
        <v>3</v>
      </c>
      <c r="AG331">
        <v>2</v>
      </c>
      <c r="AH331">
        <v>1</v>
      </c>
      <c r="AI331">
        <v>1</v>
      </c>
      <c r="AJ331" s="2">
        <f>IF(tblHR[[#This Row],[Attrition]]="Yes",1,0)</f>
        <v>0</v>
      </c>
      <c r="AK331" t="str">
        <f>IF(tblHR[[#This Row],[Age]]&lt;26,"18-25",IF(tblHR[[#This Row],[Age]]&lt;36,"26-35",IF(tblHR[[#This Row],[Age]]&lt;46,"36-45",IF(tblHR[[#This Row],[Age]]&lt;56,"46-55","56+"))))</f>
        <v>46-55</v>
      </c>
    </row>
    <row r="332" spans="1:37"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s="1">
        <v>5257</v>
      </c>
      <c r="T332">
        <v>6227</v>
      </c>
      <c r="U332">
        <v>1</v>
      </c>
      <c r="V332" t="s">
        <v>42</v>
      </c>
      <c r="W332" t="s">
        <v>43</v>
      </c>
      <c r="X332">
        <v>11</v>
      </c>
      <c r="Y332">
        <v>3</v>
      </c>
      <c r="Z332">
        <v>2</v>
      </c>
      <c r="AA332">
        <v>80</v>
      </c>
      <c r="AB332">
        <v>1</v>
      </c>
      <c r="AC332">
        <v>9</v>
      </c>
      <c r="AD332">
        <v>3</v>
      </c>
      <c r="AE332">
        <v>4</v>
      </c>
      <c r="AF332">
        <v>9</v>
      </c>
      <c r="AG332">
        <v>7</v>
      </c>
      <c r="AH332">
        <v>0</v>
      </c>
      <c r="AI332">
        <v>0</v>
      </c>
      <c r="AJ332" s="2">
        <f>IF(tblHR[[#This Row],[Attrition]]="Yes",1,0)</f>
        <v>0</v>
      </c>
      <c r="AK332" t="str">
        <f>IF(tblHR[[#This Row],[Age]]&lt;26,"18-25",IF(tblHR[[#This Row],[Age]]&lt;36,"26-35",IF(tblHR[[#This Row],[Age]]&lt;46,"36-45",IF(tblHR[[#This Row],[Age]]&lt;56,"46-55","56+"))))</f>
        <v>36-45</v>
      </c>
    </row>
    <row r="333" spans="1:37"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s="1">
        <v>6349</v>
      </c>
      <c r="T333">
        <v>22107</v>
      </c>
      <c r="U333">
        <v>0</v>
      </c>
      <c r="V333" t="s">
        <v>42</v>
      </c>
      <c r="W333" t="s">
        <v>35</v>
      </c>
      <c r="X333">
        <v>13</v>
      </c>
      <c r="Y333">
        <v>3</v>
      </c>
      <c r="Z333">
        <v>4</v>
      </c>
      <c r="AA333">
        <v>80</v>
      </c>
      <c r="AB333">
        <v>1</v>
      </c>
      <c r="AC333">
        <v>6</v>
      </c>
      <c r="AD333">
        <v>0</v>
      </c>
      <c r="AE333">
        <v>3</v>
      </c>
      <c r="AF333">
        <v>5</v>
      </c>
      <c r="AG333">
        <v>4</v>
      </c>
      <c r="AH333">
        <v>1</v>
      </c>
      <c r="AI333">
        <v>4</v>
      </c>
      <c r="AJ333" s="2">
        <f>IF(tblHR[[#This Row],[Attrition]]="Yes",1,0)</f>
        <v>0</v>
      </c>
      <c r="AK333" t="str">
        <f>IF(tblHR[[#This Row],[Age]]&lt;26,"18-25",IF(tblHR[[#This Row],[Age]]&lt;36,"26-35",IF(tblHR[[#This Row],[Age]]&lt;46,"36-45",IF(tblHR[[#This Row],[Age]]&lt;56,"46-55","56+"))))</f>
        <v>26-35</v>
      </c>
    </row>
    <row r="334" spans="1:37"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s="1">
        <v>4869</v>
      </c>
      <c r="T334">
        <v>16885</v>
      </c>
      <c r="U334">
        <v>3</v>
      </c>
      <c r="V334" t="s">
        <v>42</v>
      </c>
      <c r="W334" t="s">
        <v>43</v>
      </c>
      <c r="X334">
        <v>12</v>
      </c>
      <c r="Y334">
        <v>3</v>
      </c>
      <c r="Z334">
        <v>4</v>
      </c>
      <c r="AA334">
        <v>80</v>
      </c>
      <c r="AB334">
        <v>0</v>
      </c>
      <c r="AC334">
        <v>20</v>
      </c>
      <c r="AD334">
        <v>4</v>
      </c>
      <c r="AE334">
        <v>2</v>
      </c>
      <c r="AF334">
        <v>4</v>
      </c>
      <c r="AG334">
        <v>3</v>
      </c>
      <c r="AH334">
        <v>0</v>
      </c>
      <c r="AI334">
        <v>3</v>
      </c>
      <c r="AJ334" s="2">
        <f>IF(tblHR[[#This Row],[Attrition]]="Yes",1,0)</f>
        <v>0</v>
      </c>
      <c r="AK334" t="str">
        <f>IF(tblHR[[#This Row],[Age]]&lt;26,"18-25",IF(tblHR[[#This Row],[Age]]&lt;36,"26-35",IF(tblHR[[#This Row],[Age]]&lt;46,"36-45",IF(tblHR[[#This Row],[Age]]&lt;56,"46-55","56+"))))</f>
        <v>46-55</v>
      </c>
    </row>
    <row r="335" spans="1:37"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s="1">
        <v>9985</v>
      </c>
      <c r="T335">
        <v>9262</v>
      </c>
      <c r="U335">
        <v>8</v>
      </c>
      <c r="V335" t="s">
        <v>42</v>
      </c>
      <c r="W335" t="s">
        <v>43</v>
      </c>
      <c r="X335">
        <v>16</v>
      </c>
      <c r="Y335">
        <v>3</v>
      </c>
      <c r="Z335">
        <v>1</v>
      </c>
      <c r="AA335">
        <v>80</v>
      </c>
      <c r="AB335">
        <v>1</v>
      </c>
      <c r="AC335">
        <v>10</v>
      </c>
      <c r="AD335">
        <v>1</v>
      </c>
      <c r="AE335">
        <v>2</v>
      </c>
      <c r="AF335">
        <v>1</v>
      </c>
      <c r="AG335">
        <v>0</v>
      </c>
      <c r="AH335">
        <v>0</v>
      </c>
      <c r="AI335">
        <v>0</v>
      </c>
      <c r="AJ335" s="2">
        <f>IF(tblHR[[#This Row],[Attrition]]="Yes",1,0)</f>
        <v>0</v>
      </c>
      <c r="AK335" t="str">
        <f>IF(tblHR[[#This Row],[Age]]&lt;26,"18-25",IF(tblHR[[#This Row],[Age]]&lt;36,"26-35",IF(tblHR[[#This Row],[Age]]&lt;46,"36-45",IF(tblHR[[#This Row],[Age]]&lt;56,"46-55","56+"))))</f>
        <v>36-45</v>
      </c>
    </row>
    <row r="336" spans="1:37"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s="1">
        <v>3697</v>
      </c>
      <c r="T336">
        <v>9278</v>
      </c>
      <c r="U336">
        <v>9</v>
      </c>
      <c r="V336" t="s">
        <v>42</v>
      </c>
      <c r="W336" t="s">
        <v>43</v>
      </c>
      <c r="X336">
        <v>14</v>
      </c>
      <c r="Y336">
        <v>3</v>
      </c>
      <c r="Z336">
        <v>1</v>
      </c>
      <c r="AA336">
        <v>80</v>
      </c>
      <c r="AB336">
        <v>2</v>
      </c>
      <c r="AC336">
        <v>12</v>
      </c>
      <c r="AD336">
        <v>3</v>
      </c>
      <c r="AE336">
        <v>3</v>
      </c>
      <c r="AF336">
        <v>10</v>
      </c>
      <c r="AG336">
        <v>9</v>
      </c>
      <c r="AH336">
        <v>9</v>
      </c>
      <c r="AI336">
        <v>8</v>
      </c>
      <c r="AJ336" s="2">
        <f>IF(tblHR[[#This Row],[Attrition]]="Yes",1,0)</f>
        <v>0</v>
      </c>
      <c r="AK336" t="str">
        <f>IF(tblHR[[#This Row],[Age]]&lt;26,"18-25",IF(tblHR[[#This Row],[Age]]&lt;36,"26-35",IF(tblHR[[#This Row],[Age]]&lt;46,"36-45",IF(tblHR[[#This Row],[Age]]&lt;56,"46-55","56+"))))</f>
        <v>36-45</v>
      </c>
    </row>
    <row r="337" spans="1:37"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s="1">
        <v>7457</v>
      </c>
      <c r="T337">
        <v>13273</v>
      </c>
      <c r="U337">
        <v>2</v>
      </c>
      <c r="V337" t="s">
        <v>42</v>
      </c>
      <c r="W337" t="s">
        <v>35</v>
      </c>
      <c r="X337">
        <v>22</v>
      </c>
      <c r="Y337">
        <v>4</v>
      </c>
      <c r="Z337">
        <v>3</v>
      </c>
      <c r="AA337">
        <v>80</v>
      </c>
      <c r="AB337">
        <v>3</v>
      </c>
      <c r="AC337">
        <v>6</v>
      </c>
      <c r="AD337">
        <v>2</v>
      </c>
      <c r="AE337">
        <v>2</v>
      </c>
      <c r="AF337">
        <v>4</v>
      </c>
      <c r="AG337">
        <v>3</v>
      </c>
      <c r="AH337">
        <v>0</v>
      </c>
      <c r="AI337">
        <v>2</v>
      </c>
      <c r="AJ337" s="2">
        <f>IF(tblHR[[#This Row],[Attrition]]="Yes",1,0)</f>
        <v>0</v>
      </c>
      <c r="AK337" t="str">
        <f>IF(tblHR[[#This Row],[Age]]&lt;26,"18-25",IF(tblHR[[#This Row],[Age]]&lt;36,"26-35",IF(tblHR[[#This Row],[Age]]&lt;46,"36-45",IF(tblHR[[#This Row],[Age]]&lt;56,"46-55","56+"))))</f>
        <v>36-45</v>
      </c>
    </row>
    <row r="338" spans="1:37"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s="1">
        <v>2119</v>
      </c>
      <c r="T338">
        <v>4759</v>
      </c>
      <c r="U338">
        <v>1</v>
      </c>
      <c r="V338" t="s">
        <v>42</v>
      </c>
      <c r="W338" t="s">
        <v>35</v>
      </c>
      <c r="X338">
        <v>11</v>
      </c>
      <c r="Y338">
        <v>3</v>
      </c>
      <c r="Z338">
        <v>4</v>
      </c>
      <c r="AA338">
        <v>80</v>
      </c>
      <c r="AB338">
        <v>0</v>
      </c>
      <c r="AC338">
        <v>7</v>
      </c>
      <c r="AD338">
        <v>4</v>
      </c>
      <c r="AE338">
        <v>2</v>
      </c>
      <c r="AF338">
        <v>7</v>
      </c>
      <c r="AG338">
        <v>7</v>
      </c>
      <c r="AH338">
        <v>0</v>
      </c>
      <c r="AI338">
        <v>7</v>
      </c>
      <c r="AJ338" s="2">
        <f>IF(tblHR[[#This Row],[Attrition]]="Yes",1,0)</f>
        <v>1</v>
      </c>
      <c r="AK338" t="str">
        <f>IF(tblHR[[#This Row],[Age]]&lt;26,"18-25",IF(tblHR[[#This Row],[Age]]&lt;36,"26-35",IF(tblHR[[#This Row],[Age]]&lt;46,"36-45",IF(tblHR[[#This Row],[Age]]&lt;56,"46-55","56+"))))</f>
        <v>26-35</v>
      </c>
    </row>
    <row r="339" spans="1:37"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s="1">
        <v>3983</v>
      </c>
      <c r="T339">
        <v>7621</v>
      </c>
      <c r="U339">
        <v>0</v>
      </c>
      <c r="V339" t="s">
        <v>42</v>
      </c>
      <c r="W339" t="s">
        <v>43</v>
      </c>
      <c r="X339">
        <v>17</v>
      </c>
      <c r="Y339">
        <v>3</v>
      </c>
      <c r="Z339">
        <v>3</v>
      </c>
      <c r="AA339">
        <v>80</v>
      </c>
      <c r="AB339">
        <v>0</v>
      </c>
      <c r="AC339">
        <v>4</v>
      </c>
      <c r="AD339">
        <v>2</v>
      </c>
      <c r="AE339">
        <v>3</v>
      </c>
      <c r="AF339">
        <v>3</v>
      </c>
      <c r="AG339">
        <v>2</v>
      </c>
      <c r="AH339">
        <v>2</v>
      </c>
      <c r="AI339">
        <v>2</v>
      </c>
      <c r="AJ339" s="2">
        <f>IF(tblHR[[#This Row],[Attrition]]="Yes",1,0)</f>
        <v>0</v>
      </c>
      <c r="AK339" t="str">
        <f>IF(tblHR[[#This Row],[Age]]&lt;26,"18-25",IF(tblHR[[#This Row],[Age]]&lt;36,"26-35",IF(tblHR[[#This Row],[Age]]&lt;46,"36-45",IF(tblHR[[#This Row],[Age]]&lt;56,"46-55","56+"))))</f>
        <v>26-35</v>
      </c>
    </row>
    <row r="340" spans="1:37"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s="1">
        <v>6118</v>
      </c>
      <c r="T340">
        <v>5431</v>
      </c>
      <c r="U340">
        <v>1</v>
      </c>
      <c r="V340" t="s">
        <v>42</v>
      </c>
      <c r="W340" t="s">
        <v>43</v>
      </c>
      <c r="X340">
        <v>13</v>
      </c>
      <c r="Y340">
        <v>3</v>
      </c>
      <c r="Z340">
        <v>3</v>
      </c>
      <c r="AA340">
        <v>80</v>
      </c>
      <c r="AB340">
        <v>3</v>
      </c>
      <c r="AC340">
        <v>10</v>
      </c>
      <c r="AD340">
        <v>2</v>
      </c>
      <c r="AE340">
        <v>3</v>
      </c>
      <c r="AF340">
        <v>10</v>
      </c>
      <c r="AG340">
        <v>9</v>
      </c>
      <c r="AH340">
        <v>1</v>
      </c>
      <c r="AI340">
        <v>2</v>
      </c>
      <c r="AJ340" s="2">
        <f>IF(tblHR[[#This Row],[Attrition]]="Yes",1,0)</f>
        <v>0</v>
      </c>
      <c r="AK340" t="str">
        <f>IF(tblHR[[#This Row],[Age]]&lt;26,"18-25",IF(tblHR[[#This Row],[Age]]&lt;36,"26-35",IF(tblHR[[#This Row],[Age]]&lt;46,"36-45",IF(tblHR[[#This Row],[Age]]&lt;56,"46-55","56+"))))</f>
        <v>26-35</v>
      </c>
    </row>
    <row r="341" spans="1:37"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s="1">
        <v>6214</v>
      </c>
      <c r="T341">
        <v>3415</v>
      </c>
      <c r="U341">
        <v>1</v>
      </c>
      <c r="V341" t="s">
        <v>42</v>
      </c>
      <c r="W341" t="s">
        <v>43</v>
      </c>
      <c r="X341">
        <v>18</v>
      </c>
      <c r="Y341">
        <v>3</v>
      </c>
      <c r="Z341">
        <v>1</v>
      </c>
      <c r="AA341">
        <v>80</v>
      </c>
      <c r="AB341">
        <v>1</v>
      </c>
      <c r="AC341">
        <v>8</v>
      </c>
      <c r="AD341">
        <v>3</v>
      </c>
      <c r="AE341">
        <v>3</v>
      </c>
      <c r="AF341">
        <v>8</v>
      </c>
      <c r="AG341">
        <v>7</v>
      </c>
      <c r="AH341">
        <v>0</v>
      </c>
      <c r="AI341">
        <v>7</v>
      </c>
      <c r="AJ341" s="2">
        <f>IF(tblHR[[#This Row],[Attrition]]="Yes",1,0)</f>
        <v>0</v>
      </c>
      <c r="AK341" t="str">
        <f>IF(tblHR[[#This Row],[Age]]&lt;26,"18-25",IF(tblHR[[#This Row],[Age]]&lt;36,"26-35",IF(tblHR[[#This Row],[Age]]&lt;46,"36-45",IF(tblHR[[#This Row],[Age]]&lt;56,"46-55","56+"))))</f>
        <v>26-35</v>
      </c>
    </row>
    <row r="342" spans="1:37"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s="1">
        <v>6347</v>
      </c>
      <c r="T342">
        <v>23177</v>
      </c>
      <c r="U342">
        <v>7</v>
      </c>
      <c r="V342" t="s">
        <v>42</v>
      </c>
      <c r="W342" t="s">
        <v>43</v>
      </c>
      <c r="X342">
        <v>16</v>
      </c>
      <c r="Y342">
        <v>3</v>
      </c>
      <c r="Z342">
        <v>3</v>
      </c>
      <c r="AA342">
        <v>80</v>
      </c>
      <c r="AB342">
        <v>2</v>
      </c>
      <c r="AC342">
        <v>8</v>
      </c>
      <c r="AD342">
        <v>2</v>
      </c>
      <c r="AE342">
        <v>2</v>
      </c>
      <c r="AF342">
        <v>6</v>
      </c>
      <c r="AG342">
        <v>2</v>
      </c>
      <c r="AH342">
        <v>0</v>
      </c>
      <c r="AI342">
        <v>4</v>
      </c>
      <c r="AJ342" s="2">
        <f>IF(tblHR[[#This Row],[Attrition]]="Yes",1,0)</f>
        <v>0</v>
      </c>
      <c r="AK342" t="str">
        <f>IF(tblHR[[#This Row],[Age]]&lt;26,"18-25",IF(tblHR[[#This Row],[Age]]&lt;36,"26-35",IF(tblHR[[#This Row],[Age]]&lt;46,"36-45",IF(tblHR[[#This Row],[Age]]&lt;56,"46-55","56+"))))</f>
        <v>36-45</v>
      </c>
    </row>
    <row r="343" spans="1:37"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s="1">
        <v>11510</v>
      </c>
      <c r="T343">
        <v>15682</v>
      </c>
      <c r="U343">
        <v>0</v>
      </c>
      <c r="V343" t="s">
        <v>42</v>
      </c>
      <c r="W343" t="s">
        <v>35</v>
      </c>
      <c r="X343">
        <v>14</v>
      </c>
      <c r="Y343">
        <v>3</v>
      </c>
      <c r="Z343">
        <v>2</v>
      </c>
      <c r="AA343">
        <v>80</v>
      </c>
      <c r="AB343">
        <v>1</v>
      </c>
      <c r="AC343">
        <v>12</v>
      </c>
      <c r="AD343">
        <v>3</v>
      </c>
      <c r="AE343">
        <v>3</v>
      </c>
      <c r="AF343">
        <v>11</v>
      </c>
      <c r="AG343">
        <v>10</v>
      </c>
      <c r="AH343">
        <v>2</v>
      </c>
      <c r="AI343">
        <v>9</v>
      </c>
      <c r="AJ343" s="2">
        <f>IF(tblHR[[#This Row],[Attrition]]="Yes",1,0)</f>
        <v>0</v>
      </c>
      <c r="AK343" t="str">
        <f>IF(tblHR[[#This Row],[Age]]&lt;26,"18-25",IF(tblHR[[#This Row],[Age]]&lt;36,"26-35",IF(tblHR[[#This Row],[Age]]&lt;46,"36-45",IF(tblHR[[#This Row],[Age]]&lt;56,"46-55","56+"))))</f>
        <v>36-45</v>
      </c>
    </row>
    <row r="344" spans="1:37"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s="1">
        <v>7143</v>
      </c>
      <c r="T344">
        <v>25713</v>
      </c>
      <c r="U344">
        <v>1</v>
      </c>
      <c r="V344" t="s">
        <v>42</v>
      </c>
      <c r="W344" t="s">
        <v>35</v>
      </c>
      <c r="X344">
        <v>14</v>
      </c>
      <c r="Y344">
        <v>3</v>
      </c>
      <c r="Z344">
        <v>3</v>
      </c>
      <c r="AA344">
        <v>80</v>
      </c>
      <c r="AB344">
        <v>0</v>
      </c>
      <c r="AC344">
        <v>11</v>
      </c>
      <c r="AD344">
        <v>2</v>
      </c>
      <c r="AE344">
        <v>2</v>
      </c>
      <c r="AF344">
        <v>11</v>
      </c>
      <c r="AG344">
        <v>9</v>
      </c>
      <c r="AH344">
        <v>4</v>
      </c>
      <c r="AI344">
        <v>10</v>
      </c>
      <c r="AJ344" s="2">
        <f>IF(tblHR[[#This Row],[Attrition]]="Yes",1,0)</f>
        <v>0</v>
      </c>
      <c r="AK344" t="str">
        <f>IF(tblHR[[#This Row],[Age]]&lt;26,"18-25",IF(tblHR[[#This Row],[Age]]&lt;36,"26-35",IF(tblHR[[#This Row],[Age]]&lt;46,"36-45",IF(tblHR[[#This Row],[Age]]&lt;56,"46-55","56+"))))</f>
        <v>26-35</v>
      </c>
    </row>
    <row r="345" spans="1:37"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s="1">
        <v>8268</v>
      </c>
      <c r="T345">
        <v>11866</v>
      </c>
      <c r="U345">
        <v>1</v>
      </c>
      <c r="V345" t="s">
        <v>42</v>
      </c>
      <c r="W345" t="s">
        <v>35</v>
      </c>
      <c r="X345">
        <v>14</v>
      </c>
      <c r="Y345">
        <v>3</v>
      </c>
      <c r="Z345">
        <v>1</v>
      </c>
      <c r="AA345">
        <v>80</v>
      </c>
      <c r="AB345">
        <v>2</v>
      </c>
      <c r="AC345">
        <v>7</v>
      </c>
      <c r="AD345">
        <v>2</v>
      </c>
      <c r="AE345">
        <v>3</v>
      </c>
      <c r="AF345">
        <v>7</v>
      </c>
      <c r="AG345">
        <v>7</v>
      </c>
      <c r="AH345">
        <v>1</v>
      </c>
      <c r="AI345">
        <v>7</v>
      </c>
      <c r="AJ345" s="2">
        <f>IF(tblHR[[#This Row],[Attrition]]="Yes",1,0)</f>
        <v>0</v>
      </c>
      <c r="AK345" t="str">
        <f>IF(tblHR[[#This Row],[Age]]&lt;26,"18-25",IF(tblHR[[#This Row],[Age]]&lt;36,"26-35",IF(tblHR[[#This Row],[Age]]&lt;46,"36-45",IF(tblHR[[#This Row],[Age]]&lt;56,"46-55","56+"))))</f>
        <v>26-35</v>
      </c>
    </row>
    <row r="346" spans="1:37"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s="1">
        <v>8095</v>
      </c>
      <c r="T346">
        <v>18264</v>
      </c>
      <c r="U346">
        <v>0</v>
      </c>
      <c r="V346" t="s">
        <v>42</v>
      </c>
      <c r="W346" t="s">
        <v>43</v>
      </c>
      <c r="X346">
        <v>13</v>
      </c>
      <c r="Y346">
        <v>3</v>
      </c>
      <c r="Z346">
        <v>4</v>
      </c>
      <c r="AA346">
        <v>80</v>
      </c>
      <c r="AB346">
        <v>0</v>
      </c>
      <c r="AC346">
        <v>17</v>
      </c>
      <c r="AD346">
        <v>5</v>
      </c>
      <c r="AE346">
        <v>3</v>
      </c>
      <c r="AF346">
        <v>16</v>
      </c>
      <c r="AG346">
        <v>6</v>
      </c>
      <c r="AH346">
        <v>0</v>
      </c>
      <c r="AI346">
        <v>13</v>
      </c>
      <c r="AJ346" s="2">
        <f>IF(tblHR[[#This Row],[Attrition]]="Yes",1,0)</f>
        <v>0</v>
      </c>
      <c r="AK346" t="str">
        <f>IF(tblHR[[#This Row],[Age]]&lt;26,"18-25",IF(tblHR[[#This Row],[Age]]&lt;36,"26-35",IF(tblHR[[#This Row],[Age]]&lt;46,"36-45",IF(tblHR[[#This Row],[Age]]&lt;56,"46-55","56+"))))</f>
        <v>26-35</v>
      </c>
    </row>
    <row r="347" spans="1:37"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s="1">
        <v>2904</v>
      </c>
      <c r="T347">
        <v>16092</v>
      </c>
      <c r="U347">
        <v>1</v>
      </c>
      <c r="V347" t="s">
        <v>42</v>
      </c>
      <c r="W347" t="s">
        <v>43</v>
      </c>
      <c r="X347">
        <v>12</v>
      </c>
      <c r="Y347">
        <v>3</v>
      </c>
      <c r="Z347">
        <v>3</v>
      </c>
      <c r="AA347">
        <v>80</v>
      </c>
      <c r="AB347">
        <v>2</v>
      </c>
      <c r="AC347">
        <v>4</v>
      </c>
      <c r="AD347">
        <v>2</v>
      </c>
      <c r="AE347">
        <v>2</v>
      </c>
      <c r="AF347">
        <v>4</v>
      </c>
      <c r="AG347">
        <v>2</v>
      </c>
      <c r="AH347">
        <v>0</v>
      </c>
      <c r="AI347">
        <v>2</v>
      </c>
      <c r="AJ347" s="2">
        <f>IF(tblHR[[#This Row],[Attrition]]="Yes",1,0)</f>
        <v>0</v>
      </c>
      <c r="AK347" t="str">
        <f>IF(tblHR[[#This Row],[Age]]&lt;26,"18-25",IF(tblHR[[#This Row],[Age]]&lt;36,"26-35",IF(tblHR[[#This Row],[Age]]&lt;46,"36-45",IF(tblHR[[#This Row],[Age]]&lt;56,"46-55","56+"))))</f>
        <v>18-25</v>
      </c>
    </row>
    <row r="348" spans="1:37"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s="1">
        <v>6032</v>
      </c>
      <c r="T348">
        <v>10110</v>
      </c>
      <c r="U348">
        <v>6</v>
      </c>
      <c r="V348" t="s">
        <v>42</v>
      </c>
      <c r="W348" t="s">
        <v>35</v>
      </c>
      <c r="X348">
        <v>15</v>
      </c>
      <c r="Y348">
        <v>3</v>
      </c>
      <c r="Z348">
        <v>4</v>
      </c>
      <c r="AA348">
        <v>80</v>
      </c>
      <c r="AB348">
        <v>0</v>
      </c>
      <c r="AC348">
        <v>8</v>
      </c>
      <c r="AD348">
        <v>3</v>
      </c>
      <c r="AE348">
        <v>3</v>
      </c>
      <c r="AF348">
        <v>5</v>
      </c>
      <c r="AG348">
        <v>4</v>
      </c>
      <c r="AH348">
        <v>1</v>
      </c>
      <c r="AI348">
        <v>2</v>
      </c>
      <c r="AJ348" s="2">
        <f>IF(tblHR[[#This Row],[Attrition]]="Yes",1,0)</f>
        <v>0</v>
      </c>
      <c r="AK348" t="str">
        <f>IF(tblHR[[#This Row],[Age]]&lt;26,"18-25",IF(tblHR[[#This Row],[Age]]&lt;36,"26-35",IF(tblHR[[#This Row],[Age]]&lt;46,"36-45",IF(tblHR[[#This Row],[Age]]&lt;56,"46-55","56+"))))</f>
        <v>36-45</v>
      </c>
    </row>
    <row r="349" spans="1:37"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s="1">
        <v>2976</v>
      </c>
      <c r="T349">
        <v>25751</v>
      </c>
      <c r="U349">
        <v>3</v>
      </c>
      <c r="V349" t="s">
        <v>42</v>
      </c>
      <c r="W349" t="s">
        <v>43</v>
      </c>
      <c r="X349">
        <v>19</v>
      </c>
      <c r="Y349">
        <v>3</v>
      </c>
      <c r="Z349">
        <v>1</v>
      </c>
      <c r="AA349">
        <v>80</v>
      </c>
      <c r="AB349">
        <v>0</v>
      </c>
      <c r="AC349">
        <v>5</v>
      </c>
      <c r="AD349">
        <v>3</v>
      </c>
      <c r="AE349">
        <v>3</v>
      </c>
      <c r="AF349">
        <v>0</v>
      </c>
      <c r="AG349">
        <v>0</v>
      </c>
      <c r="AH349">
        <v>0</v>
      </c>
      <c r="AI349">
        <v>0</v>
      </c>
      <c r="AJ349" s="2">
        <f>IF(tblHR[[#This Row],[Attrition]]="Yes",1,0)</f>
        <v>0</v>
      </c>
      <c r="AK349" t="str">
        <f>IF(tblHR[[#This Row],[Age]]&lt;26,"18-25",IF(tblHR[[#This Row],[Age]]&lt;36,"26-35",IF(tblHR[[#This Row],[Age]]&lt;46,"36-45",IF(tblHR[[#This Row],[Age]]&lt;56,"46-55","56+"))))</f>
        <v>46-55</v>
      </c>
    </row>
    <row r="350" spans="1:37"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s="1">
        <v>15992</v>
      </c>
      <c r="T350">
        <v>15901</v>
      </c>
      <c r="U350">
        <v>2</v>
      </c>
      <c r="V350" t="s">
        <v>42</v>
      </c>
      <c r="W350" t="s">
        <v>43</v>
      </c>
      <c r="X350">
        <v>14</v>
      </c>
      <c r="Y350">
        <v>3</v>
      </c>
      <c r="Z350">
        <v>2</v>
      </c>
      <c r="AA350">
        <v>80</v>
      </c>
      <c r="AB350">
        <v>0</v>
      </c>
      <c r="AC350">
        <v>16</v>
      </c>
      <c r="AD350">
        <v>2</v>
      </c>
      <c r="AE350">
        <v>3</v>
      </c>
      <c r="AF350">
        <v>1</v>
      </c>
      <c r="AG350">
        <v>0</v>
      </c>
      <c r="AH350">
        <v>0</v>
      </c>
      <c r="AI350">
        <v>0</v>
      </c>
      <c r="AJ350" s="2">
        <f>IF(tblHR[[#This Row],[Attrition]]="Yes",1,0)</f>
        <v>0</v>
      </c>
      <c r="AK350" t="str">
        <f>IF(tblHR[[#This Row],[Age]]&lt;26,"18-25",IF(tblHR[[#This Row],[Age]]&lt;36,"26-35",IF(tblHR[[#This Row],[Age]]&lt;46,"36-45",IF(tblHR[[#This Row],[Age]]&lt;56,"46-55","56+"))))</f>
        <v>36-45</v>
      </c>
    </row>
    <row r="351" spans="1:37"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s="1">
        <v>4649</v>
      </c>
      <c r="T351">
        <v>16928</v>
      </c>
      <c r="U351">
        <v>1</v>
      </c>
      <c r="V351" t="s">
        <v>42</v>
      </c>
      <c r="W351" t="s">
        <v>43</v>
      </c>
      <c r="X351">
        <v>14</v>
      </c>
      <c r="Y351">
        <v>3</v>
      </c>
      <c r="Z351">
        <v>1</v>
      </c>
      <c r="AA351">
        <v>80</v>
      </c>
      <c r="AB351">
        <v>1</v>
      </c>
      <c r="AC351">
        <v>4</v>
      </c>
      <c r="AD351">
        <v>3</v>
      </c>
      <c r="AE351">
        <v>2</v>
      </c>
      <c r="AF351">
        <v>4</v>
      </c>
      <c r="AG351">
        <v>3</v>
      </c>
      <c r="AH351">
        <v>0</v>
      </c>
      <c r="AI351">
        <v>2</v>
      </c>
      <c r="AJ351" s="2">
        <f>IF(tblHR[[#This Row],[Attrition]]="Yes",1,0)</f>
        <v>0</v>
      </c>
      <c r="AK351" t="str">
        <f>IF(tblHR[[#This Row],[Age]]&lt;26,"18-25",IF(tblHR[[#This Row],[Age]]&lt;36,"26-35",IF(tblHR[[#This Row],[Age]]&lt;46,"36-45",IF(tblHR[[#This Row],[Age]]&lt;56,"46-55","56+"))))</f>
        <v>26-35</v>
      </c>
    </row>
    <row r="352" spans="1:37"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s="1">
        <v>2696</v>
      </c>
      <c r="T352">
        <v>24017</v>
      </c>
      <c r="U352">
        <v>0</v>
      </c>
      <c r="V352" t="s">
        <v>42</v>
      </c>
      <c r="W352" t="s">
        <v>35</v>
      </c>
      <c r="X352">
        <v>11</v>
      </c>
      <c r="Y352">
        <v>3</v>
      </c>
      <c r="Z352">
        <v>3</v>
      </c>
      <c r="AA352">
        <v>80</v>
      </c>
      <c r="AB352">
        <v>1</v>
      </c>
      <c r="AC352">
        <v>4</v>
      </c>
      <c r="AD352">
        <v>5</v>
      </c>
      <c r="AE352">
        <v>3</v>
      </c>
      <c r="AF352">
        <v>3</v>
      </c>
      <c r="AG352">
        <v>2</v>
      </c>
      <c r="AH352">
        <v>1</v>
      </c>
      <c r="AI352">
        <v>0</v>
      </c>
      <c r="AJ352" s="2">
        <f>IF(tblHR[[#This Row],[Attrition]]="Yes",1,0)</f>
        <v>0</v>
      </c>
      <c r="AK352" t="str">
        <f>IF(tblHR[[#This Row],[Age]]&lt;26,"18-25",IF(tblHR[[#This Row],[Age]]&lt;36,"26-35",IF(tblHR[[#This Row],[Age]]&lt;46,"36-45",IF(tblHR[[#This Row],[Age]]&lt;56,"46-55","56+"))))</f>
        <v>36-45</v>
      </c>
    </row>
    <row r="353" spans="1:37"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s="1">
        <v>2370</v>
      </c>
      <c r="T353">
        <v>3956</v>
      </c>
      <c r="U353">
        <v>1</v>
      </c>
      <c r="V353" t="s">
        <v>42</v>
      </c>
      <c r="W353" t="s">
        <v>43</v>
      </c>
      <c r="X353">
        <v>13</v>
      </c>
      <c r="Y353">
        <v>3</v>
      </c>
      <c r="Z353">
        <v>3</v>
      </c>
      <c r="AA353">
        <v>80</v>
      </c>
      <c r="AB353">
        <v>1</v>
      </c>
      <c r="AC353">
        <v>8</v>
      </c>
      <c r="AD353">
        <v>4</v>
      </c>
      <c r="AE353">
        <v>3</v>
      </c>
      <c r="AF353">
        <v>8</v>
      </c>
      <c r="AG353">
        <v>0</v>
      </c>
      <c r="AH353">
        <v>0</v>
      </c>
      <c r="AI353">
        <v>7</v>
      </c>
      <c r="AJ353" s="2">
        <f>IF(tblHR[[#This Row],[Attrition]]="Yes",1,0)</f>
        <v>0</v>
      </c>
      <c r="AK353" t="str">
        <f>IF(tblHR[[#This Row],[Age]]&lt;26,"18-25",IF(tblHR[[#This Row],[Age]]&lt;36,"26-35",IF(tblHR[[#This Row],[Age]]&lt;46,"36-45",IF(tblHR[[#This Row],[Age]]&lt;56,"46-55","56+"))))</f>
        <v>26-35</v>
      </c>
    </row>
    <row r="354" spans="1:37"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s="1">
        <v>12504</v>
      </c>
      <c r="T354">
        <v>23978</v>
      </c>
      <c r="U354">
        <v>3</v>
      </c>
      <c r="V354" t="s">
        <v>42</v>
      </c>
      <c r="W354" t="s">
        <v>43</v>
      </c>
      <c r="X354">
        <v>21</v>
      </c>
      <c r="Y354">
        <v>4</v>
      </c>
      <c r="Z354">
        <v>2</v>
      </c>
      <c r="AA354">
        <v>80</v>
      </c>
      <c r="AB354">
        <v>1</v>
      </c>
      <c r="AC354">
        <v>15</v>
      </c>
      <c r="AD354">
        <v>3</v>
      </c>
      <c r="AE354">
        <v>1</v>
      </c>
      <c r="AF354">
        <v>0</v>
      </c>
      <c r="AG354">
        <v>0</v>
      </c>
      <c r="AH354">
        <v>0</v>
      </c>
      <c r="AI354">
        <v>0</v>
      </c>
      <c r="AJ354" s="2">
        <f>IF(tblHR[[#This Row],[Attrition]]="Yes",1,0)</f>
        <v>0</v>
      </c>
      <c r="AK354" t="str">
        <f>IF(tblHR[[#This Row],[Age]]&lt;26,"18-25",IF(tblHR[[#This Row],[Age]]&lt;36,"26-35",IF(tblHR[[#This Row],[Age]]&lt;46,"36-45",IF(tblHR[[#This Row],[Age]]&lt;56,"46-55","56+"))))</f>
        <v>46-55</v>
      </c>
    </row>
    <row r="355" spans="1:37"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s="1">
        <v>5974</v>
      </c>
      <c r="T355">
        <v>17001</v>
      </c>
      <c r="U355">
        <v>4</v>
      </c>
      <c r="V355" t="s">
        <v>42</v>
      </c>
      <c r="W355" t="s">
        <v>35</v>
      </c>
      <c r="X355">
        <v>13</v>
      </c>
      <c r="Y355">
        <v>3</v>
      </c>
      <c r="Z355">
        <v>1</v>
      </c>
      <c r="AA355">
        <v>80</v>
      </c>
      <c r="AB355">
        <v>2</v>
      </c>
      <c r="AC355">
        <v>13</v>
      </c>
      <c r="AD355">
        <v>2</v>
      </c>
      <c r="AE355">
        <v>3</v>
      </c>
      <c r="AF355">
        <v>7</v>
      </c>
      <c r="AG355">
        <v>7</v>
      </c>
      <c r="AH355">
        <v>6</v>
      </c>
      <c r="AI355">
        <v>7</v>
      </c>
      <c r="AJ355" s="2">
        <f>IF(tblHR[[#This Row],[Attrition]]="Yes",1,0)</f>
        <v>0</v>
      </c>
      <c r="AK355" t="str">
        <f>IF(tblHR[[#This Row],[Age]]&lt;26,"18-25",IF(tblHR[[#This Row],[Age]]&lt;36,"26-35",IF(tblHR[[#This Row],[Age]]&lt;46,"36-45",IF(tblHR[[#This Row],[Age]]&lt;56,"46-55","56+"))))</f>
        <v>36-45</v>
      </c>
    </row>
    <row r="356" spans="1:37"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s="1">
        <v>4736</v>
      </c>
      <c r="T356">
        <v>6069</v>
      </c>
      <c r="U356">
        <v>7</v>
      </c>
      <c r="V356" t="s">
        <v>42</v>
      </c>
      <c r="W356" t="s">
        <v>35</v>
      </c>
      <c r="X356">
        <v>12</v>
      </c>
      <c r="Y356">
        <v>3</v>
      </c>
      <c r="Z356">
        <v>2</v>
      </c>
      <c r="AA356">
        <v>80</v>
      </c>
      <c r="AB356">
        <v>1</v>
      </c>
      <c r="AC356">
        <v>4</v>
      </c>
      <c r="AD356">
        <v>2</v>
      </c>
      <c r="AE356">
        <v>4</v>
      </c>
      <c r="AF356">
        <v>2</v>
      </c>
      <c r="AG356">
        <v>2</v>
      </c>
      <c r="AH356">
        <v>2</v>
      </c>
      <c r="AI356">
        <v>2</v>
      </c>
      <c r="AJ356" s="2">
        <f>IF(tblHR[[#This Row],[Attrition]]="Yes",1,0)</f>
        <v>0</v>
      </c>
      <c r="AK356" t="str">
        <f>IF(tblHR[[#This Row],[Age]]&lt;26,"18-25",IF(tblHR[[#This Row],[Age]]&lt;36,"26-35",IF(tblHR[[#This Row],[Age]]&lt;46,"36-45",IF(tblHR[[#This Row],[Age]]&lt;56,"46-55","56+"))))</f>
        <v>26-35</v>
      </c>
    </row>
    <row r="357" spans="1:37"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s="1">
        <v>5296</v>
      </c>
      <c r="T357">
        <v>20156</v>
      </c>
      <c r="U357">
        <v>1</v>
      </c>
      <c r="V357" t="s">
        <v>42</v>
      </c>
      <c r="W357" t="s">
        <v>43</v>
      </c>
      <c r="X357">
        <v>17</v>
      </c>
      <c r="Y357">
        <v>3</v>
      </c>
      <c r="Z357">
        <v>2</v>
      </c>
      <c r="AA357">
        <v>80</v>
      </c>
      <c r="AB357">
        <v>1</v>
      </c>
      <c r="AC357">
        <v>8</v>
      </c>
      <c r="AD357">
        <v>3</v>
      </c>
      <c r="AE357">
        <v>3</v>
      </c>
      <c r="AF357">
        <v>8</v>
      </c>
      <c r="AG357">
        <v>7</v>
      </c>
      <c r="AH357">
        <v>7</v>
      </c>
      <c r="AI357">
        <v>7</v>
      </c>
      <c r="AJ357" s="2">
        <f>IF(tblHR[[#This Row],[Attrition]]="Yes",1,0)</f>
        <v>0</v>
      </c>
      <c r="AK357" t="str">
        <f>IF(tblHR[[#This Row],[Age]]&lt;26,"18-25",IF(tblHR[[#This Row],[Age]]&lt;36,"26-35",IF(tblHR[[#This Row],[Age]]&lt;46,"36-45",IF(tblHR[[#This Row],[Age]]&lt;56,"46-55","56+"))))</f>
        <v>26-35</v>
      </c>
    </row>
    <row r="358" spans="1:37"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s="1">
        <v>6781</v>
      </c>
      <c r="T358">
        <v>17078</v>
      </c>
      <c r="U358">
        <v>3</v>
      </c>
      <c r="V358" t="s">
        <v>42</v>
      </c>
      <c r="W358" t="s">
        <v>43</v>
      </c>
      <c r="X358">
        <v>23</v>
      </c>
      <c r="Y358">
        <v>4</v>
      </c>
      <c r="Z358">
        <v>2</v>
      </c>
      <c r="AA358">
        <v>80</v>
      </c>
      <c r="AB358">
        <v>0</v>
      </c>
      <c r="AC358">
        <v>14</v>
      </c>
      <c r="AD358">
        <v>6</v>
      </c>
      <c r="AE358">
        <v>3</v>
      </c>
      <c r="AF358">
        <v>1</v>
      </c>
      <c r="AG358">
        <v>0</v>
      </c>
      <c r="AH358">
        <v>0</v>
      </c>
      <c r="AI358">
        <v>0</v>
      </c>
      <c r="AJ358" s="2">
        <f>IF(tblHR[[#This Row],[Attrition]]="Yes",1,0)</f>
        <v>0</v>
      </c>
      <c r="AK358" t="str">
        <f>IF(tblHR[[#This Row],[Age]]&lt;26,"18-25",IF(tblHR[[#This Row],[Age]]&lt;36,"26-35",IF(tblHR[[#This Row],[Age]]&lt;46,"36-45",IF(tblHR[[#This Row],[Age]]&lt;56,"46-55","56+"))))</f>
        <v>36-45</v>
      </c>
    </row>
    <row r="359" spans="1:37"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s="1">
        <v>2174</v>
      </c>
      <c r="T359">
        <v>9150</v>
      </c>
      <c r="U359">
        <v>1</v>
      </c>
      <c r="V359" t="s">
        <v>42</v>
      </c>
      <c r="W359" t="s">
        <v>35</v>
      </c>
      <c r="X359">
        <v>11</v>
      </c>
      <c r="Y359">
        <v>3</v>
      </c>
      <c r="Z359">
        <v>3</v>
      </c>
      <c r="AA359">
        <v>80</v>
      </c>
      <c r="AB359">
        <v>0</v>
      </c>
      <c r="AC359">
        <v>3</v>
      </c>
      <c r="AD359">
        <v>3</v>
      </c>
      <c r="AE359">
        <v>3</v>
      </c>
      <c r="AF359">
        <v>3</v>
      </c>
      <c r="AG359">
        <v>2</v>
      </c>
      <c r="AH359">
        <v>1</v>
      </c>
      <c r="AI359">
        <v>2</v>
      </c>
      <c r="AJ359" s="2">
        <f>IF(tblHR[[#This Row],[Attrition]]="Yes",1,0)</f>
        <v>1</v>
      </c>
      <c r="AK359" t="str">
        <f>IF(tblHR[[#This Row],[Age]]&lt;26,"18-25",IF(tblHR[[#This Row],[Age]]&lt;36,"26-35",IF(tblHR[[#This Row],[Age]]&lt;46,"36-45",IF(tblHR[[#This Row],[Age]]&lt;56,"46-55","56+"))))</f>
        <v>18-25</v>
      </c>
    </row>
    <row r="360" spans="1:37"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s="1">
        <v>6653</v>
      </c>
      <c r="T360">
        <v>15276</v>
      </c>
      <c r="U360">
        <v>4</v>
      </c>
      <c r="V360" t="s">
        <v>42</v>
      </c>
      <c r="W360" t="s">
        <v>43</v>
      </c>
      <c r="X360">
        <v>15</v>
      </c>
      <c r="Y360">
        <v>3</v>
      </c>
      <c r="Z360">
        <v>2</v>
      </c>
      <c r="AA360">
        <v>80</v>
      </c>
      <c r="AB360">
        <v>0</v>
      </c>
      <c r="AC360">
        <v>7</v>
      </c>
      <c r="AD360">
        <v>6</v>
      </c>
      <c r="AE360">
        <v>3</v>
      </c>
      <c r="AF360">
        <v>1</v>
      </c>
      <c r="AG360">
        <v>0</v>
      </c>
      <c r="AH360">
        <v>0</v>
      </c>
      <c r="AI360">
        <v>0</v>
      </c>
      <c r="AJ360" s="2">
        <f>IF(tblHR[[#This Row],[Attrition]]="Yes",1,0)</f>
        <v>0</v>
      </c>
      <c r="AK360" t="str">
        <f>IF(tblHR[[#This Row],[Age]]&lt;26,"18-25",IF(tblHR[[#This Row],[Age]]&lt;36,"26-35",IF(tblHR[[#This Row],[Age]]&lt;46,"36-45",IF(tblHR[[#This Row],[Age]]&lt;56,"46-55","56+"))))</f>
        <v>36-45</v>
      </c>
    </row>
    <row r="361" spans="1:37"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s="1">
        <v>9699</v>
      </c>
      <c r="T361">
        <v>7246</v>
      </c>
      <c r="U361">
        <v>4</v>
      </c>
      <c r="V361" t="s">
        <v>42</v>
      </c>
      <c r="W361" t="s">
        <v>43</v>
      </c>
      <c r="X361">
        <v>11</v>
      </c>
      <c r="Y361">
        <v>3</v>
      </c>
      <c r="Z361">
        <v>1</v>
      </c>
      <c r="AA361">
        <v>80</v>
      </c>
      <c r="AB361">
        <v>1</v>
      </c>
      <c r="AC361">
        <v>16</v>
      </c>
      <c r="AD361">
        <v>2</v>
      </c>
      <c r="AE361">
        <v>3</v>
      </c>
      <c r="AF361">
        <v>13</v>
      </c>
      <c r="AG361">
        <v>9</v>
      </c>
      <c r="AH361">
        <v>1</v>
      </c>
      <c r="AI361">
        <v>12</v>
      </c>
      <c r="AJ361" s="2">
        <f>IF(tblHR[[#This Row],[Attrition]]="Yes",1,0)</f>
        <v>0</v>
      </c>
      <c r="AK361" t="str">
        <f>IF(tblHR[[#This Row],[Age]]&lt;26,"18-25",IF(tblHR[[#This Row],[Age]]&lt;36,"26-35",IF(tblHR[[#This Row],[Age]]&lt;46,"36-45",IF(tblHR[[#This Row],[Age]]&lt;56,"46-55","56+"))))</f>
        <v>36-45</v>
      </c>
    </row>
    <row r="362" spans="1:37"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s="1">
        <v>6755</v>
      </c>
      <c r="T362">
        <v>2967</v>
      </c>
      <c r="U362">
        <v>2</v>
      </c>
      <c r="V362" t="s">
        <v>42</v>
      </c>
      <c r="W362" t="s">
        <v>43</v>
      </c>
      <c r="X362">
        <v>11</v>
      </c>
      <c r="Y362">
        <v>3</v>
      </c>
      <c r="Z362">
        <v>3</v>
      </c>
      <c r="AA362">
        <v>80</v>
      </c>
      <c r="AB362">
        <v>0</v>
      </c>
      <c r="AC362">
        <v>15</v>
      </c>
      <c r="AD362">
        <v>2</v>
      </c>
      <c r="AE362">
        <v>3</v>
      </c>
      <c r="AF362">
        <v>3</v>
      </c>
      <c r="AG362">
        <v>2</v>
      </c>
      <c r="AH362">
        <v>1</v>
      </c>
      <c r="AI362">
        <v>2</v>
      </c>
      <c r="AJ362" s="2">
        <f>IF(tblHR[[#This Row],[Attrition]]="Yes",1,0)</f>
        <v>0</v>
      </c>
      <c r="AK362" t="str">
        <f>IF(tblHR[[#This Row],[Age]]&lt;26,"18-25",IF(tblHR[[#This Row],[Age]]&lt;36,"26-35",IF(tblHR[[#This Row],[Age]]&lt;46,"36-45",IF(tblHR[[#This Row],[Age]]&lt;56,"46-55","56+"))))</f>
        <v>56+</v>
      </c>
    </row>
    <row r="363" spans="1:37"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s="1">
        <v>2213</v>
      </c>
      <c r="T363">
        <v>22495</v>
      </c>
      <c r="U363">
        <v>3</v>
      </c>
      <c r="V363" t="s">
        <v>42</v>
      </c>
      <c r="W363" t="s">
        <v>35</v>
      </c>
      <c r="X363">
        <v>13</v>
      </c>
      <c r="Y363">
        <v>3</v>
      </c>
      <c r="Z363">
        <v>3</v>
      </c>
      <c r="AA363">
        <v>80</v>
      </c>
      <c r="AB363">
        <v>1</v>
      </c>
      <c r="AC363">
        <v>10</v>
      </c>
      <c r="AD363">
        <v>3</v>
      </c>
      <c r="AE363">
        <v>3</v>
      </c>
      <c r="AF363">
        <v>7</v>
      </c>
      <c r="AG363">
        <v>7</v>
      </c>
      <c r="AH363">
        <v>1</v>
      </c>
      <c r="AI363">
        <v>7</v>
      </c>
      <c r="AJ363" s="2">
        <f>IF(tblHR[[#This Row],[Attrition]]="Yes",1,0)</f>
        <v>0</v>
      </c>
      <c r="AK363" t="str">
        <f>IF(tblHR[[#This Row],[Age]]&lt;26,"18-25",IF(tblHR[[#This Row],[Age]]&lt;36,"26-35",IF(tblHR[[#This Row],[Age]]&lt;46,"36-45",IF(tblHR[[#This Row],[Age]]&lt;56,"46-55","56+"))))</f>
        <v>36-45</v>
      </c>
    </row>
    <row r="364" spans="1:37"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s="1">
        <v>2610</v>
      </c>
      <c r="T364">
        <v>2851</v>
      </c>
      <c r="U364">
        <v>1</v>
      </c>
      <c r="V364" t="s">
        <v>42</v>
      </c>
      <c r="W364" t="s">
        <v>43</v>
      </c>
      <c r="X364">
        <v>24</v>
      </c>
      <c r="Y364">
        <v>4</v>
      </c>
      <c r="Z364">
        <v>3</v>
      </c>
      <c r="AA364">
        <v>80</v>
      </c>
      <c r="AB364">
        <v>0</v>
      </c>
      <c r="AC364">
        <v>3</v>
      </c>
      <c r="AD364">
        <v>3</v>
      </c>
      <c r="AE364">
        <v>2</v>
      </c>
      <c r="AF364">
        <v>3</v>
      </c>
      <c r="AG364">
        <v>2</v>
      </c>
      <c r="AH364">
        <v>2</v>
      </c>
      <c r="AI364">
        <v>2</v>
      </c>
      <c r="AJ364" s="2">
        <f>IF(tblHR[[#This Row],[Attrition]]="Yes",1,0)</f>
        <v>0</v>
      </c>
      <c r="AK364" t="str">
        <f>IF(tblHR[[#This Row],[Age]]&lt;26,"18-25",IF(tblHR[[#This Row],[Age]]&lt;36,"26-35",IF(tblHR[[#This Row],[Age]]&lt;46,"36-45",IF(tblHR[[#This Row],[Age]]&lt;56,"46-55","56+"))))</f>
        <v>18-25</v>
      </c>
    </row>
    <row r="365" spans="1:37"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s="1">
        <v>2851</v>
      </c>
      <c r="T365">
        <v>9150</v>
      </c>
      <c r="U365">
        <v>1</v>
      </c>
      <c r="V365" t="s">
        <v>42</v>
      </c>
      <c r="W365" t="s">
        <v>35</v>
      </c>
      <c r="X365">
        <v>13</v>
      </c>
      <c r="Y365">
        <v>3</v>
      </c>
      <c r="Z365">
        <v>2</v>
      </c>
      <c r="AA365">
        <v>80</v>
      </c>
      <c r="AB365">
        <v>0</v>
      </c>
      <c r="AC365">
        <v>1</v>
      </c>
      <c r="AD365">
        <v>2</v>
      </c>
      <c r="AE365">
        <v>3</v>
      </c>
      <c r="AF365">
        <v>1</v>
      </c>
      <c r="AG365">
        <v>0</v>
      </c>
      <c r="AH365">
        <v>0</v>
      </c>
      <c r="AI365">
        <v>0</v>
      </c>
      <c r="AJ365" s="2">
        <f>IF(tblHR[[#This Row],[Attrition]]="Yes",1,0)</f>
        <v>1</v>
      </c>
      <c r="AK365" t="str">
        <f>IF(tblHR[[#This Row],[Age]]&lt;26,"18-25",IF(tblHR[[#This Row],[Age]]&lt;36,"26-35",IF(tblHR[[#This Row],[Age]]&lt;46,"36-45",IF(tblHR[[#This Row],[Age]]&lt;56,"46-55","56+"))))</f>
        <v>26-35</v>
      </c>
    </row>
    <row r="366" spans="1:37"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s="1">
        <v>3452</v>
      </c>
      <c r="T366">
        <v>17663</v>
      </c>
      <c r="U366">
        <v>6</v>
      </c>
      <c r="V366" t="s">
        <v>42</v>
      </c>
      <c r="W366" t="s">
        <v>43</v>
      </c>
      <c r="X366">
        <v>20</v>
      </c>
      <c r="Y366">
        <v>4</v>
      </c>
      <c r="Z366">
        <v>2</v>
      </c>
      <c r="AA366">
        <v>80</v>
      </c>
      <c r="AB366">
        <v>1</v>
      </c>
      <c r="AC366">
        <v>17</v>
      </c>
      <c r="AD366">
        <v>3</v>
      </c>
      <c r="AE366">
        <v>3</v>
      </c>
      <c r="AF366">
        <v>5</v>
      </c>
      <c r="AG366">
        <v>4</v>
      </c>
      <c r="AH366">
        <v>0</v>
      </c>
      <c r="AI366">
        <v>3</v>
      </c>
      <c r="AJ366" s="2">
        <f>IF(tblHR[[#This Row],[Attrition]]="Yes",1,0)</f>
        <v>0</v>
      </c>
      <c r="AK366" t="str">
        <f>IF(tblHR[[#This Row],[Age]]&lt;26,"18-25",IF(tblHR[[#This Row],[Age]]&lt;36,"26-35",IF(tblHR[[#This Row],[Age]]&lt;46,"36-45",IF(tblHR[[#This Row],[Age]]&lt;56,"46-55","56+"))))</f>
        <v>36-45</v>
      </c>
    </row>
    <row r="367" spans="1:37"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s="1">
        <v>5258</v>
      </c>
      <c r="T367">
        <v>16044</v>
      </c>
      <c r="U367">
        <v>2</v>
      </c>
      <c r="V367" t="s">
        <v>42</v>
      </c>
      <c r="W367" t="s">
        <v>43</v>
      </c>
      <c r="X367">
        <v>14</v>
      </c>
      <c r="Y367">
        <v>3</v>
      </c>
      <c r="Z367">
        <v>3</v>
      </c>
      <c r="AA367">
        <v>80</v>
      </c>
      <c r="AB367">
        <v>0</v>
      </c>
      <c r="AC367">
        <v>7</v>
      </c>
      <c r="AD367">
        <v>2</v>
      </c>
      <c r="AE367">
        <v>4</v>
      </c>
      <c r="AF367">
        <v>1</v>
      </c>
      <c r="AG367">
        <v>0</v>
      </c>
      <c r="AH367">
        <v>0</v>
      </c>
      <c r="AI367">
        <v>0</v>
      </c>
      <c r="AJ367" s="2">
        <f>IF(tblHR[[#This Row],[Attrition]]="Yes",1,0)</f>
        <v>0</v>
      </c>
      <c r="AK367" t="str">
        <f>IF(tblHR[[#This Row],[Age]]&lt;26,"18-25",IF(tblHR[[#This Row],[Age]]&lt;36,"26-35",IF(tblHR[[#This Row],[Age]]&lt;46,"36-45",IF(tblHR[[#This Row],[Age]]&lt;56,"46-55","56+"))))</f>
        <v>46-55</v>
      </c>
    </row>
    <row r="368" spans="1:37"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s="1">
        <v>9355</v>
      </c>
      <c r="T368">
        <v>9558</v>
      </c>
      <c r="U368">
        <v>1</v>
      </c>
      <c r="V368" t="s">
        <v>42</v>
      </c>
      <c r="W368" t="s">
        <v>43</v>
      </c>
      <c r="X368">
        <v>18</v>
      </c>
      <c r="Y368">
        <v>3</v>
      </c>
      <c r="Z368">
        <v>3</v>
      </c>
      <c r="AA368">
        <v>80</v>
      </c>
      <c r="AB368">
        <v>0</v>
      </c>
      <c r="AC368">
        <v>8</v>
      </c>
      <c r="AD368">
        <v>5</v>
      </c>
      <c r="AE368">
        <v>3</v>
      </c>
      <c r="AF368">
        <v>8</v>
      </c>
      <c r="AG368">
        <v>7</v>
      </c>
      <c r="AH368">
        <v>7</v>
      </c>
      <c r="AI368">
        <v>7</v>
      </c>
      <c r="AJ368" s="2">
        <f>IF(tblHR[[#This Row],[Attrition]]="Yes",1,0)</f>
        <v>1</v>
      </c>
      <c r="AK368" t="str">
        <f>IF(tblHR[[#This Row],[Age]]&lt;26,"18-25",IF(tblHR[[#This Row],[Age]]&lt;36,"26-35",IF(tblHR[[#This Row],[Age]]&lt;46,"36-45",IF(tblHR[[#This Row],[Age]]&lt;56,"46-55","56+"))))</f>
        <v>36-45</v>
      </c>
    </row>
    <row r="369" spans="1:37"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s="1">
        <v>10496</v>
      </c>
      <c r="T369">
        <v>2755</v>
      </c>
      <c r="U369">
        <v>6</v>
      </c>
      <c r="V369" t="s">
        <v>42</v>
      </c>
      <c r="W369" t="s">
        <v>43</v>
      </c>
      <c r="X369">
        <v>15</v>
      </c>
      <c r="Y369">
        <v>3</v>
      </c>
      <c r="Z369">
        <v>4</v>
      </c>
      <c r="AA369">
        <v>80</v>
      </c>
      <c r="AB369">
        <v>0</v>
      </c>
      <c r="AC369">
        <v>20</v>
      </c>
      <c r="AD369">
        <v>2</v>
      </c>
      <c r="AE369">
        <v>3</v>
      </c>
      <c r="AF369">
        <v>4</v>
      </c>
      <c r="AG369">
        <v>3</v>
      </c>
      <c r="AH369">
        <v>1</v>
      </c>
      <c r="AI369">
        <v>3</v>
      </c>
      <c r="AJ369" s="2">
        <f>IF(tblHR[[#This Row],[Attrition]]="Yes",1,0)</f>
        <v>0</v>
      </c>
      <c r="AK369" t="str">
        <f>IF(tblHR[[#This Row],[Age]]&lt;26,"18-25",IF(tblHR[[#This Row],[Age]]&lt;36,"26-35",IF(tblHR[[#This Row],[Age]]&lt;46,"36-45",IF(tblHR[[#This Row],[Age]]&lt;56,"46-55","56+"))))</f>
        <v>46-55</v>
      </c>
    </row>
    <row r="370" spans="1:37"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s="1">
        <v>6380</v>
      </c>
      <c r="T370">
        <v>6110</v>
      </c>
      <c r="U370">
        <v>2</v>
      </c>
      <c r="V370" t="s">
        <v>42</v>
      </c>
      <c r="W370" t="s">
        <v>35</v>
      </c>
      <c r="X370">
        <v>12</v>
      </c>
      <c r="Y370">
        <v>3</v>
      </c>
      <c r="Z370">
        <v>1</v>
      </c>
      <c r="AA370">
        <v>80</v>
      </c>
      <c r="AB370">
        <v>2</v>
      </c>
      <c r="AC370">
        <v>8</v>
      </c>
      <c r="AD370">
        <v>6</v>
      </c>
      <c r="AE370">
        <v>3</v>
      </c>
      <c r="AF370">
        <v>6</v>
      </c>
      <c r="AG370">
        <v>4</v>
      </c>
      <c r="AH370">
        <v>1</v>
      </c>
      <c r="AI370">
        <v>0</v>
      </c>
      <c r="AJ370" s="2">
        <f>IF(tblHR[[#This Row],[Attrition]]="Yes",1,0)</f>
        <v>1</v>
      </c>
      <c r="AK370" t="str">
        <f>IF(tblHR[[#This Row],[Age]]&lt;26,"18-25",IF(tblHR[[#This Row],[Age]]&lt;36,"26-35",IF(tblHR[[#This Row],[Age]]&lt;46,"36-45",IF(tblHR[[#This Row],[Age]]&lt;56,"46-55","56+"))))</f>
        <v>36-45</v>
      </c>
    </row>
    <row r="371" spans="1:37"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s="1">
        <v>2657</v>
      </c>
      <c r="T371">
        <v>7551</v>
      </c>
      <c r="U371">
        <v>0</v>
      </c>
      <c r="V371" t="s">
        <v>42</v>
      </c>
      <c r="W371" t="s">
        <v>35</v>
      </c>
      <c r="X371">
        <v>16</v>
      </c>
      <c r="Y371">
        <v>3</v>
      </c>
      <c r="Z371">
        <v>4</v>
      </c>
      <c r="AA371">
        <v>80</v>
      </c>
      <c r="AB371">
        <v>0</v>
      </c>
      <c r="AC371">
        <v>3</v>
      </c>
      <c r="AD371">
        <v>5</v>
      </c>
      <c r="AE371">
        <v>3</v>
      </c>
      <c r="AF371">
        <v>2</v>
      </c>
      <c r="AG371">
        <v>2</v>
      </c>
      <c r="AH371">
        <v>2</v>
      </c>
      <c r="AI371">
        <v>2</v>
      </c>
      <c r="AJ371" s="2">
        <f>IF(tblHR[[#This Row],[Attrition]]="Yes",1,0)</f>
        <v>0</v>
      </c>
      <c r="AK371" t="str">
        <f>IF(tblHR[[#This Row],[Age]]&lt;26,"18-25",IF(tblHR[[#This Row],[Age]]&lt;36,"26-35",IF(tblHR[[#This Row],[Age]]&lt;46,"36-45",IF(tblHR[[#This Row],[Age]]&lt;56,"46-55","56+"))))</f>
        <v>26-35</v>
      </c>
    </row>
    <row r="372" spans="1:37"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s="1">
        <v>2716</v>
      </c>
      <c r="T372">
        <v>25422</v>
      </c>
      <c r="U372">
        <v>1</v>
      </c>
      <c r="V372" t="s">
        <v>42</v>
      </c>
      <c r="W372" t="s">
        <v>43</v>
      </c>
      <c r="X372">
        <v>15</v>
      </c>
      <c r="Y372">
        <v>3</v>
      </c>
      <c r="Z372">
        <v>4</v>
      </c>
      <c r="AA372">
        <v>80</v>
      </c>
      <c r="AB372">
        <v>0</v>
      </c>
      <c r="AC372">
        <v>1</v>
      </c>
      <c r="AD372">
        <v>0</v>
      </c>
      <c r="AE372">
        <v>3</v>
      </c>
      <c r="AF372">
        <v>1</v>
      </c>
      <c r="AG372">
        <v>0</v>
      </c>
      <c r="AH372">
        <v>0</v>
      </c>
      <c r="AI372">
        <v>0</v>
      </c>
      <c r="AJ372" s="2">
        <f>IF(tblHR[[#This Row],[Attrition]]="Yes",1,0)</f>
        <v>1</v>
      </c>
      <c r="AK372" t="str">
        <f>IF(tblHR[[#This Row],[Age]]&lt;26,"18-25",IF(tblHR[[#This Row],[Age]]&lt;36,"26-35",IF(tblHR[[#This Row],[Age]]&lt;46,"36-45",IF(tblHR[[#This Row],[Age]]&lt;56,"46-55","56+"))))</f>
        <v>18-25</v>
      </c>
    </row>
    <row r="373" spans="1:37"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s="1">
        <v>2201</v>
      </c>
      <c r="T373">
        <v>18168</v>
      </c>
      <c r="U373">
        <v>9</v>
      </c>
      <c r="V373" t="s">
        <v>42</v>
      </c>
      <c r="W373" t="s">
        <v>43</v>
      </c>
      <c r="X373">
        <v>16</v>
      </c>
      <c r="Y373">
        <v>3</v>
      </c>
      <c r="Z373">
        <v>4</v>
      </c>
      <c r="AA373">
        <v>80</v>
      </c>
      <c r="AB373">
        <v>0</v>
      </c>
      <c r="AC373">
        <v>6</v>
      </c>
      <c r="AD373">
        <v>4</v>
      </c>
      <c r="AE373">
        <v>3</v>
      </c>
      <c r="AF373">
        <v>3</v>
      </c>
      <c r="AG373">
        <v>2</v>
      </c>
      <c r="AH373">
        <v>1</v>
      </c>
      <c r="AI373">
        <v>2</v>
      </c>
      <c r="AJ373" s="2">
        <f>IF(tblHR[[#This Row],[Attrition]]="Yes",1,0)</f>
        <v>0</v>
      </c>
      <c r="AK373" t="str">
        <f>IF(tblHR[[#This Row],[Age]]&lt;26,"18-25",IF(tblHR[[#This Row],[Age]]&lt;36,"26-35",IF(tblHR[[#This Row],[Age]]&lt;46,"36-45",IF(tblHR[[#This Row],[Age]]&lt;56,"46-55","56+"))))</f>
        <v>26-35</v>
      </c>
    </row>
    <row r="374" spans="1:37"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s="1">
        <v>6540</v>
      </c>
      <c r="T374">
        <v>19394</v>
      </c>
      <c r="U374">
        <v>9</v>
      </c>
      <c r="V374" t="s">
        <v>42</v>
      </c>
      <c r="W374" t="s">
        <v>43</v>
      </c>
      <c r="X374">
        <v>19</v>
      </c>
      <c r="Y374">
        <v>3</v>
      </c>
      <c r="Z374">
        <v>3</v>
      </c>
      <c r="AA374">
        <v>80</v>
      </c>
      <c r="AB374">
        <v>0</v>
      </c>
      <c r="AC374">
        <v>10</v>
      </c>
      <c r="AD374">
        <v>5</v>
      </c>
      <c r="AE374">
        <v>3</v>
      </c>
      <c r="AF374">
        <v>1</v>
      </c>
      <c r="AG374">
        <v>1</v>
      </c>
      <c r="AH374">
        <v>0</v>
      </c>
      <c r="AI374">
        <v>0</v>
      </c>
      <c r="AJ374" s="2">
        <f>IF(tblHR[[#This Row],[Attrition]]="Yes",1,0)</f>
        <v>0</v>
      </c>
      <c r="AK374" t="str">
        <f>IF(tblHR[[#This Row],[Age]]&lt;26,"18-25",IF(tblHR[[#This Row],[Age]]&lt;36,"26-35",IF(tblHR[[#This Row],[Age]]&lt;46,"36-45",IF(tblHR[[#This Row],[Age]]&lt;56,"46-55","56+"))))</f>
        <v>26-35</v>
      </c>
    </row>
    <row r="375" spans="1:37"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s="1">
        <v>3816</v>
      </c>
      <c r="T375">
        <v>17881</v>
      </c>
      <c r="U375">
        <v>1</v>
      </c>
      <c r="V375" t="s">
        <v>42</v>
      </c>
      <c r="W375" t="s">
        <v>43</v>
      </c>
      <c r="X375">
        <v>11</v>
      </c>
      <c r="Y375">
        <v>3</v>
      </c>
      <c r="Z375">
        <v>2</v>
      </c>
      <c r="AA375">
        <v>80</v>
      </c>
      <c r="AB375">
        <v>1</v>
      </c>
      <c r="AC375">
        <v>5</v>
      </c>
      <c r="AD375">
        <v>2</v>
      </c>
      <c r="AE375">
        <v>3</v>
      </c>
      <c r="AF375">
        <v>5</v>
      </c>
      <c r="AG375">
        <v>2</v>
      </c>
      <c r="AH375">
        <v>0</v>
      </c>
      <c r="AI375">
        <v>4</v>
      </c>
      <c r="AJ375" s="2">
        <f>IF(tblHR[[#This Row],[Attrition]]="Yes",1,0)</f>
        <v>0</v>
      </c>
      <c r="AK375" t="str">
        <f>IF(tblHR[[#This Row],[Age]]&lt;26,"18-25",IF(tblHR[[#This Row],[Age]]&lt;36,"26-35",IF(tblHR[[#This Row],[Age]]&lt;46,"36-45",IF(tblHR[[#This Row],[Age]]&lt;56,"46-55","56+"))))</f>
        <v>26-35</v>
      </c>
    </row>
    <row r="376" spans="1:37"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s="1">
        <v>5253</v>
      </c>
      <c r="T376">
        <v>20750</v>
      </c>
      <c r="U376">
        <v>1</v>
      </c>
      <c r="V376" t="s">
        <v>42</v>
      </c>
      <c r="W376" t="s">
        <v>43</v>
      </c>
      <c r="X376">
        <v>16</v>
      </c>
      <c r="Y376">
        <v>3</v>
      </c>
      <c r="Z376">
        <v>4</v>
      </c>
      <c r="AA376">
        <v>80</v>
      </c>
      <c r="AB376">
        <v>0</v>
      </c>
      <c r="AC376">
        <v>7</v>
      </c>
      <c r="AD376">
        <v>1</v>
      </c>
      <c r="AE376">
        <v>3</v>
      </c>
      <c r="AF376">
        <v>7</v>
      </c>
      <c r="AG376">
        <v>5</v>
      </c>
      <c r="AH376">
        <v>0</v>
      </c>
      <c r="AI376">
        <v>7</v>
      </c>
      <c r="AJ376" s="2">
        <f>IF(tblHR[[#This Row],[Attrition]]="Yes",1,0)</f>
        <v>0</v>
      </c>
      <c r="AK376" t="str">
        <f>IF(tblHR[[#This Row],[Age]]&lt;26,"18-25",IF(tblHR[[#This Row],[Age]]&lt;36,"26-35",IF(tblHR[[#This Row],[Age]]&lt;46,"36-45",IF(tblHR[[#This Row],[Age]]&lt;56,"46-55","56+"))))</f>
        <v>26-35</v>
      </c>
    </row>
    <row r="377" spans="1:37"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s="1">
        <v>10965</v>
      </c>
      <c r="T377">
        <v>12066</v>
      </c>
      <c r="U377">
        <v>8</v>
      </c>
      <c r="V377" t="s">
        <v>42</v>
      </c>
      <c r="W377" t="s">
        <v>43</v>
      </c>
      <c r="X377">
        <v>24</v>
      </c>
      <c r="Y377">
        <v>4</v>
      </c>
      <c r="Z377">
        <v>3</v>
      </c>
      <c r="AA377">
        <v>80</v>
      </c>
      <c r="AB377">
        <v>0</v>
      </c>
      <c r="AC377">
        <v>26</v>
      </c>
      <c r="AD377">
        <v>2</v>
      </c>
      <c r="AE377">
        <v>3</v>
      </c>
      <c r="AF377">
        <v>5</v>
      </c>
      <c r="AG377">
        <v>2</v>
      </c>
      <c r="AH377">
        <v>0</v>
      </c>
      <c r="AI377">
        <v>0</v>
      </c>
      <c r="AJ377" s="2">
        <f>IF(tblHR[[#This Row],[Attrition]]="Yes",1,0)</f>
        <v>0</v>
      </c>
      <c r="AK377" t="str">
        <f>IF(tblHR[[#This Row],[Age]]&lt;26,"18-25",IF(tblHR[[#This Row],[Age]]&lt;36,"26-35",IF(tblHR[[#This Row],[Age]]&lt;46,"36-45",IF(tblHR[[#This Row],[Age]]&lt;56,"46-55","56+"))))</f>
        <v>46-55</v>
      </c>
    </row>
    <row r="378" spans="1:37"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s="1">
        <v>4936</v>
      </c>
      <c r="T378">
        <v>14862</v>
      </c>
      <c r="U378">
        <v>4</v>
      </c>
      <c r="V378" t="s">
        <v>42</v>
      </c>
      <c r="W378" t="s">
        <v>43</v>
      </c>
      <c r="X378">
        <v>11</v>
      </c>
      <c r="Y378">
        <v>3</v>
      </c>
      <c r="Z378">
        <v>3</v>
      </c>
      <c r="AA378">
        <v>80</v>
      </c>
      <c r="AB378">
        <v>1</v>
      </c>
      <c r="AC378">
        <v>18</v>
      </c>
      <c r="AD378">
        <v>2</v>
      </c>
      <c r="AE378">
        <v>2</v>
      </c>
      <c r="AF378">
        <v>7</v>
      </c>
      <c r="AG378">
        <v>7</v>
      </c>
      <c r="AH378">
        <v>0</v>
      </c>
      <c r="AI378">
        <v>7</v>
      </c>
      <c r="AJ378" s="2">
        <f>IF(tblHR[[#This Row],[Attrition]]="Yes",1,0)</f>
        <v>0</v>
      </c>
      <c r="AK378" t="str">
        <f>IF(tblHR[[#This Row],[Age]]&lt;26,"18-25",IF(tblHR[[#This Row],[Age]]&lt;36,"26-35",IF(tblHR[[#This Row],[Age]]&lt;46,"36-45",IF(tblHR[[#This Row],[Age]]&lt;56,"46-55","56+"))))</f>
        <v>46-55</v>
      </c>
    </row>
    <row r="379" spans="1:37"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s="1">
        <v>2543</v>
      </c>
      <c r="T379">
        <v>11868</v>
      </c>
      <c r="U379">
        <v>4</v>
      </c>
      <c r="V379" t="s">
        <v>42</v>
      </c>
      <c r="W379" t="s">
        <v>43</v>
      </c>
      <c r="X379">
        <v>13</v>
      </c>
      <c r="Y379">
        <v>3</v>
      </c>
      <c r="Z379">
        <v>2</v>
      </c>
      <c r="AA379">
        <v>80</v>
      </c>
      <c r="AB379">
        <v>1</v>
      </c>
      <c r="AC379">
        <v>6</v>
      </c>
      <c r="AD379">
        <v>3</v>
      </c>
      <c r="AE379">
        <v>3</v>
      </c>
      <c r="AF379">
        <v>2</v>
      </c>
      <c r="AG379">
        <v>2</v>
      </c>
      <c r="AH379">
        <v>2</v>
      </c>
      <c r="AI379">
        <v>2</v>
      </c>
      <c r="AJ379" s="2">
        <f>IF(tblHR[[#This Row],[Attrition]]="Yes",1,0)</f>
        <v>0</v>
      </c>
      <c r="AK379" t="str">
        <f>IF(tblHR[[#This Row],[Age]]&lt;26,"18-25",IF(tblHR[[#This Row],[Age]]&lt;36,"26-35",IF(tblHR[[#This Row],[Age]]&lt;46,"36-45",IF(tblHR[[#This Row],[Age]]&lt;56,"46-55","56+"))))</f>
        <v>36-45</v>
      </c>
    </row>
    <row r="380" spans="1:37"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s="1">
        <v>5304</v>
      </c>
      <c r="T380">
        <v>4652</v>
      </c>
      <c r="U380">
        <v>8</v>
      </c>
      <c r="V380" t="s">
        <v>42</v>
      </c>
      <c r="W380" t="s">
        <v>35</v>
      </c>
      <c r="X380">
        <v>13</v>
      </c>
      <c r="Y380">
        <v>3</v>
      </c>
      <c r="Z380">
        <v>2</v>
      </c>
      <c r="AA380">
        <v>80</v>
      </c>
      <c r="AB380">
        <v>0</v>
      </c>
      <c r="AC380">
        <v>9</v>
      </c>
      <c r="AD380">
        <v>3</v>
      </c>
      <c r="AE380">
        <v>2</v>
      </c>
      <c r="AF380">
        <v>5</v>
      </c>
      <c r="AG380">
        <v>2</v>
      </c>
      <c r="AH380">
        <v>0</v>
      </c>
      <c r="AI380">
        <v>4</v>
      </c>
      <c r="AJ380" s="2">
        <f>IF(tblHR[[#This Row],[Attrition]]="Yes",1,0)</f>
        <v>1</v>
      </c>
      <c r="AK380" t="str">
        <f>IF(tblHR[[#This Row],[Age]]&lt;26,"18-25",IF(tblHR[[#This Row],[Age]]&lt;36,"26-35",IF(tblHR[[#This Row],[Age]]&lt;46,"36-45",IF(tblHR[[#This Row],[Age]]&lt;56,"46-55","56+"))))</f>
        <v>26-35</v>
      </c>
    </row>
    <row r="381" spans="1:37"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s="1">
        <v>16659</v>
      </c>
      <c r="T381">
        <v>23258</v>
      </c>
      <c r="U381">
        <v>2</v>
      </c>
      <c r="V381" t="s">
        <v>42</v>
      </c>
      <c r="W381" t="s">
        <v>35</v>
      </c>
      <c r="X381">
        <v>13</v>
      </c>
      <c r="Y381">
        <v>3</v>
      </c>
      <c r="Z381">
        <v>3</v>
      </c>
      <c r="AA381">
        <v>80</v>
      </c>
      <c r="AB381">
        <v>0</v>
      </c>
      <c r="AC381">
        <v>30</v>
      </c>
      <c r="AD381">
        <v>2</v>
      </c>
      <c r="AE381">
        <v>3</v>
      </c>
      <c r="AF381">
        <v>5</v>
      </c>
      <c r="AG381">
        <v>4</v>
      </c>
      <c r="AH381">
        <v>1</v>
      </c>
      <c r="AI381">
        <v>2</v>
      </c>
      <c r="AJ381" s="2">
        <f>IF(tblHR[[#This Row],[Attrition]]="Yes",1,0)</f>
        <v>0</v>
      </c>
      <c r="AK381" t="str">
        <f>IF(tblHR[[#This Row],[Age]]&lt;26,"18-25",IF(tblHR[[#This Row],[Age]]&lt;36,"26-35",IF(tblHR[[#This Row],[Age]]&lt;46,"36-45",IF(tblHR[[#This Row],[Age]]&lt;56,"46-55","56+"))))</f>
        <v>46-55</v>
      </c>
    </row>
    <row r="382" spans="1:37"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s="1">
        <v>4260</v>
      </c>
      <c r="T382">
        <v>5915</v>
      </c>
      <c r="U382">
        <v>1</v>
      </c>
      <c r="V382" t="s">
        <v>42</v>
      </c>
      <c r="W382" t="s">
        <v>35</v>
      </c>
      <c r="X382">
        <v>12</v>
      </c>
      <c r="Y382">
        <v>3</v>
      </c>
      <c r="Z382">
        <v>4</v>
      </c>
      <c r="AA382">
        <v>80</v>
      </c>
      <c r="AB382">
        <v>1</v>
      </c>
      <c r="AC382">
        <v>5</v>
      </c>
      <c r="AD382">
        <v>2</v>
      </c>
      <c r="AE382">
        <v>4</v>
      </c>
      <c r="AF382">
        <v>5</v>
      </c>
      <c r="AG382">
        <v>2</v>
      </c>
      <c r="AH382">
        <v>0</v>
      </c>
      <c r="AI382">
        <v>3</v>
      </c>
      <c r="AJ382" s="2">
        <f>IF(tblHR[[#This Row],[Attrition]]="Yes",1,0)</f>
        <v>0</v>
      </c>
      <c r="AK382" t="str">
        <f>IF(tblHR[[#This Row],[Age]]&lt;26,"18-25",IF(tblHR[[#This Row],[Age]]&lt;36,"26-35",IF(tblHR[[#This Row],[Age]]&lt;46,"36-45",IF(tblHR[[#This Row],[Age]]&lt;56,"46-55","56+"))))</f>
        <v>18-25</v>
      </c>
    </row>
    <row r="383" spans="1:37"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s="1">
        <v>2476</v>
      </c>
      <c r="T383">
        <v>17434</v>
      </c>
      <c r="U383">
        <v>1</v>
      </c>
      <c r="V383" t="s">
        <v>42</v>
      </c>
      <c r="W383" t="s">
        <v>43</v>
      </c>
      <c r="X383">
        <v>18</v>
      </c>
      <c r="Y383">
        <v>3</v>
      </c>
      <c r="Z383">
        <v>1</v>
      </c>
      <c r="AA383">
        <v>80</v>
      </c>
      <c r="AB383">
        <v>1</v>
      </c>
      <c r="AC383">
        <v>1</v>
      </c>
      <c r="AD383">
        <v>3</v>
      </c>
      <c r="AE383">
        <v>3</v>
      </c>
      <c r="AF383">
        <v>1</v>
      </c>
      <c r="AG383">
        <v>0</v>
      </c>
      <c r="AH383">
        <v>0</v>
      </c>
      <c r="AI383">
        <v>0</v>
      </c>
      <c r="AJ383" s="2">
        <f>IF(tblHR[[#This Row],[Attrition]]="Yes",1,0)</f>
        <v>0</v>
      </c>
      <c r="AK383" t="str">
        <f>IF(tblHR[[#This Row],[Age]]&lt;26,"18-25",IF(tblHR[[#This Row],[Age]]&lt;36,"26-35",IF(tblHR[[#This Row],[Age]]&lt;46,"36-45",IF(tblHR[[#This Row],[Age]]&lt;56,"46-55","56+"))))</f>
        <v>26-35</v>
      </c>
    </row>
    <row r="384" spans="1:37"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s="1">
        <v>3102</v>
      </c>
      <c r="T384">
        <v>6582</v>
      </c>
      <c r="U384">
        <v>0</v>
      </c>
      <c r="V384" t="s">
        <v>42</v>
      </c>
      <c r="W384" t="s">
        <v>43</v>
      </c>
      <c r="X384">
        <v>22</v>
      </c>
      <c r="Y384">
        <v>4</v>
      </c>
      <c r="Z384">
        <v>3</v>
      </c>
      <c r="AA384">
        <v>80</v>
      </c>
      <c r="AB384">
        <v>0</v>
      </c>
      <c r="AC384">
        <v>7</v>
      </c>
      <c r="AD384">
        <v>2</v>
      </c>
      <c r="AE384">
        <v>3</v>
      </c>
      <c r="AF384">
        <v>6</v>
      </c>
      <c r="AG384">
        <v>4</v>
      </c>
      <c r="AH384">
        <v>0</v>
      </c>
      <c r="AI384">
        <v>4</v>
      </c>
      <c r="AJ384" s="2">
        <f>IF(tblHR[[#This Row],[Attrition]]="Yes",1,0)</f>
        <v>1</v>
      </c>
      <c r="AK384" t="str">
        <f>IF(tblHR[[#This Row],[Age]]&lt;26,"18-25",IF(tblHR[[#This Row],[Age]]&lt;36,"26-35",IF(tblHR[[#This Row],[Age]]&lt;46,"36-45",IF(tblHR[[#This Row],[Age]]&lt;56,"46-55","56+"))))</f>
        <v>26-35</v>
      </c>
    </row>
    <row r="385" spans="1:37"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s="1">
        <v>2244</v>
      </c>
      <c r="T385">
        <v>24440</v>
      </c>
      <c r="U385">
        <v>1</v>
      </c>
      <c r="V385" t="s">
        <v>42</v>
      </c>
      <c r="W385" t="s">
        <v>43</v>
      </c>
      <c r="X385">
        <v>13</v>
      </c>
      <c r="Y385">
        <v>3</v>
      </c>
      <c r="Z385">
        <v>4</v>
      </c>
      <c r="AA385">
        <v>80</v>
      </c>
      <c r="AB385">
        <v>1</v>
      </c>
      <c r="AC385">
        <v>2</v>
      </c>
      <c r="AD385">
        <v>1</v>
      </c>
      <c r="AE385">
        <v>3</v>
      </c>
      <c r="AF385">
        <v>2</v>
      </c>
      <c r="AG385">
        <v>1</v>
      </c>
      <c r="AH385">
        <v>1</v>
      </c>
      <c r="AI385">
        <v>2</v>
      </c>
      <c r="AJ385" s="2">
        <f>IF(tblHR[[#This Row],[Attrition]]="Yes",1,0)</f>
        <v>0</v>
      </c>
      <c r="AK385" t="str">
        <f>IF(tblHR[[#This Row],[Age]]&lt;26,"18-25",IF(tblHR[[#This Row],[Age]]&lt;36,"26-35",IF(tblHR[[#This Row],[Age]]&lt;46,"36-45",IF(tblHR[[#This Row],[Age]]&lt;56,"46-55","56+"))))</f>
        <v>18-25</v>
      </c>
    </row>
    <row r="386" spans="1:37"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s="1">
        <v>7596</v>
      </c>
      <c r="T386">
        <v>3809</v>
      </c>
      <c r="U386">
        <v>1</v>
      </c>
      <c r="V386" t="s">
        <v>42</v>
      </c>
      <c r="W386" t="s">
        <v>43</v>
      </c>
      <c r="X386">
        <v>13</v>
      </c>
      <c r="Y386">
        <v>3</v>
      </c>
      <c r="Z386">
        <v>2</v>
      </c>
      <c r="AA386">
        <v>80</v>
      </c>
      <c r="AB386">
        <v>2</v>
      </c>
      <c r="AC386">
        <v>10</v>
      </c>
      <c r="AD386">
        <v>2</v>
      </c>
      <c r="AE386">
        <v>3</v>
      </c>
      <c r="AF386">
        <v>10</v>
      </c>
      <c r="AG386">
        <v>9</v>
      </c>
      <c r="AH386">
        <v>9</v>
      </c>
      <c r="AI386">
        <v>0</v>
      </c>
      <c r="AJ386" s="2">
        <f>IF(tblHR[[#This Row],[Attrition]]="Yes",1,0)</f>
        <v>0</v>
      </c>
      <c r="AK386" t="str">
        <f>IF(tblHR[[#This Row],[Age]]&lt;26,"18-25",IF(tblHR[[#This Row],[Age]]&lt;36,"26-35",IF(tblHR[[#This Row],[Age]]&lt;46,"36-45",IF(tblHR[[#This Row],[Age]]&lt;56,"46-55","56+"))))</f>
        <v>36-45</v>
      </c>
    </row>
    <row r="387" spans="1:37"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s="1">
        <v>2285</v>
      </c>
      <c r="T387">
        <v>3427</v>
      </c>
      <c r="U387">
        <v>9</v>
      </c>
      <c r="V387" t="s">
        <v>42</v>
      </c>
      <c r="W387" t="s">
        <v>35</v>
      </c>
      <c r="X387">
        <v>23</v>
      </c>
      <c r="Y387">
        <v>4</v>
      </c>
      <c r="Z387">
        <v>3</v>
      </c>
      <c r="AA387">
        <v>80</v>
      </c>
      <c r="AB387">
        <v>0</v>
      </c>
      <c r="AC387">
        <v>3</v>
      </c>
      <c r="AD387">
        <v>4</v>
      </c>
      <c r="AE387">
        <v>3</v>
      </c>
      <c r="AF387">
        <v>1</v>
      </c>
      <c r="AG387">
        <v>0</v>
      </c>
      <c r="AH387">
        <v>0</v>
      </c>
      <c r="AI387">
        <v>0</v>
      </c>
      <c r="AJ387" s="2">
        <f>IF(tblHR[[#This Row],[Attrition]]="Yes",1,0)</f>
        <v>1</v>
      </c>
      <c r="AK387" t="str">
        <f>IF(tblHR[[#This Row],[Age]]&lt;26,"18-25",IF(tblHR[[#This Row],[Age]]&lt;36,"26-35",IF(tblHR[[#This Row],[Age]]&lt;46,"36-45",IF(tblHR[[#This Row],[Age]]&lt;56,"46-55","56+"))))</f>
        <v>26-35</v>
      </c>
    </row>
    <row r="388" spans="1:37"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s="1">
        <v>3034</v>
      </c>
      <c r="T388">
        <v>26914</v>
      </c>
      <c r="U388">
        <v>1</v>
      </c>
      <c r="V388" t="s">
        <v>42</v>
      </c>
      <c r="W388" t="s">
        <v>43</v>
      </c>
      <c r="X388">
        <v>12</v>
      </c>
      <c r="Y388">
        <v>3</v>
      </c>
      <c r="Z388">
        <v>3</v>
      </c>
      <c r="AA388">
        <v>80</v>
      </c>
      <c r="AB388">
        <v>1</v>
      </c>
      <c r="AC388">
        <v>18</v>
      </c>
      <c r="AD388">
        <v>2</v>
      </c>
      <c r="AE388">
        <v>2</v>
      </c>
      <c r="AF388">
        <v>18</v>
      </c>
      <c r="AG388">
        <v>7</v>
      </c>
      <c r="AH388">
        <v>12</v>
      </c>
      <c r="AI388">
        <v>17</v>
      </c>
      <c r="AJ388" s="2">
        <f>IF(tblHR[[#This Row],[Attrition]]="Yes",1,0)</f>
        <v>0</v>
      </c>
      <c r="AK388" t="str">
        <f>IF(tblHR[[#This Row],[Age]]&lt;26,"18-25",IF(tblHR[[#This Row],[Age]]&lt;36,"26-35",IF(tblHR[[#This Row],[Age]]&lt;46,"36-45",IF(tblHR[[#This Row],[Age]]&lt;56,"46-55","56+"))))</f>
        <v>36-45</v>
      </c>
    </row>
    <row r="389" spans="1:37"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s="1">
        <v>5715</v>
      </c>
      <c r="T389">
        <v>22553</v>
      </c>
      <c r="U389">
        <v>7</v>
      </c>
      <c r="V389" t="s">
        <v>42</v>
      </c>
      <c r="W389" t="s">
        <v>43</v>
      </c>
      <c r="X389">
        <v>12</v>
      </c>
      <c r="Y389">
        <v>3</v>
      </c>
      <c r="Z389">
        <v>3</v>
      </c>
      <c r="AA389">
        <v>80</v>
      </c>
      <c r="AB389">
        <v>2</v>
      </c>
      <c r="AC389">
        <v>8</v>
      </c>
      <c r="AD389">
        <v>5</v>
      </c>
      <c r="AE389">
        <v>3</v>
      </c>
      <c r="AF389">
        <v>5</v>
      </c>
      <c r="AG389">
        <v>4</v>
      </c>
      <c r="AH389">
        <v>1</v>
      </c>
      <c r="AI389">
        <v>3</v>
      </c>
      <c r="AJ389" s="2">
        <f>IF(tblHR[[#This Row],[Attrition]]="Yes",1,0)</f>
        <v>0</v>
      </c>
      <c r="AK389" t="str">
        <f>IF(tblHR[[#This Row],[Age]]&lt;26,"18-25",IF(tblHR[[#This Row],[Age]]&lt;36,"26-35",IF(tblHR[[#This Row],[Age]]&lt;46,"36-45",IF(tblHR[[#This Row],[Age]]&lt;56,"46-55","56+"))))</f>
        <v>36-45</v>
      </c>
    </row>
    <row r="390" spans="1:37"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s="1">
        <v>2576</v>
      </c>
      <c r="T390">
        <v>20490</v>
      </c>
      <c r="U390">
        <v>3</v>
      </c>
      <c r="V390" t="s">
        <v>42</v>
      </c>
      <c r="W390" t="s">
        <v>43</v>
      </c>
      <c r="X390">
        <v>16</v>
      </c>
      <c r="Y390">
        <v>3</v>
      </c>
      <c r="Z390">
        <v>2</v>
      </c>
      <c r="AA390">
        <v>80</v>
      </c>
      <c r="AB390">
        <v>1</v>
      </c>
      <c r="AC390">
        <v>8</v>
      </c>
      <c r="AD390">
        <v>5</v>
      </c>
      <c r="AE390">
        <v>3</v>
      </c>
      <c r="AF390">
        <v>5</v>
      </c>
      <c r="AG390">
        <v>2</v>
      </c>
      <c r="AH390">
        <v>1</v>
      </c>
      <c r="AI390">
        <v>2</v>
      </c>
      <c r="AJ390" s="2">
        <f>IF(tblHR[[#This Row],[Attrition]]="Yes",1,0)</f>
        <v>0</v>
      </c>
      <c r="AK390" t="str">
        <f>IF(tblHR[[#This Row],[Age]]&lt;26,"18-25",IF(tblHR[[#This Row],[Age]]&lt;36,"26-35",IF(tblHR[[#This Row],[Age]]&lt;46,"36-45",IF(tblHR[[#This Row],[Age]]&lt;56,"46-55","56+"))))</f>
        <v>36-45</v>
      </c>
    </row>
    <row r="391" spans="1:37"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s="1">
        <v>4197</v>
      </c>
      <c r="T391">
        <v>21123</v>
      </c>
      <c r="U391">
        <v>2</v>
      </c>
      <c r="V391" t="s">
        <v>42</v>
      </c>
      <c r="W391" t="s">
        <v>35</v>
      </c>
      <c r="X391">
        <v>12</v>
      </c>
      <c r="Y391">
        <v>3</v>
      </c>
      <c r="Z391">
        <v>4</v>
      </c>
      <c r="AA391">
        <v>80</v>
      </c>
      <c r="AB391">
        <v>0</v>
      </c>
      <c r="AC391">
        <v>18</v>
      </c>
      <c r="AD391">
        <v>2</v>
      </c>
      <c r="AE391">
        <v>2</v>
      </c>
      <c r="AF391">
        <v>1</v>
      </c>
      <c r="AG391">
        <v>0</v>
      </c>
      <c r="AH391">
        <v>0</v>
      </c>
      <c r="AI391">
        <v>1</v>
      </c>
      <c r="AJ391" s="2">
        <f>IF(tblHR[[#This Row],[Attrition]]="Yes",1,0)</f>
        <v>0</v>
      </c>
      <c r="AK391" t="str">
        <f>IF(tblHR[[#This Row],[Age]]&lt;26,"18-25",IF(tblHR[[#This Row],[Age]]&lt;36,"26-35",IF(tblHR[[#This Row],[Age]]&lt;46,"36-45",IF(tblHR[[#This Row],[Age]]&lt;56,"46-55","56+"))))</f>
        <v>36-45</v>
      </c>
    </row>
    <row r="392" spans="1:37"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s="1">
        <v>14336</v>
      </c>
      <c r="T392">
        <v>4345</v>
      </c>
      <c r="U392">
        <v>1</v>
      </c>
      <c r="V392" t="s">
        <v>42</v>
      </c>
      <c r="W392" t="s">
        <v>43</v>
      </c>
      <c r="X392">
        <v>11</v>
      </c>
      <c r="Y392">
        <v>3</v>
      </c>
      <c r="Z392">
        <v>3</v>
      </c>
      <c r="AA392">
        <v>80</v>
      </c>
      <c r="AB392">
        <v>1</v>
      </c>
      <c r="AC392">
        <v>25</v>
      </c>
      <c r="AD392">
        <v>3</v>
      </c>
      <c r="AE392">
        <v>3</v>
      </c>
      <c r="AF392">
        <v>25</v>
      </c>
      <c r="AG392">
        <v>10</v>
      </c>
      <c r="AH392">
        <v>3</v>
      </c>
      <c r="AI392">
        <v>9</v>
      </c>
      <c r="AJ392" s="2">
        <f>IF(tblHR[[#This Row],[Attrition]]="Yes",1,0)</f>
        <v>0</v>
      </c>
      <c r="AK392" t="str">
        <f>IF(tblHR[[#This Row],[Age]]&lt;26,"18-25",IF(tblHR[[#This Row],[Age]]&lt;36,"26-35",IF(tblHR[[#This Row],[Age]]&lt;46,"36-45",IF(tblHR[[#This Row],[Age]]&lt;56,"46-55","56+"))))</f>
        <v>36-45</v>
      </c>
    </row>
    <row r="393" spans="1:37"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s="1">
        <v>3448</v>
      </c>
      <c r="T393">
        <v>13436</v>
      </c>
      <c r="U393">
        <v>6</v>
      </c>
      <c r="V393" t="s">
        <v>42</v>
      </c>
      <c r="W393" t="s">
        <v>43</v>
      </c>
      <c r="X393">
        <v>22</v>
      </c>
      <c r="Y393">
        <v>4</v>
      </c>
      <c r="Z393">
        <v>2</v>
      </c>
      <c r="AA393">
        <v>80</v>
      </c>
      <c r="AB393">
        <v>1</v>
      </c>
      <c r="AC393">
        <v>20</v>
      </c>
      <c r="AD393">
        <v>3</v>
      </c>
      <c r="AE393">
        <v>3</v>
      </c>
      <c r="AF393">
        <v>1</v>
      </c>
      <c r="AG393">
        <v>0</v>
      </c>
      <c r="AH393">
        <v>0</v>
      </c>
      <c r="AI393">
        <v>0</v>
      </c>
      <c r="AJ393" s="2">
        <f>IF(tblHR[[#This Row],[Attrition]]="Yes",1,0)</f>
        <v>0</v>
      </c>
      <c r="AK393" t="str">
        <f>IF(tblHR[[#This Row],[Age]]&lt;26,"18-25",IF(tblHR[[#This Row],[Age]]&lt;36,"26-35",IF(tblHR[[#This Row],[Age]]&lt;46,"36-45",IF(tblHR[[#This Row],[Age]]&lt;56,"46-55","56+"))))</f>
        <v>36-45</v>
      </c>
    </row>
    <row r="394" spans="1:37"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s="1">
        <v>19406</v>
      </c>
      <c r="T394">
        <v>8509</v>
      </c>
      <c r="U394">
        <v>4</v>
      </c>
      <c r="V394" t="s">
        <v>42</v>
      </c>
      <c r="W394" t="s">
        <v>43</v>
      </c>
      <c r="X394">
        <v>11</v>
      </c>
      <c r="Y394">
        <v>3</v>
      </c>
      <c r="Z394">
        <v>3</v>
      </c>
      <c r="AA394">
        <v>80</v>
      </c>
      <c r="AB394">
        <v>1</v>
      </c>
      <c r="AC394">
        <v>24</v>
      </c>
      <c r="AD394">
        <v>4</v>
      </c>
      <c r="AE394">
        <v>2</v>
      </c>
      <c r="AF394">
        <v>4</v>
      </c>
      <c r="AG394">
        <v>2</v>
      </c>
      <c r="AH394">
        <v>1</v>
      </c>
      <c r="AI394">
        <v>2</v>
      </c>
      <c r="AJ394" s="2">
        <f>IF(tblHR[[#This Row],[Attrition]]="Yes",1,0)</f>
        <v>0</v>
      </c>
      <c r="AK394" t="str">
        <f>IF(tblHR[[#This Row],[Age]]&lt;26,"18-25",IF(tblHR[[#This Row],[Age]]&lt;36,"26-35",IF(tblHR[[#This Row],[Age]]&lt;46,"36-45",IF(tblHR[[#This Row],[Age]]&lt;56,"46-55","56+"))))</f>
        <v>46-55</v>
      </c>
    </row>
    <row r="395" spans="1:37"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s="1">
        <v>6538</v>
      </c>
      <c r="T395">
        <v>12740</v>
      </c>
      <c r="U395">
        <v>9</v>
      </c>
      <c r="V395" t="s">
        <v>42</v>
      </c>
      <c r="W395" t="s">
        <v>43</v>
      </c>
      <c r="X395">
        <v>15</v>
      </c>
      <c r="Y395">
        <v>3</v>
      </c>
      <c r="Z395">
        <v>1</v>
      </c>
      <c r="AA395">
        <v>80</v>
      </c>
      <c r="AB395">
        <v>1</v>
      </c>
      <c r="AC395">
        <v>6</v>
      </c>
      <c r="AD395">
        <v>3</v>
      </c>
      <c r="AE395">
        <v>3</v>
      </c>
      <c r="AF395">
        <v>3</v>
      </c>
      <c r="AG395">
        <v>2</v>
      </c>
      <c r="AH395">
        <v>1</v>
      </c>
      <c r="AI395">
        <v>2</v>
      </c>
      <c r="AJ395" s="2">
        <f>IF(tblHR[[#This Row],[Attrition]]="Yes",1,0)</f>
        <v>0</v>
      </c>
      <c r="AK395" t="str">
        <f>IF(tblHR[[#This Row],[Age]]&lt;26,"18-25",IF(tblHR[[#This Row],[Age]]&lt;36,"26-35",IF(tblHR[[#This Row],[Age]]&lt;46,"36-45",IF(tblHR[[#This Row],[Age]]&lt;56,"46-55","56+"))))</f>
        <v>26-35</v>
      </c>
    </row>
    <row r="396" spans="1:37"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s="1">
        <v>4306</v>
      </c>
      <c r="T396">
        <v>4156</v>
      </c>
      <c r="U396">
        <v>1</v>
      </c>
      <c r="V396" t="s">
        <v>42</v>
      </c>
      <c r="W396" t="s">
        <v>43</v>
      </c>
      <c r="X396">
        <v>12</v>
      </c>
      <c r="Y396">
        <v>3</v>
      </c>
      <c r="Z396">
        <v>2</v>
      </c>
      <c r="AA396">
        <v>80</v>
      </c>
      <c r="AB396">
        <v>1</v>
      </c>
      <c r="AC396">
        <v>13</v>
      </c>
      <c r="AD396">
        <v>5</v>
      </c>
      <c r="AE396">
        <v>1</v>
      </c>
      <c r="AF396">
        <v>13</v>
      </c>
      <c r="AG396">
        <v>10</v>
      </c>
      <c r="AH396">
        <v>3</v>
      </c>
      <c r="AI396">
        <v>12</v>
      </c>
      <c r="AJ396" s="2">
        <f>IF(tblHR[[#This Row],[Attrition]]="Yes",1,0)</f>
        <v>0</v>
      </c>
      <c r="AK396" t="str">
        <f>IF(tblHR[[#This Row],[Age]]&lt;26,"18-25",IF(tblHR[[#This Row],[Age]]&lt;36,"26-35",IF(tblHR[[#This Row],[Age]]&lt;46,"36-45",IF(tblHR[[#This Row],[Age]]&lt;56,"46-55","56+"))))</f>
        <v>26-35</v>
      </c>
    </row>
    <row r="397" spans="1:37"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s="1">
        <v>2258</v>
      </c>
      <c r="T397">
        <v>15238</v>
      </c>
      <c r="U397">
        <v>7</v>
      </c>
      <c r="V397" t="s">
        <v>42</v>
      </c>
      <c r="W397" t="s">
        <v>43</v>
      </c>
      <c r="X397">
        <v>20</v>
      </c>
      <c r="Y397">
        <v>4</v>
      </c>
      <c r="Z397">
        <v>1</v>
      </c>
      <c r="AA397">
        <v>80</v>
      </c>
      <c r="AB397">
        <v>1</v>
      </c>
      <c r="AC397">
        <v>8</v>
      </c>
      <c r="AD397">
        <v>1</v>
      </c>
      <c r="AE397">
        <v>3</v>
      </c>
      <c r="AF397">
        <v>3</v>
      </c>
      <c r="AG397">
        <v>2</v>
      </c>
      <c r="AH397">
        <v>1</v>
      </c>
      <c r="AI397">
        <v>2</v>
      </c>
      <c r="AJ397" s="2">
        <f>IF(tblHR[[#This Row],[Attrition]]="Yes",1,0)</f>
        <v>0</v>
      </c>
      <c r="AK397" t="str">
        <f>IF(tblHR[[#This Row],[Age]]&lt;26,"18-25",IF(tblHR[[#This Row],[Age]]&lt;36,"26-35",IF(tblHR[[#This Row],[Age]]&lt;46,"36-45",IF(tblHR[[#This Row],[Age]]&lt;56,"46-55","56+"))))</f>
        <v>36-45</v>
      </c>
    </row>
    <row r="398" spans="1:37"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s="1">
        <v>4522</v>
      </c>
      <c r="T398">
        <v>2227</v>
      </c>
      <c r="U398">
        <v>4</v>
      </c>
      <c r="V398" t="s">
        <v>42</v>
      </c>
      <c r="W398" t="s">
        <v>35</v>
      </c>
      <c r="X398">
        <v>14</v>
      </c>
      <c r="Y398">
        <v>3</v>
      </c>
      <c r="Z398">
        <v>4</v>
      </c>
      <c r="AA398">
        <v>80</v>
      </c>
      <c r="AB398">
        <v>0</v>
      </c>
      <c r="AC398">
        <v>8</v>
      </c>
      <c r="AD398">
        <v>3</v>
      </c>
      <c r="AE398">
        <v>3</v>
      </c>
      <c r="AF398">
        <v>5</v>
      </c>
      <c r="AG398">
        <v>2</v>
      </c>
      <c r="AH398">
        <v>0</v>
      </c>
      <c r="AI398">
        <v>2</v>
      </c>
      <c r="AJ398" s="2">
        <f>IF(tblHR[[#This Row],[Attrition]]="Yes",1,0)</f>
        <v>0</v>
      </c>
      <c r="AK398" t="str">
        <f>IF(tblHR[[#This Row],[Age]]&lt;26,"18-25",IF(tblHR[[#This Row],[Age]]&lt;36,"26-35",IF(tblHR[[#This Row],[Age]]&lt;46,"36-45",IF(tblHR[[#This Row],[Age]]&lt;56,"46-55","56+"))))</f>
        <v>36-45</v>
      </c>
    </row>
    <row r="399" spans="1:37"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s="1">
        <v>4487</v>
      </c>
      <c r="T399">
        <v>12090</v>
      </c>
      <c r="U399">
        <v>1</v>
      </c>
      <c r="V399" t="s">
        <v>42</v>
      </c>
      <c r="W399" t="s">
        <v>35</v>
      </c>
      <c r="X399">
        <v>11</v>
      </c>
      <c r="Y399">
        <v>3</v>
      </c>
      <c r="Z399">
        <v>2</v>
      </c>
      <c r="AA399">
        <v>80</v>
      </c>
      <c r="AB399">
        <v>0</v>
      </c>
      <c r="AC399">
        <v>5</v>
      </c>
      <c r="AD399">
        <v>3</v>
      </c>
      <c r="AE399">
        <v>3</v>
      </c>
      <c r="AF399">
        <v>5</v>
      </c>
      <c r="AG399">
        <v>4</v>
      </c>
      <c r="AH399">
        <v>1</v>
      </c>
      <c r="AI399">
        <v>3</v>
      </c>
      <c r="AJ399" s="2">
        <f>IF(tblHR[[#This Row],[Attrition]]="Yes",1,0)</f>
        <v>0</v>
      </c>
      <c r="AK399" t="str">
        <f>IF(tblHR[[#This Row],[Age]]&lt;26,"18-25",IF(tblHR[[#This Row],[Age]]&lt;36,"26-35",IF(tblHR[[#This Row],[Age]]&lt;46,"36-45",IF(tblHR[[#This Row],[Age]]&lt;56,"46-55","56+"))))</f>
        <v>18-25</v>
      </c>
    </row>
    <row r="400" spans="1:37"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s="1">
        <v>4449</v>
      </c>
      <c r="T400">
        <v>23866</v>
      </c>
      <c r="U400">
        <v>3</v>
      </c>
      <c r="V400" t="s">
        <v>42</v>
      </c>
      <c r="W400" t="s">
        <v>35</v>
      </c>
      <c r="X400">
        <v>15</v>
      </c>
      <c r="Y400">
        <v>3</v>
      </c>
      <c r="Z400">
        <v>1</v>
      </c>
      <c r="AA400">
        <v>80</v>
      </c>
      <c r="AB400">
        <v>2</v>
      </c>
      <c r="AC400">
        <v>15</v>
      </c>
      <c r="AD400">
        <v>2</v>
      </c>
      <c r="AE400">
        <v>3</v>
      </c>
      <c r="AF400">
        <v>13</v>
      </c>
      <c r="AG400">
        <v>11</v>
      </c>
      <c r="AH400">
        <v>10</v>
      </c>
      <c r="AI400">
        <v>7</v>
      </c>
      <c r="AJ400" s="2">
        <f>IF(tblHR[[#This Row],[Attrition]]="Yes",1,0)</f>
        <v>0</v>
      </c>
      <c r="AK400" t="str">
        <f>IF(tblHR[[#This Row],[Age]]&lt;26,"18-25",IF(tblHR[[#This Row],[Age]]&lt;36,"26-35",IF(tblHR[[#This Row],[Age]]&lt;46,"36-45",IF(tblHR[[#This Row],[Age]]&lt;56,"46-55","56+"))))</f>
        <v>36-45</v>
      </c>
    </row>
    <row r="401" spans="1:37"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s="1">
        <v>2218</v>
      </c>
      <c r="T401">
        <v>16193</v>
      </c>
      <c r="U401">
        <v>1</v>
      </c>
      <c r="V401" t="s">
        <v>42</v>
      </c>
      <c r="W401" t="s">
        <v>43</v>
      </c>
      <c r="X401">
        <v>12</v>
      </c>
      <c r="Y401">
        <v>3</v>
      </c>
      <c r="Z401">
        <v>3</v>
      </c>
      <c r="AA401">
        <v>80</v>
      </c>
      <c r="AB401">
        <v>1</v>
      </c>
      <c r="AC401">
        <v>4</v>
      </c>
      <c r="AD401">
        <v>3</v>
      </c>
      <c r="AE401">
        <v>3</v>
      </c>
      <c r="AF401">
        <v>4</v>
      </c>
      <c r="AG401">
        <v>2</v>
      </c>
      <c r="AH401">
        <v>3</v>
      </c>
      <c r="AI401">
        <v>2</v>
      </c>
      <c r="AJ401" s="2">
        <f>IF(tblHR[[#This Row],[Attrition]]="Yes",1,0)</f>
        <v>0</v>
      </c>
      <c r="AK401" t="str">
        <f>IF(tblHR[[#This Row],[Age]]&lt;26,"18-25",IF(tblHR[[#This Row],[Age]]&lt;36,"26-35",IF(tblHR[[#This Row],[Age]]&lt;46,"36-45",IF(tblHR[[#This Row],[Age]]&lt;56,"46-55","56+"))))</f>
        <v>26-35</v>
      </c>
    </row>
    <row r="402" spans="1:37"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s="1">
        <v>19197</v>
      </c>
      <c r="T402">
        <v>8213</v>
      </c>
      <c r="U402">
        <v>1</v>
      </c>
      <c r="V402" t="s">
        <v>42</v>
      </c>
      <c r="W402" t="s">
        <v>35</v>
      </c>
      <c r="X402">
        <v>14</v>
      </c>
      <c r="Y402">
        <v>3</v>
      </c>
      <c r="Z402">
        <v>3</v>
      </c>
      <c r="AA402">
        <v>80</v>
      </c>
      <c r="AB402">
        <v>1</v>
      </c>
      <c r="AC402">
        <v>21</v>
      </c>
      <c r="AD402">
        <v>3</v>
      </c>
      <c r="AE402">
        <v>3</v>
      </c>
      <c r="AF402">
        <v>21</v>
      </c>
      <c r="AG402">
        <v>8</v>
      </c>
      <c r="AH402">
        <v>1</v>
      </c>
      <c r="AI402">
        <v>6</v>
      </c>
      <c r="AJ402" s="2">
        <f>IF(tblHR[[#This Row],[Attrition]]="Yes",1,0)</f>
        <v>0</v>
      </c>
      <c r="AK402" t="str">
        <f>IF(tblHR[[#This Row],[Age]]&lt;26,"18-25",IF(tblHR[[#This Row],[Age]]&lt;36,"26-35",IF(tblHR[[#This Row],[Age]]&lt;46,"36-45",IF(tblHR[[#This Row],[Age]]&lt;56,"46-55","56+"))))</f>
        <v>36-45</v>
      </c>
    </row>
    <row r="403" spans="1:37"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s="1">
        <v>13212</v>
      </c>
      <c r="T403">
        <v>18256</v>
      </c>
      <c r="U403">
        <v>9</v>
      </c>
      <c r="V403" t="s">
        <v>42</v>
      </c>
      <c r="W403" t="s">
        <v>43</v>
      </c>
      <c r="X403">
        <v>11</v>
      </c>
      <c r="Y403">
        <v>3</v>
      </c>
      <c r="Z403">
        <v>4</v>
      </c>
      <c r="AA403">
        <v>80</v>
      </c>
      <c r="AB403">
        <v>3</v>
      </c>
      <c r="AC403">
        <v>36</v>
      </c>
      <c r="AD403">
        <v>0</v>
      </c>
      <c r="AE403">
        <v>2</v>
      </c>
      <c r="AF403">
        <v>7</v>
      </c>
      <c r="AG403">
        <v>7</v>
      </c>
      <c r="AH403">
        <v>7</v>
      </c>
      <c r="AI403">
        <v>7</v>
      </c>
      <c r="AJ403" s="2">
        <f>IF(tblHR[[#This Row],[Attrition]]="Yes",1,0)</f>
        <v>0</v>
      </c>
      <c r="AK403" t="str">
        <f>IF(tblHR[[#This Row],[Age]]&lt;26,"18-25",IF(tblHR[[#This Row],[Age]]&lt;36,"26-35",IF(tblHR[[#This Row],[Age]]&lt;46,"36-45",IF(tblHR[[#This Row],[Age]]&lt;56,"46-55","56+"))))</f>
        <v>56+</v>
      </c>
    </row>
    <row r="404" spans="1:37"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s="1">
        <v>6577</v>
      </c>
      <c r="T404">
        <v>19558</v>
      </c>
      <c r="U404">
        <v>0</v>
      </c>
      <c r="V404" t="s">
        <v>42</v>
      </c>
      <c r="W404" t="s">
        <v>43</v>
      </c>
      <c r="X404">
        <v>11</v>
      </c>
      <c r="Y404">
        <v>3</v>
      </c>
      <c r="Z404">
        <v>2</v>
      </c>
      <c r="AA404">
        <v>80</v>
      </c>
      <c r="AB404">
        <v>0</v>
      </c>
      <c r="AC404">
        <v>6</v>
      </c>
      <c r="AD404">
        <v>6</v>
      </c>
      <c r="AE404">
        <v>3</v>
      </c>
      <c r="AF404">
        <v>5</v>
      </c>
      <c r="AG404">
        <v>4</v>
      </c>
      <c r="AH404">
        <v>4</v>
      </c>
      <c r="AI404">
        <v>4</v>
      </c>
      <c r="AJ404" s="2">
        <f>IF(tblHR[[#This Row],[Attrition]]="Yes",1,0)</f>
        <v>0</v>
      </c>
      <c r="AK404" t="str">
        <f>IF(tblHR[[#This Row],[Age]]&lt;26,"18-25",IF(tblHR[[#This Row],[Age]]&lt;36,"26-35",IF(tblHR[[#This Row],[Age]]&lt;46,"36-45",IF(tblHR[[#This Row],[Age]]&lt;56,"46-55","56+"))))</f>
        <v>26-35</v>
      </c>
    </row>
    <row r="405" spans="1:37"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s="1">
        <v>8392</v>
      </c>
      <c r="T405">
        <v>19566</v>
      </c>
      <c r="U405">
        <v>1</v>
      </c>
      <c r="V405" t="s">
        <v>42</v>
      </c>
      <c r="W405" t="s">
        <v>43</v>
      </c>
      <c r="X405">
        <v>16</v>
      </c>
      <c r="Y405">
        <v>3</v>
      </c>
      <c r="Z405">
        <v>3</v>
      </c>
      <c r="AA405">
        <v>80</v>
      </c>
      <c r="AB405">
        <v>1</v>
      </c>
      <c r="AC405">
        <v>10</v>
      </c>
      <c r="AD405">
        <v>2</v>
      </c>
      <c r="AE405">
        <v>3</v>
      </c>
      <c r="AF405">
        <v>10</v>
      </c>
      <c r="AG405">
        <v>7</v>
      </c>
      <c r="AH405">
        <v>0</v>
      </c>
      <c r="AI405">
        <v>7</v>
      </c>
      <c r="AJ405" s="2">
        <f>IF(tblHR[[#This Row],[Attrition]]="Yes",1,0)</f>
        <v>0</v>
      </c>
      <c r="AK405" t="str">
        <f>IF(tblHR[[#This Row],[Age]]&lt;26,"18-25",IF(tblHR[[#This Row],[Age]]&lt;36,"26-35",IF(tblHR[[#This Row],[Age]]&lt;46,"36-45",IF(tblHR[[#This Row],[Age]]&lt;56,"46-55","56+"))))</f>
        <v>36-45</v>
      </c>
    </row>
    <row r="406" spans="1:37"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s="1">
        <v>4558</v>
      </c>
      <c r="T406">
        <v>13535</v>
      </c>
      <c r="U406">
        <v>1</v>
      </c>
      <c r="V406" t="s">
        <v>42</v>
      </c>
      <c r="W406" t="s">
        <v>43</v>
      </c>
      <c r="X406">
        <v>12</v>
      </c>
      <c r="Y406">
        <v>3</v>
      </c>
      <c r="Z406">
        <v>4</v>
      </c>
      <c r="AA406">
        <v>80</v>
      </c>
      <c r="AB406">
        <v>1</v>
      </c>
      <c r="AC406">
        <v>10</v>
      </c>
      <c r="AD406">
        <v>2</v>
      </c>
      <c r="AE406">
        <v>3</v>
      </c>
      <c r="AF406">
        <v>10</v>
      </c>
      <c r="AG406">
        <v>0</v>
      </c>
      <c r="AH406">
        <v>1</v>
      </c>
      <c r="AI406">
        <v>8</v>
      </c>
      <c r="AJ406" s="2">
        <f>IF(tblHR[[#This Row],[Attrition]]="Yes",1,0)</f>
        <v>0</v>
      </c>
      <c r="AK406" t="str">
        <f>IF(tblHR[[#This Row],[Age]]&lt;26,"18-25",IF(tblHR[[#This Row],[Age]]&lt;36,"26-35",IF(tblHR[[#This Row],[Age]]&lt;46,"36-45",IF(tblHR[[#This Row],[Age]]&lt;56,"46-55","56+"))))</f>
        <v>26-35</v>
      </c>
    </row>
    <row r="407" spans="1:37"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s="1">
        <v>4031</v>
      </c>
      <c r="T407">
        <v>9396</v>
      </c>
      <c r="U407">
        <v>5</v>
      </c>
      <c r="V407" t="s">
        <v>42</v>
      </c>
      <c r="W407" t="s">
        <v>43</v>
      </c>
      <c r="X407">
        <v>13</v>
      </c>
      <c r="Y407">
        <v>3</v>
      </c>
      <c r="Z407">
        <v>3</v>
      </c>
      <c r="AA407">
        <v>80</v>
      </c>
      <c r="AB407">
        <v>1</v>
      </c>
      <c r="AC407">
        <v>6</v>
      </c>
      <c r="AD407">
        <v>5</v>
      </c>
      <c r="AE407">
        <v>3</v>
      </c>
      <c r="AF407">
        <v>2</v>
      </c>
      <c r="AG407">
        <v>2</v>
      </c>
      <c r="AH407">
        <v>0</v>
      </c>
      <c r="AI407">
        <v>2</v>
      </c>
      <c r="AJ407" s="2">
        <f>IF(tblHR[[#This Row],[Attrition]]="Yes",1,0)</f>
        <v>1</v>
      </c>
      <c r="AK407" t="str">
        <f>IF(tblHR[[#This Row],[Age]]&lt;26,"18-25",IF(tblHR[[#This Row],[Age]]&lt;36,"26-35",IF(tblHR[[#This Row],[Age]]&lt;46,"36-45",IF(tblHR[[#This Row],[Age]]&lt;56,"46-55","56+"))))</f>
        <v>18-25</v>
      </c>
    </row>
    <row r="408" spans="1:37"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s="1">
        <v>7969</v>
      </c>
      <c r="T408">
        <v>19609</v>
      </c>
      <c r="U408">
        <v>2</v>
      </c>
      <c r="V408" t="s">
        <v>42</v>
      </c>
      <c r="W408" t="s">
        <v>35</v>
      </c>
      <c r="X408">
        <v>14</v>
      </c>
      <c r="Y408">
        <v>3</v>
      </c>
      <c r="Z408">
        <v>3</v>
      </c>
      <c r="AA408">
        <v>80</v>
      </c>
      <c r="AB408">
        <v>0</v>
      </c>
      <c r="AC408">
        <v>28</v>
      </c>
      <c r="AD408">
        <v>4</v>
      </c>
      <c r="AE408">
        <v>3</v>
      </c>
      <c r="AF408">
        <v>5</v>
      </c>
      <c r="AG408">
        <v>4</v>
      </c>
      <c r="AH408">
        <v>0</v>
      </c>
      <c r="AI408">
        <v>4</v>
      </c>
      <c r="AJ408" s="2">
        <f>IF(tblHR[[#This Row],[Attrition]]="Yes",1,0)</f>
        <v>0</v>
      </c>
      <c r="AK408" t="str">
        <f>IF(tblHR[[#This Row],[Age]]&lt;26,"18-25",IF(tblHR[[#This Row],[Age]]&lt;36,"26-35",IF(tblHR[[#This Row],[Age]]&lt;46,"36-45",IF(tblHR[[#This Row],[Age]]&lt;56,"46-55","56+"))))</f>
        <v>46-55</v>
      </c>
    </row>
    <row r="409" spans="1:37"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s="1">
        <v>2654</v>
      </c>
      <c r="T409">
        <v>9655</v>
      </c>
      <c r="U409">
        <v>3</v>
      </c>
      <c r="V409" t="s">
        <v>42</v>
      </c>
      <c r="W409" t="s">
        <v>43</v>
      </c>
      <c r="X409">
        <v>21</v>
      </c>
      <c r="Y409">
        <v>4</v>
      </c>
      <c r="Z409">
        <v>4</v>
      </c>
      <c r="AA409">
        <v>80</v>
      </c>
      <c r="AB409">
        <v>2</v>
      </c>
      <c r="AC409">
        <v>8</v>
      </c>
      <c r="AD409">
        <v>3</v>
      </c>
      <c r="AE409">
        <v>2</v>
      </c>
      <c r="AF409">
        <v>2</v>
      </c>
      <c r="AG409">
        <v>2</v>
      </c>
      <c r="AH409">
        <v>0</v>
      </c>
      <c r="AI409">
        <v>2</v>
      </c>
      <c r="AJ409" s="2">
        <f>IF(tblHR[[#This Row],[Attrition]]="Yes",1,0)</f>
        <v>0</v>
      </c>
      <c r="AK409" t="str">
        <f>IF(tblHR[[#This Row],[Age]]&lt;26,"18-25",IF(tblHR[[#This Row],[Age]]&lt;36,"26-35",IF(tblHR[[#This Row],[Age]]&lt;46,"36-45",IF(tblHR[[#This Row],[Age]]&lt;56,"46-55","56+"))))</f>
        <v>36-45</v>
      </c>
    </row>
    <row r="410" spans="1:37"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s="1">
        <v>16555</v>
      </c>
      <c r="T410">
        <v>10310</v>
      </c>
      <c r="U410">
        <v>2</v>
      </c>
      <c r="V410" t="s">
        <v>42</v>
      </c>
      <c r="W410" t="s">
        <v>43</v>
      </c>
      <c r="X410">
        <v>13</v>
      </c>
      <c r="Y410">
        <v>3</v>
      </c>
      <c r="Z410">
        <v>4</v>
      </c>
      <c r="AA410">
        <v>80</v>
      </c>
      <c r="AB410">
        <v>0</v>
      </c>
      <c r="AC410">
        <v>31</v>
      </c>
      <c r="AD410">
        <v>2</v>
      </c>
      <c r="AE410">
        <v>1</v>
      </c>
      <c r="AF410">
        <v>5</v>
      </c>
      <c r="AG410">
        <v>2</v>
      </c>
      <c r="AH410">
        <v>1</v>
      </c>
      <c r="AI410">
        <v>4</v>
      </c>
      <c r="AJ410" s="2">
        <f>IF(tblHR[[#This Row],[Attrition]]="Yes",1,0)</f>
        <v>0</v>
      </c>
      <c r="AK410" t="str">
        <f>IF(tblHR[[#This Row],[Age]]&lt;26,"18-25",IF(tblHR[[#This Row],[Age]]&lt;36,"26-35",IF(tblHR[[#This Row],[Age]]&lt;46,"36-45",IF(tblHR[[#This Row],[Age]]&lt;56,"46-55","56+"))))</f>
        <v>46-55</v>
      </c>
    </row>
    <row r="411" spans="1:37"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s="1">
        <v>4556</v>
      </c>
      <c r="T411">
        <v>12932</v>
      </c>
      <c r="U411">
        <v>2</v>
      </c>
      <c r="V411" t="s">
        <v>42</v>
      </c>
      <c r="W411" t="s">
        <v>43</v>
      </c>
      <c r="X411">
        <v>11</v>
      </c>
      <c r="Y411">
        <v>3</v>
      </c>
      <c r="Z411">
        <v>2</v>
      </c>
      <c r="AA411">
        <v>80</v>
      </c>
      <c r="AB411">
        <v>1</v>
      </c>
      <c r="AC411">
        <v>19</v>
      </c>
      <c r="AD411">
        <v>3</v>
      </c>
      <c r="AE411">
        <v>3</v>
      </c>
      <c r="AF411">
        <v>5</v>
      </c>
      <c r="AG411">
        <v>4</v>
      </c>
      <c r="AH411">
        <v>0</v>
      </c>
      <c r="AI411">
        <v>2</v>
      </c>
      <c r="AJ411" s="2">
        <f>IF(tblHR[[#This Row],[Attrition]]="Yes",1,0)</f>
        <v>0</v>
      </c>
      <c r="AK411" t="str">
        <f>IF(tblHR[[#This Row],[Age]]&lt;26,"18-25",IF(tblHR[[#This Row],[Age]]&lt;36,"26-35",IF(tblHR[[#This Row],[Age]]&lt;46,"36-45",IF(tblHR[[#This Row],[Age]]&lt;56,"46-55","56+"))))</f>
        <v>36-45</v>
      </c>
    </row>
    <row r="412" spans="1:37"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s="1">
        <v>6091</v>
      </c>
      <c r="T412">
        <v>24793</v>
      </c>
      <c r="U412">
        <v>2</v>
      </c>
      <c r="V412" t="s">
        <v>42</v>
      </c>
      <c r="W412" t="s">
        <v>43</v>
      </c>
      <c r="X412">
        <v>20</v>
      </c>
      <c r="Y412">
        <v>4</v>
      </c>
      <c r="Z412">
        <v>3</v>
      </c>
      <c r="AA412">
        <v>80</v>
      </c>
      <c r="AB412">
        <v>0</v>
      </c>
      <c r="AC412">
        <v>11</v>
      </c>
      <c r="AD412">
        <v>2</v>
      </c>
      <c r="AE412">
        <v>3</v>
      </c>
      <c r="AF412">
        <v>5</v>
      </c>
      <c r="AG412">
        <v>4</v>
      </c>
      <c r="AH412">
        <v>0</v>
      </c>
      <c r="AI412">
        <v>2</v>
      </c>
      <c r="AJ412" s="2">
        <f>IF(tblHR[[#This Row],[Attrition]]="Yes",1,0)</f>
        <v>0</v>
      </c>
      <c r="AK412" t="str">
        <f>IF(tblHR[[#This Row],[Age]]&lt;26,"18-25",IF(tblHR[[#This Row],[Age]]&lt;36,"26-35",IF(tblHR[[#This Row],[Age]]&lt;46,"36-45",IF(tblHR[[#This Row],[Age]]&lt;56,"46-55","56+"))))</f>
        <v>26-35</v>
      </c>
    </row>
    <row r="413" spans="1:37"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s="1">
        <v>19566</v>
      </c>
      <c r="T413">
        <v>3854</v>
      </c>
      <c r="U413">
        <v>5</v>
      </c>
      <c r="V413" t="s">
        <v>42</v>
      </c>
      <c r="W413" t="s">
        <v>43</v>
      </c>
      <c r="X413">
        <v>11</v>
      </c>
      <c r="Y413">
        <v>3</v>
      </c>
      <c r="Z413">
        <v>4</v>
      </c>
      <c r="AA413">
        <v>80</v>
      </c>
      <c r="AB413">
        <v>0</v>
      </c>
      <c r="AC413">
        <v>33</v>
      </c>
      <c r="AD413">
        <v>5</v>
      </c>
      <c r="AE413">
        <v>1</v>
      </c>
      <c r="AF413">
        <v>29</v>
      </c>
      <c r="AG413">
        <v>8</v>
      </c>
      <c r="AH413">
        <v>11</v>
      </c>
      <c r="AI413">
        <v>10</v>
      </c>
      <c r="AJ413" s="2">
        <f>IF(tblHR[[#This Row],[Attrition]]="Yes",1,0)</f>
        <v>0</v>
      </c>
      <c r="AK413" t="str">
        <f>IF(tblHR[[#This Row],[Age]]&lt;26,"18-25",IF(tblHR[[#This Row],[Age]]&lt;36,"26-35",IF(tblHR[[#This Row],[Age]]&lt;46,"36-45",IF(tblHR[[#This Row],[Age]]&lt;56,"46-55","56+"))))</f>
        <v>56+</v>
      </c>
    </row>
    <row r="414" spans="1:37"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s="1">
        <v>4810</v>
      </c>
      <c r="T414">
        <v>26314</v>
      </c>
      <c r="U414">
        <v>2</v>
      </c>
      <c r="V414" t="s">
        <v>42</v>
      </c>
      <c r="W414" t="s">
        <v>43</v>
      </c>
      <c r="X414">
        <v>14</v>
      </c>
      <c r="Y414">
        <v>3</v>
      </c>
      <c r="Z414">
        <v>3</v>
      </c>
      <c r="AA414">
        <v>80</v>
      </c>
      <c r="AB414">
        <v>1</v>
      </c>
      <c r="AC414">
        <v>19</v>
      </c>
      <c r="AD414">
        <v>5</v>
      </c>
      <c r="AE414">
        <v>2</v>
      </c>
      <c r="AF414">
        <v>10</v>
      </c>
      <c r="AG414">
        <v>7</v>
      </c>
      <c r="AH414">
        <v>0</v>
      </c>
      <c r="AI414">
        <v>8</v>
      </c>
      <c r="AJ414" s="2">
        <f>IF(tblHR[[#This Row],[Attrition]]="Yes",1,0)</f>
        <v>0</v>
      </c>
      <c r="AK414" t="str">
        <f>IF(tblHR[[#This Row],[Age]]&lt;26,"18-25",IF(tblHR[[#This Row],[Age]]&lt;36,"26-35",IF(tblHR[[#This Row],[Age]]&lt;46,"36-45",IF(tblHR[[#This Row],[Age]]&lt;56,"46-55","56+"))))</f>
        <v>46-55</v>
      </c>
    </row>
    <row r="415" spans="1:37"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s="1">
        <v>4523</v>
      </c>
      <c r="T415">
        <v>4386</v>
      </c>
      <c r="U415">
        <v>0</v>
      </c>
      <c r="V415" t="s">
        <v>42</v>
      </c>
      <c r="W415" t="s">
        <v>43</v>
      </c>
      <c r="X415">
        <v>11</v>
      </c>
      <c r="Y415">
        <v>3</v>
      </c>
      <c r="Z415">
        <v>4</v>
      </c>
      <c r="AA415">
        <v>80</v>
      </c>
      <c r="AB415">
        <v>3</v>
      </c>
      <c r="AC415">
        <v>7</v>
      </c>
      <c r="AD415">
        <v>4</v>
      </c>
      <c r="AE415">
        <v>4</v>
      </c>
      <c r="AF415">
        <v>6</v>
      </c>
      <c r="AG415">
        <v>5</v>
      </c>
      <c r="AH415">
        <v>0</v>
      </c>
      <c r="AI415">
        <v>4</v>
      </c>
      <c r="AJ415" s="2">
        <f>IF(tblHR[[#This Row],[Attrition]]="Yes",1,0)</f>
        <v>0</v>
      </c>
      <c r="AK415" t="str">
        <f>IF(tblHR[[#This Row],[Age]]&lt;26,"18-25",IF(tblHR[[#This Row],[Age]]&lt;36,"26-35",IF(tblHR[[#This Row],[Age]]&lt;46,"36-45",IF(tblHR[[#This Row],[Age]]&lt;56,"46-55","56+"))))</f>
        <v>36-45</v>
      </c>
    </row>
    <row r="416" spans="1:37"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s="1">
        <v>3202</v>
      </c>
      <c r="T416">
        <v>21972</v>
      </c>
      <c r="U416">
        <v>1</v>
      </c>
      <c r="V416" t="s">
        <v>42</v>
      </c>
      <c r="W416" t="s">
        <v>35</v>
      </c>
      <c r="X416">
        <v>16</v>
      </c>
      <c r="Y416">
        <v>3</v>
      </c>
      <c r="Z416">
        <v>2</v>
      </c>
      <c r="AA416">
        <v>80</v>
      </c>
      <c r="AB416">
        <v>0</v>
      </c>
      <c r="AC416">
        <v>6</v>
      </c>
      <c r="AD416">
        <v>4</v>
      </c>
      <c r="AE416">
        <v>3</v>
      </c>
      <c r="AF416">
        <v>5</v>
      </c>
      <c r="AG416">
        <v>3</v>
      </c>
      <c r="AH416">
        <v>1</v>
      </c>
      <c r="AI416">
        <v>4</v>
      </c>
      <c r="AJ416" s="2">
        <f>IF(tblHR[[#This Row],[Attrition]]="Yes",1,0)</f>
        <v>1</v>
      </c>
      <c r="AK416" t="str">
        <f>IF(tblHR[[#This Row],[Age]]&lt;26,"18-25",IF(tblHR[[#This Row],[Age]]&lt;36,"26-35",IF(tblHR[[#This Row],[Age]]&lt;46,"36-45",IF(tblHR[[#This Row],[Age]]&lt;56,"46-55","56+"))))</f>
        <v>18-25</v>
      </c>
    </row>
    <row r="417" spans="1:37"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s="1">
        <v>2351</v>
      </c>
      <c r="T417">
        <v>12253</v>
      </c>
      <c r="U417">
        <v>0</v>
      </c>
      <c r="V417" t="s">
        <v>42</v>
      </c>
      <c r="W417" t="s">
        <v>43</v>
      </c>
      <c r="X417">
        <v>16</v>
      </c>
      <c r="Y417">
        <v>3</v>
      </c>
      <c r="Z417">
        <v>4</v>
      </c>
      <c r="AA417">
        <v>80</v>
      </c>
      <c r="AB417">
        <v>1</v>
      </c>
      <c r="AC417">
        <v>3</v>
      </c>
      <c r="AD417">
        <v>3</v>
      </c>
      <c r="AE417">
        <v>2</v>
      </c>
      <c r="AF417">
        <v>2</v>
      </c>
      <c r="AG417">
        <v>2</v>
      </c>
      <c r="AH417">
        <v>1</v>
      </c>
      <c r="AI417">
        <v>0</v>
      </c>
      <c r="AJ417" s="2">
        <f>IF(tblHR[[#This Row],[Attrition]]="Yes",1,0)</f>
        <v>1</v>
      </c>
      <c r="AK417" t="str">
        <f>IF(tblHR[[#This Row],[Age]]&lt;26,"18-25",IF(tblHR[[#This Row],[Age]]&lt;36,"26-35",IF(tblHR[[#This Row],[Age]]&lt;46,"36-45",IF(tblHR[[#This Row],[Age]]&lt;56,"46-55","56+"))))</f>
        <v>26-35</v>
      </c>
    </row>
    <row r="418" spans="1:37"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s="1">
        <v>1702</v>
      </c>
      <c r="T418">
        <v>12106</v>
      </c>
      <c r="U418">
        <v>1</v>
      </c>
      <c r="V418" t="s">
        <v>42</v>
      </c>
      <c r="W418" t="s">
        <v>35</v>
      </c>
      <c r="X418">
        <v>23</v>
      </c>
      <c r="Y418">
        <v>4</v>
      </c>
      <c r="Z418">
        <v>3</v>
      </c>
      <c r="AA418">
        <v>80</v>
      </c>
      <c r="AB418">
        <v>1</v>
      </c>
      <c r="AC418">
        <v>1</v>
      </c>
      <c r="AD418">
        <v>3</v>
      </c>
      <c r="AE418">
        <v>3</v>
      </c>
      <c r="AF418">
        <v>1</v>
      </c>
      <c r="AG418">
        <v>0</v>
      </c>
      <c r="AH418">
        <v>0</v>
      </c>
      <c r="AI418">
        <v>0</v>
      </c>
      <c r="AJ418" s="2">
        <f>IF(tblHR[[#This Row],[Attrition]]="Yes",1,0)</f>
        <v>0</v>
      </c>
      <c r="AK418" t="str">
        <f>IF(tblHR[[#This Row],[Age]]&lt;26,"18-25",IF(tblHR[[#This Row],[Age]]&lt;36,"26-35",IF(tblHR[[#This Row],[Age]]&lt;46,"36-45",IF(tblHR[[#This Row],[Age]]&lt;56,"46-55","56+"))))</f>
        <v>36-45</v>
      </c>
    </row>
    <row r="419" spans="1:37"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s="1">
        <v>18041</v>
      </c>
      <c r="T419">
        <v>13022</v>
      </c>
      <c r="U419">
        <v>0</v>
      </c>
      <c r="V419" t="s">
        <v>42</v>
      </c>
      <c r="W419" t="s">
        <v>43</v>
      </c>
      <c r="X419">
        <v>14</v>
      </c>
      <c r="Y419">
        <v>3</v>
      </c>
      <c r="Z419">
        <v>4</v>
      </c>
      <c r="AA419">
        <v>80</v>
      </c>
      <c r="AB419">
        <v>0</v>
      </c>
      <c r="AC419">
        <v>21</v>
      </c>
      <c r="AD419">
        <v>2</v>
      </c>
      <c r="AE419">
        <v>3</v>
      </c>
      <c r="AF419">
        <v>20</v>
      </c>
      <c r="AG419">
        <v>15</v>
      </c>
      <c r="AH419">
        <v>1</v>
      </c>
      <c r="AI419">
        <v>12</v>
      </c>
      <c r="AJ419" s="2">
        <f>IF(tblHR[[#This Row],[Attrition]]="Yes",1,0)</f>
        <v>0</v>
      </c>
      <c r="AK419" t="str">
        <f>IF(tblHR[[#This Row],[Age]]&lt;26,"18-25",IF(tblHR[[#This Row],[Age]]&lt;36,"26-35",IF(tblHR[[#This Row],[Age]]&lt;46,"36-45",IF(tblHR[[#This Row],[Age]]&lt;56,"46-55","56+"))))</f>
        <v>36-45</v>
      </c>
    </row>
    <row r="420" spans="1:37"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s="1">
        <v>2886</v>
      </c>
      <c r="T420">
        <v>3032</v>
      </c>
      <c r="U420">
        <v>1</v>
      </c>
      <c r="V420" t="s">
        <v>42</v>
      </c>
      <c r="W420" t="s">
        <v>43</v>
      </c>
      <c r="X420">
        <v>22</v>
      </c>
      <c r="Y420">
        <v>4</v>
      </c>
      <c r="Z420">
        <v>2</v>
      </c>
      <c r="AA420">
        <v>80</v>
      </c>
      <c r="AB420">
        <v>2</v>
      </c>
      <c r="AC420">
        <v>3</v>
      </c>
      <c r="AD420">
        <v>3</v>
      </c>
      <c r="AE420">
        <v>1</v>
      </c>
      <c r="AF420">
        <v>3</v>
      </c>
      <c r="AG420">
        <v>2</v>
      </c>
      <c r="AH420">
        <v>0</v>
      </c>
      <c r="AI420">
        <v>2</v>
      </c>
      <c r="AJ420" s="2">
        <f>IF(tblHR[[#This Row],[Attrition]]="Yes",1,0)</f>
        <v>0</v>
      </c>
      <c r="AK420" t="str">
        <f>IF(tblHR[[#This Row],[Age]]&lt;26,"18-25",IF(tblHR[[#This Row],[Age]]&lt;36,"26-35",IF(tblHR[[#This Row],[Age]]&lt;46,"36-45",IF(tblHR[[#This Row],[Age]]&lt;56,"46-55","56+"))))</f>
        <v>26-35</v>
      </c>
    </row>
    <row r="421" spans="1:37"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s="1">
        <v>2097</v>
      </c>
      <c r="T421">
        <v>16734</v>
      </c>
      <c r="U421">
        <v>4</v>
      </c>
      <c r="V421" t="s">
        <v>42</v>
      </c>
      <c r="W421" t="s">
        <v>43</v>
      </c>
      <c r="X421">
        <v>15</v>
      </c>
      <c r="Y421">
        <v>3</v>
      </c>
      <c r="Z421">
        <v>3</v>
      </c>
      <c r="AA421">
        <v>80</v>
      </c>
      <c r="AB421">
        <v>1</v>
      </c>
      <c r="AC421">
        <v>9</v>
      </c>
      <c r="AD421">
        <v>3</v>
      </c>
      <c r="AE421">
        <v>1</v>
      </c>
      <c r="AF421">
        <v>5</v>
      </c>
      <c r="AG421">
        <v>3</v>
      </c>
      <c r="AH421">
        <v>1</v>
      </c>
      <c r="AI421">
        <v>4</v>
      </c>
      <c r="AJ421" s="2">
        <f>IF(tblHR[[#This Row],[Attrition]]="Yes",1,0)</f>
        <v>0</v>
      </c>
      <c r="AK421" t="str">
        <f>IF(tblHR[[#This Row],[Age]]&lt;26,"18-25",IF(tblHR[[#This Row],[Age]]&lt;36,"26-35",IF(tblHR[[#This Row],[Age]]&lt;46,"36-45",IF(tblHR[[#This Row],[Age]]&lt;56,"46-55","56+"))))</f>
        <v>26-35</v>
      </c>
    </row>
    <row r="422" spans="1:37"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s="1">
        <v>11935</v>
      </c>
      <c r="T422">
        <v>21526</v>
      </c>
      <c r="U422">
        <v>1</v>
      </c>
      <c r="V422" t="s">
        <v>42</v>
      </c>
      <c r="W422" t="s">
        <v>43</v>
      </c>
      <c r="X422">
        <v>18</v>
      </c>
      <c r="Y422">
        <v>3</v>
      </c>
      <c r="Z422">
        <v>3</v>
      </c>
      <c r="AA422">
        <v>80</v>
      </c>
      <c r="AB422">
        <v>0</v>
      </c>
      <c r="AC422">
        <v>10</v>
      </c>
      <c r="AD422">
        <v>2</v>
      </c>
      <c r="AE422">
        <v>3</v>
      </c>
      <c r="AF422">
        <v>10</v>
      </c>
      <c r="AG422">
        <v>2</v>
      </c>
      <c r="AH422">
        <v>0</v>
      </c>
      <c r="AI422">
        <v>7</v>
      </c>
      <c r="AJ422" s="2">
        <f>IF(tblHR[[#This Row],[Attrition]]="Yes",1,0)</f>
        <v>0</v>
      </c>
      <c r="AK422" t="str">
        <f>IF(tblHR[[#This Row],[Age]]&lt;26,"18-25",IF(tblHR[[#This Row],[Age]]&lt;36,"26-35",IF(tblHR[[#This Row],[Age]]&lt;46,"36-45",IF(tblHR[[#This Row],[Age]]&lt;56,"46-55","56+"))))</f>
        <v>26-35</v>
      </c>
    </row>
    <row r="423" spans="1:37"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s="1">
        <v>2546</v>
      </c>
      <c r="T423">
        <v>18300</v>
      </c>
      <c r="U423">
        <v>5</v>
      </c>
      <c r="V423" t="s">
        <v>42</v>
      </c>
      <c r="W423" t="s">
        <v>43</v>
      </c>
      <c r="X423">
        <v>16</v>
      </c>
      <c r="Y423">
        <v>3</v>
      </c>
      <c r="Z423">
        <v>2</v>
      </c>
      <c r="AA423">
        <v>80</v>
      </c>
      <c r="AB423">
        <v>0</v>
      </c>
      <c r="AC423">
        <v>6</v>
      </c>
      <c r="AD423">
        <v>2</v>
      </c>
      <c r="AE423">
        <v>4</v>
      </c>
      <c r="AF423">
        <v>2</v>
      </c>
      <c r="AG423">
        <v>2</v>
      </c>
      <c r="AH423">
        <v>1</v>
      </c>
      <c r="AI423">
        <v>1</v>
      </c>
      <c r="AJ423" s="2">
        <f>IF(tblHR[[#This Row],[Attrition]]="Yes",1,0)</f>
        <v>1</v>
      </c>
      <c r="AK423" t="str">
        <f>IF(tblHR[[#This Row],[Age]]&lt;26,"18-25",IF(tblHR[[#This Row],[Age]]&lt;36,"26-35",IF(tblHR[[#This Row],[Age]]&lt;46,"36-45",IF(tblHR[[#This Row],[Age]]&lt;56,"46-55","56+"))))</f>
        <v>26-35</v>
      </c>
    </row>
    <row r="424" spans="1:37"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s="1">
        <v>2564</v>
      </c>
      <c r="T424">
        <v>18437</v>
      </c>
      <c r="U424">
        <v>1</v>
      </c>
      <c r="V424" t="s">
        <v>42</v>
      </c>
      <c r="W424" t="s">
        <v>43</v>
      </c>
      <c r="X424">
        <v>12</v>
      </c>
      <c r="Y424">
        <v>3</v>
      </c>
      <c r="Z424">
        <v>3</v>
      </c>
      <c r="AA424">
        <v>80</v>
      </c>
      <c r="AB424">
        <v>0</v>
      </c>
      <c r="AC424">
        <v>1</v>
      </c>
      <c r="AD424">
        <v>3</v>
      </c>
      <c r="AE424">
        <v>4</v>
      </c>
      <c r="AF424">
        <v>1</v>
      </c>
      <c r="AG424">
        <v>0</v>
      </c>
      <c r="AH424">
        <v>0</v>
      </c>
      <c r="AI424">
        <v>0</v>
      </c>
      <c r="AJ424" s="2">
        <f>IF(tblHR[[#This Row],[Attrition]]="Yes",1,0)</f>
        <v>1</v>
      </c>
      <c r="AK424" t="str">
        <f>IF(tblHR[[#This Row],[Age]]&lt;26,"18-25",IF(tblHR[[#This Row],[Age]]&lt;36,"26-35",IF(tblHR[[#This Row],[Age]]&lt;46,"36-45",IF(tblHR[[#This Row],[Age]]&lt;56,"46-55","56+"))))</f>
        <v>18-25</v>
      </c>
    </row>
    <row r="425" spans="1:37"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s="1">
        <v>8412</v>
      </c>
      <c r="T425">
        <v>2890</v>
      </c>
      <c r="U425">
        <v>0</v>
      </c>
      <c r="V425" t="s">
        <v>42</v>
      </c>
      <c r="W425" t="s">
        <v>43</v>
      </c>
      <c r="X425">
        <v>11</v>
      </c>
      <c r="Y425">
        <v>3</v>
      </c>
      <c r="Z425">
        <v>3</v>
      </c>
      <c r="AA425">
        <v>80</v>
      </c>
      <c r="AB425">
        <v>0</v>
      </c>
      <c r="AC425">
        <v>10</v>
      </c>
      <c r="AD425">
        <v>3</v>
      </c>
      <c r="AE425">
        <v>3</v>
      </c>
      <c r="AF425">
        <v>9</v>
      </c>
      <c r="AG425">
        <v>8</v>
      </c>
      <c r="AH425">
        <v>7</v>
      </c>
      <c r="AI425">
        <v>8</v>
      </c>
      <c r="AJ425" s="2">
        <f>IF(tblHR[[#This Row],[Attrition]]="Yes",1,0)</f>
        <v>0</v>
      </c>
      <c r="AK425" t="str">
        <f>IF(tblHR[[#This Row],[Age]]&lt;26,"18-25",IF(tblHR[[#This Row],[Age]]&lt;36,"26-35",IF(tblHR[[#This Row],[Age]]&lt;46,"36-45",IF(tblHR[[#This Row],[Age]]&lt;56,"46-55","56+"))))</f>
        <v>26-35</v>
      </c>
    </row>
    <row r="426" spans="1:37"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s="1">
        <v>14118</v>
      </c>
      <c r="T426">
        <v>22102</v>
      </c>
      <c r="U426">
        <v>3</v>
      </c>
      <c r="V426" t="s">
        <v>42</v>
      </c>
      <c r="W426" t="s">
        <v>43</v>
      </c>
      <c r="X426">
        <v>12</v>
      </c>
      <c r="Y426">
        <v>3</v>
      </c>
      <c r="Z426">
        <v>3</v>
      </c>
      <c r="AA426">
        <v>80</v>
      </c>
      <c r="AB426">
        <v>1</v>
      </c>
      <c r="AC426">
        <v>32</v>
      </c>
      <c r="AD426">
        <v>3</v>
      </c>
      <c r="AE426">
        <v>2</v>
      </c>
      <c r="AF426">
        <v>1</v>
      </c>
      <c r="AG426">
        <v>0</v>
      </c>
      <c r="AH426">
        <v>0</v>
      </c>
      <c r="AI426">
        <v>0</v>
      </c>
      <c r="AJ426" s="2">
        <f>IF(tblHR[[#This Row],[Attrition]]="Yes",1,0)</f>
        <v>0</v>
      </c>
      <c r="AK426" t="str">
        <f>IF(tblHR[[#This Row],[Age]]&lt;26,"18-25",IF(tblHR[[#This Row],[Age]]&lt;36,"26-35",IF(tblHR[[#This Row],[Age]]&lt;46,"36-45",IF(tblHR[[#This Row],[Age]]&lt;56,"46-55","56+"))))</f>
        <v>56+</v>
      </c>
    </row>
    <row r="427" spans="1:37"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s="1">
        <v>17046</v>
      </c>
      <c r="T427">
        <v>9314</v>
      </c>
      <c r="U427">
        <v>0</v>
      </c>
      <c r="V427" t="s">
        <v>42</v>
      </c>
      <c r="W427" t="s">
        <v>43</v>
      </c>
      <c r="X427">
        <v>15</v>
      </c>
      <c r="Y427">
        <v>3</v>
      </c>
      <c r="Z427">
        <v>2</v>
      </c>
      <c r="AA427">
        <v>80</v>
      </c>
      <c r="AB427">
        <v>1</v>
      </c>
      <c r="AC427">
        <v>28</v>
      </c>
      <c r="AD427">
        <v>2</v>
      </c>
      <c r="AE427">
        <v>3</v>
      </c>
      <c r="AF427">
        <v>27</v>
      </c>
      <c r="AG427">
        <v>10</v>
      </c>
      <c r="AH427">
        <v>15</v>
      </c>
      <c r="AI427">
        <v>7</v>
      </c>
      <c r="AJ427" s="2">
        <f>IF(tblHR[[#This Row],[Attrition]]="Yes",1,0)</f>
        <v>0</v>
      </c>
      <c r="AK427" t="str">
        <f>IF(tblHR[[#This Row],[Age]]&lt;26,"18-25",IF(tblHR[[#This Row],[Age]]&lt;36,"26-35",IF(tblHR[[#This Row],[Age]]&lt;46,"36-45",IF(tblHR[[#This Row],[Age]]&lt;56,"46-55","56+"))))</f>
        <v>46-55</v>
      </c>
    </row>
    <row r="428" spans="1:37"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s="1">
        <v>2564</v>
      </c>
      <c r="T428">
        <v>7181</v>
      </c>
      <c r="U428">
        <v>0</v>
      </c>
      <c r="V428" t="s">
        <v>42</v>
      </c>
      <c r="W428" t="s">
        <v>43</v>
      </c>
      <c r="X428">
        <v>14</v>
      </c>
      <c r="Y428">
        <v>3</v>
      </c>
      <c r="Z428">
        <v>3</v>
      </c>
      <c r="AA428">
        <v>80</v>
      </c>
      <c r="AB428">
        <v>0</v>
      </c>
      <c r="AC428">
        <v>12</v>
      </c>
      <c r="AD428">
        <v>2</v>
      </c>
      <c r="AE428">
        <v>2</v>
      </c>
      <c r="AF428">
        <v>11</v>
      </c>
      <c r="AG428">
        <v>7</v>
      </c>
      <c r="AH428">
        <v>6</v>
      </c>
      <c r="AI428">
        <v>7</v>
      </c>
      <c r="AJ428" s="2">
        <f>IF(tblHR[[#This Row],[Attrition]]="Yes",1,0)</f>
        <v>0</v>
      </c>
      <c r="AK428" t="str">
        <f>IF(tblHR[[#This Row],[Age]]&lt;26,"18-25",IF(tblHR[[#This Row],[Age]]&lt;36,"26-35",IF(tblHR[[#This Row],[Age]]&lt;46,"36-45",IF(tblHR[[#This Row],[Age]]&lt;56,"46-55","56+"))))</f>
        <v>26-35</v>
      </c>
    </row>
    <row r="429" spans="1:37"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s="1">
        <v>10266</v>
      </c>
      <c r="T429">
        <v>2845</v>
      </c>
      <c r="U429">
        <v>4</v>
      </c>
      <c r="V429" t="s">
        <v>42</v>
      </c>
      <c r="W429" t="s">
        <v>43</v>
      </c>
      <c r="X429">
        <v>19</v>
      </c>
      <c r="Y429">
        <v>3</v>
      </c>
      <c r="Z429">
        <v>4</v>
      </c>
      <c r="AA429">
        <v>80</v>
      </c>
      <c r="AB429">
        <v>0</v>
      </c>
      <c r="AC429">
        <v>22</v>
      </c>
      <c r="AD429">
        <v>5</v>
      </c>
      <c r="AE429">
        <v>4</v>
      </c>
      <c r="AF429">
        <v>18</v>
      </c>
      <c r="AG429">
        <v>13</v>
      </c>
      <c r="AH429">
        <v>13</v>
      </c>
      <c r="AI429">
        <v>11</v>
      </c>
      <c r="AJ429" s="2">
        <f>IF(tblHR[[#This Row],[Attrition]]="Yes",1,0)</f>
        <v>0</v>
      </c>
      <c r="AK429" t="str">
        <f>IF(tblHR[[#This Row],[Age]]&lt;26,"18-25",IF(tblHR[[#This Row],[Age]]&lt;36,"26-35",IF(tblHR[[#This Row],[Age]]&lt;46,"36-45",IF(tblHR[[#This Row],[Age]]&lt;56,"46-55","56+"))))</f>
        <v>56+</v>
      </c>
    </row>
    <row r="430" spans="1:37"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s="1">
        <v>5070</v>
      </c>
      <c r="T430">
        <v>7389</v>
      </c>
      <c r="U430">
        <v>5</v>
      </c>
      <c r="V430" t="s">
        <v>42</v>
      </c>
      <c r="W430" t="s">
        <v>43</v>
      </c>
      <c r="X430">
        <v>13</v>
      </c>
      <c r="Y430">
        <v>3</v>
      </c>
      <c r="Z430">
        <v>3</v>
      </c>
      <c r="AA430">
        <v>80</v>
      </c>
      <c r="AB430">
        <v>3</v>
      </c>
      <c r="AC430">
        <v>20</v>
      </c>
      <c r="AD430">
        <v>2</v>
      </c>
      <c r="AE430">
        <v>3</v>
      </c>
      <c r="AF430">
        <v>5</v>
      </c>
      <c r="AG430">
        <v>0</v>
      </c>
      <c r="AH430">
        <v>0</v>
      </c>
      <c r="AI430">
        <v>4</v>
      </c>
      <c r="AJ430" s="2">
        <f>IF(tblHR[[#This Row],[Attrition]]="Yes",1,0)</f>
        <v>0</v>
      </c>
      <c r="AK430" t="str">
        <f>IF(tblHR[[#This Row],[Age]]&lt;26,"18-25",IF(tblHR[[#This Row],[Age]]&lt;36,"26-35",IF(tblHR[[#This Row],[Age]]&lt;46,"36-45",IF(tblHR[[#This Row],[Age]]&lt;56,"46-55","56+"))))</f>
        <v>46-55</v>
      </c>
    </row>
    <row r="431" spans="1:37"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s="1">
        <v>17861</v>
      </c>
      <c r="T431">
        <v>2288</v>
      </c>
      <c r="U431">
        <v>6</v>
      </c>
      <c r="V431" t="s">
        <v>42</v>
      </c>
      <c r="W431" t="s">
        <v>43</v>
      </c>
      <c r="X431">
        <v>13</v>
      </c>
      <c r="Y431">
        <v>3</v>
      </c>
      <c r="Z431">
        <v>3</v>
      </c>
      <c r="AA431">
        <v>80</v>
      </c>
      <c r="AB431">
        <v>0</v>
      </c>
      <c r="AC431">
        <v>26</v>
      </c>
      <c r="AD431">
        <v>2</v>
      </c>
      <c r="AE431">
        <v>1</v>
      </c>
      <c r="AF431">
        <v>3</v>
      </c>
      <c r="AG431">
        <v>2</v>
      </c>
      <c r="AH431">
        <v>0</v>
      </c>
      <c r="AI431">
        <v>1</v>
      </c>
      <c r="AJ431" s="2">
        <f>IF(tblHR[[#This Row],[Attrition]]="Yes",1,0)</f>
        <v>0</v>
      </c>
      <c r="AK431" t="str">
        <f>IF(tblHR[[#This Row],[Age]]&lt;26,"18-25",IF(tblHR[[#This Row],[Age]]&lt;36,"26-35",IF(tblHR[[#This Row],[Age]]&lt;46,"36-45",IF(tblHR[[#This Row],[Age]]&lt;56,"46-55","56+"))))</f>
        <v>46-55</v>
      </c>
    </row>
    <row r="432" spans="1:37"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s="1">
        <v>4230</v>
      </c>
      <c r="T432">
        <v>19225</v>
      </c>
      <c r="U432">
        <v>0</v>
      </c>
      <c r="V432" t="s">
        <v>42</v>
      </c>
      <c r="W432" t="s">
        <v>43</v>
      </c>
      <c r="X432">
        <v>15</v>
      </c>
      <c r="Y432">
        <v>3</v>
      </c>
      <c r="Z432">
        <v>3</v>
      </c>
      <c r="AA432">
        <v>80</v>
      </c>
      <c r="AB432">
        <v>0</v>
      </c>
      <c r="AC432">
        <v>6</v>
      </c>
      <c r="AD432">
        <v>2</v>
      </c>
      <c r="AE432">
        <v>3</v>
      </c>
      <c r="AF432">
        <v>5</v>
      </c>
      <c r="AG432">
        <v>4</v>
      </c>
      <c r="AH432">
        <v>4</v>
      </c>
      <c r="AI432">
        <v>3</v>
      </c>
      <c r="AJ432" s="2">
        <f>IF(tblHR[[#This Row],[Attrition]]="Yes",1,0)</f>
        <v>0</v>
      </c>
      <c r="AK432" t="str">
        <f>IF(tblHR[[#This Row],[Age]]&lt;26,"18-25",IF(tblHR[[#This Row],[Age]]&lt;36,"26-35",IF(tblHR[[#This Row],[Age]]&lt;46,"36-45",IF(tblHR[[#This Row],[Age]]&lt;56,"46-55","56+"))))</f>
        <v>26-35</v>
      </c>
    </row>
    <row r="433" spans="1:37"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s="1">
        <v>3780</v>
      </c>
      <c r="T433">
        <v>23428</v>
      </c>
      <c r="U433">
        <v>7</v>
      </c>
      <c r="V433" t="s">
        <v>42</v>
      </c>
      <c r="W433" t="s">
        <v>43</v>
      </c>
      <c r="X433">
        <v>11</v>
      </c>
      <c r="Y433">
        <v>3</v>
      </c>
      <c r="Z433">
        <v>3</v>
      </c>
      <c r="AA433">
        <v>80</v>
      </c>
      <c r="AB433">
        <v>0</v>
      </c>
      <c r="AC433">
        <v>19</v>
      </c>
      <c r="AD433">
        <v>3</v>
      </c>
      <c r="AE433">
        <v>3</v>
      </c>
      <c r="AF433">
        <v>1</v>
      </c>
      <c r="AG433">
        <v>0</v>
      </c>
      <c r="AH433">
        <v>0</v>
      </c>
      <c r="AI433">
        <v>0</v>
      </c>
      <c r="AJ433" s="2">
        <f>IF(tblHR[[#This Row],[Attrition]]="Yes",1,0)</f>
        <v>0</v>
      </c>
      <c r="AK433" t="str">
        <f>IF(tblHR[[#This Row],[Age]]&lt;26,"18-25",IF(tblHR[[#This Row],[Age]]&lt;36,"26-35",IF(tblHR[[#This Row],[Age]]&lt;46,"36-45",IF(tblHR[[#This Row],[Age]]&lt;56,"46-55","56+"))))</f>
        <v>46-55</v>
      </c>
    </row>
    <row r="434" spans="1:37"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s="1">
        <v>2768</v>
      </c>
      <c r="T434">
        <v>8416</v>
      </c>
      <c r="U434">
        <v>3</v>
      </c>
      <c r="V434" t="s">
        <v>42</v>
      </c>
      <c r="W434" t="s">
        <v>43</v>
      </c>
      <c r="X434">
        <v>12</v>
      </c>
      <c r="Y434">
        <v>3</v>
      </c>
      <c r="Z434">
        <v>3</v>
      </c>
      <c r="AA434">
        <v>80</v>
      </c>
      <c r="AB434">
        <v>1</v>
      </c>
      <c r="AC434">
        <v>14</v>
      </c>
      <c r="AD434">
        <v>3</v>
      </c>
      <c r="AE434">
        <v>3</v>
      </c>
      <c r="AF434">
        <v>7</v>
      </c>
      <c r="AG434">
        <v>3</v>
      </c>
      <c r="AH434">
        <v>5</v>
      </c>
      <c r="AI434">
        <v>7</v>
      </c>
      <c r="AJ434" s="2">
        <f>IF(tblHR[[#This Row],[Attrition]]="Yes",1,0)</f>
        <v>0</v>
      </c>
      <c r="AK434" t="str">
        <f>IF(tblHR[[#This Row],[Age]]&lt;26,"18-25",IF(tblHR[[#This Row],[Age]]&lt;36,"26-35",IF(tblHR[[#This Row],[Age]]&lt;46,"36-45",IF(tblHR[[#This Row],[Age]]&lt;56,"46-55","56+"))))</f>
        <v>26-35</v>
      </c>
    </row>
    <row r="435" spans="1:37"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s="1">
        <v>9071</v>
      </c>
      <c r="T435">
        <v>11563</v>
      </c>
      <c r="U435">
        <v>2</v>
      </c>
      <c r="V435" t="s">
        <v>42</v>
      </c>
      <c r="W435" t="s">
        <v>35</v>
      </c>
      <c r="X435">
        <v>19</v>
      </c>
      <c r="Y435">
        <v>3</v>
      </c>
      <c r="Z435">
        <v>3</v>
      </c>
      <c r="AA435">
        <v>80</v>
      </c>
      <c r="AB435">
        <v>1</v>
      </c>
      <c r="AC435">
        <v>15</v>
      </c>
      <c r="AD435">
        <v>3</v>
      </c>
      <c r="AE435">
        <v>3</v>
      </c>
      <c r="AF435">
        <v>3</v>
      </c>
      <c r="AG435">
        <v>2</v>
      </c>
      <c r="AH435">
        <v>1</v>
      </c>
      <c r="AI435">
        <v>2</v>
      </c>
      <c r="AJ435" s="2">
        <f>IF(tblHR[[#This Row],[Attrition]]="Yes",1,0)</f>
        <v>0</v>
      </c>
      <c r="AK435" t="str">
        <f>IF(tblHR[[#This Row],[Age]]&lt;26,"18-25",IF(tblHR[[#This Row],[Age]]&lt;36,"26-35",IF(tblHR[[#This Row],[Age]]&lt;46,"36-45",IF(tblHR[[#This Row],[Age]]&lt;56,"46-55","56+"))))</f>
        <v>46-55</v>
      </c>
    </row>
    <row r="436" spans="1:37"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s="1">
        <v>10648</v>
      </c>
      <c r="T436">
        <v>14394</v>
      </c>
      <c r="U436">
        <v>1</v>
      </c>
      <c r="V436" t="s">
        <v>42</v>
      </c>
      <c r="W436" t="s">
        <v>43</v>
      </c>
      <c r="X436">
        <v>25</v>
      </c>
      <c r="Y436">
        <v>4</v>
      </c>
      <c r="Z436">
        <v>4</v>
      </c>
      <c r="AA436">
        <v>80</v>
      </c>
      <c r="AB436">
        <v>1</v>
      </c>
      <c r="AC436">
        <v>13</v>
      </c>
      <c r="AD436">
        <v>6</v>
      </c>
      <c r="AE436">
        <v>4</v>
      </c>
      <c r="AF436">
        <v>13</v>
      </c>
      <c r="AG436">
        <v>8</v>
      </c>
      <c r="AH436">
        <v>0</v>
      </c>
      <c r="AI436">
        <v>8</v>
      </c>
      <c r="AJ436" s="2">
        <f>IF(tblHR[[#This Row],[Attrition]]="Yes",1,0)</f>
        <v>0</v>
      </c>
      <c r="AK436" t="str">
        <f>IF(tblHR[[#This Row],[Age]]&lt;26,"18-25",IF(tblHR[[#This Row],[Age]]&lt;36,"26-35",IF(tblHR[[#This Row],[Age]]&lt;46,"36-45",IF(tblHR[[#This Row],[Age]]&lt;56,"46-55","56+"))))</f>
        <v>26-35</v>
      </c>
    </row>
    <row r="437" spans="1:37"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s="1">
        <v>13610</v>
      </c>
      <c r="T437">
        <v>24619</v>
      </c>
      <c r="U437">
        <v>7</v>
      </c>
      <c r="V437" t="s">
        <v>42</v>
      </c>
      <c r="W437" t="s">
        <v>35</v>
      </c>
      <c r="X437">
        <v>12</v>
      </c>
      <c r="Y437">
        <v>3</v>
      </c>
      <c r="Z437">
        <v>4</v>
      </c>
      <c r="AA437">
        <v>80</v>
      </c>
      <c r="AB437">
        <v>0</v>
      </c>
      <c r="AC437">
        <v>15</v>
      </c>
      <c r="AD437">
        <v>2</v>
      </c>
      <c r="AE437">
        <v>4</v>
      </c>
      <c r="AF437">
        <v>7</v>
      </c>
      <c r="AG437">
        <v>6</v>
      </c>
      <c r="AH437">
        <v>7</v>
      </c>
      <c r="AI437">
        <v>7</v>
      </c>
      <c r="AJ437" s="2">
        <f>IF(tblHR[[#This Row],[Attrition]]="Yes",1,0)</f>
        <v>1</v>
      </c>
      <c r="AK437" t="str">
        <f>IF(tblHR[[#This Row],[Age]]&lt;26,"18-25",IF(tblHR[[#This Row],[Age]]&lt;36,"26-35",IF(tblHR[[#This Row],[Age]]&lt;46,"36-45",IF(tblHR[[#This Row],[Age]]&lt;56,"46-55","56+"))))</f>
        <v>26-35</v>
      </c>
    </row>
    <row r="438" spans="1:37"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s="1">
        <v>3408</v>
      </c>
      <c r="T438">
        <v>6705</v>
      </c>
      <c r="U438">
        <v>7</v>
      </c>
      <c r="V438" t="s">
        <v>42</v>
      </c>
      <c r="W438" t="s">
        <v>43</v>
      </c>
      <c r="X438">
        <v>13</v>
      </c>
      <c r="Y438">
        <v>3</v>
      </c>
      <c r="Z438">
        <v>1</v>
      </c>
      <c r="AA438">
        <v>80</v>
      </c>
      <c r="AB438">
        <v>3</v>
      </c>
      <c r="AC438">
        <v>8</v>
      </c>
      <c r="AD438">
        <v>2</v>
      </c>
      <c r="AE438">
        <v>3</v>
      </c>
      <c r="AF438">
        <v>4</v>
      </c>
      <c r="AG438">
        <v>3</v>
      </c>
      <c r="AH438">
        <v>1</v>
      </c>
      <c r="AI438">
        <v>3</v>
      </c>
      <c r="AJ438" s="2">
        <f>IF(tblHR[[#This Row],[Attrition]]="Yes",1,0)</f>
        <v>1</v>
      </c>
      <c r="AK438" t="str">
        <f>IF(tblHR[[#This Row],[Age]]&lt;26,"18-25",IF(tblHR[[#This Row],[Age]]&lt;36,"26-35",IF(tblHR[[#This Row],[Age]]&lt;46,"36-45",IF(tblHR[[#This Row],[Age]]&lt;56,"46-55","56+"))))</f>
        <v>26-35</v>
      </c>
    </row>
    <row r="439" spans="1:37"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s="1">
        <v>2983</v>
      </c>
      <c r="T439">
        <v>18398</v>
      </c>
      <c r="U439">
        <v>0</v>
      </c>
      <c r="V439" t="s">
        <v>42</v>
      </c>
      <c r="W439" t="s">
        <v>43</v>
      </c>
      <c r="X439">
        <v>14</v>
      </c>
      <c r="Y439">
        <v>3</v>
      </c>
      <c r="Z439">
        <v>1</v>
      </c>
      <c r="AA439">
        <v>80</v>
      </c>
      <c r="AB439">
        <v>0</v>
      </c>
      <c r="AC439">
        <v>4</v>
      </c>
      <c r="AD439">
        <v>3</v>
      </c>
      <c r="AE439">
        <v>3</v>
      </c>
      <c r="AF439">
        <v>3</v>
      </c>
      <c r="AG439">
        <v>2</v>
      </c>
      <c r="AH439">
        <v>1</v>
      </c>
      <c r="AI439">
        <v>2</v>
      </c>
      <c r="AJ439" s="2">
        <f>IF(tblHR[[#This Row],[Attrition]]="Yes",1,0)</f>
        <v>0</v>
      </c>
      <c r="AK439" t="str">
        <f>IF(tblHR[[#This Row],[Age]]&lt;26,"18-25",IF(tblHR[[#This Row],[Age]]&lt;36,"26-35",IF(tblHR[[#This Row],[Age]]&lt;46,"36-45",IF(tblHR[[#This Row],[Age]]&lt;56,"46-55","56+"))))</f>
        <v>26-35</v>
      </c>
    </row>
    <row r="440" spans="1:37"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s="1">
        <v>7632</v>
      </c>
      <c r="T440">
        <v>14295</v>
      </c>
      <c r="U440">
        <v>4</v>
      </c>
      <c r="V440" t="s">
        <v>42</v>
      </c>
      <c r="W440" t="s">
        <v>35</v>
      </c>
      <c r="X440">
        <v>12</v>
      </c>
      <c r="Y440">
        <v>3</v>
      </c>
      <c r="Z440">
        <v>3</v>
      </c>
      <c r="AA440">
        <v>80</v>
      </c>
      <c r="AB440">
        <v>0</v>
      </c>
      <c r="AC440">
        <v>10</v>
      </c>
      <c r="AD440">
        <v>2</v>
      </c>
      <c r="AE440">
        <v>3</v>
      </c>
      <c r="AF440">
        <v>8</v>
      </c>
      <c r="AG440">
        <v>7</v>
      </c>
      <c r="AH440">
        <v>0</v>
      </c>
      <c r="AI440">
        <v>0</v>
      </c>
      <c r="AJ440" s="2">
        <f>IF(tblHR[[#This Row],[Attrition]]="Yes",1,0)</f>
        <v>0</v>
      </c>
      <c r="AK440" t="str">
        <f>IF(tblHR[[#This Row],[Age]]&lt;26,"18-25",IF(tblHR[[#This Row],[Age]]&lt;36,"26-35",IF(tblHR[[#This Row],[Age]]&lt;46,"36-45",IF(tblHR[[#This Row],[Age]]&lt;56,"46-55","56+"))))</f>
        <v>26-35</v>
      </c>
    </row>
    <row r="441" spans="1:37"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s="1">
        <v>9824</v>
      </c>
      <c r="T441">
        <v>22908</v>
      </c>
      <c r="U441">
        <v>3</v>
      </c>
      <c r="V441" t="s">
        <v>42</v>
      </c>
      <c r="W441" t="s">
        <v>43</v>
      </c>
      <c r="X441">
        <v>12</v>
      </c>
      <c r="Y441">
        <v>3</v>
      </c>
      <c r="Z441">
        <v>1</v>
      </c>
      <c r="AA441">
        <v>80</v>
      </c>
      <c r="AB441">
        <v>0</v>
      </c>
      <c r="AC441">
        <v>12</v>
      </c>
      <c r="AD441">
        <v>2</v>
      </c>
      <c r="AE441">
        <v>3</v>
      </c>
      <c r="AF441">
        <v>1</v>
      </c>
      <c r="AG441">
        <v>0</v>
      </c>
      <c r="AH441">
        <v>0</v>
      </c>
      <c r="AI441">
        <v>0</v>
      </c>
      <c r="AJ441" s="2">
        <f>IF(tblHR[[#This Row],[Attrition]]="Yes",1,0)</f>
        <v>1</v>
      </c>
      <c r="AK441" t="str">
        <f>IF(tblHR[[#This Row],[Age]]&lt;26,"18-25",IF(tblHR[[#This Row],[Age]]&lt;36,"26-35",IF(tblHR[[#This Row],[Age]]&lt;46,"36-45",IF(tblHR[[#This Row],[Age]]&lt;56,"46-55","56+"))))</f>
        <v>26-35</v>
      </c>
    </row>
    <row r="442" spans="1:37"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s="1">
        <v>9950</v>
      </c>
      <c r="T442">
        <v>11533</v>
      </c>
      <c r="U442">
        <v>9</v>
      </c>
      <c r="V442" t="s">
        <v>42</v>
      </c>
      <c r="W442" t="s">
        <v>35</v>
      </c>
      <c r="X442">
        <v>15</v>
      </c>
      <c r="Y442">
        <v>3</v>
      </c>
      <c r="Z442">
        <v>3</v>
      </c>
      <c r="AA442">
        <v>80</v>
      </c>
      <c r="AB442">
        <v>3</v>
      </c>
      <c r="AC442">
        <v>11</v>
      </c>
      <c r="AD442">
        <v>2</v>
      </c>
      <c r="AE442">
        <v>3</v>
      </c>
      <c r="AF442">
        <v>3</v>
      </c>
      <c r="AG442">
        <v>2</v>
      </c>
      <c r="AH442">
        <v>0</v>
      </c>
      <c r="AI442">
        <v>2</v>
      </c>
      <c r="AJ442" s="2">
        <f>IF(tblHR[[#This Row],[Attrition]]="Yes",1,0)</f>
        <v>1</v>
      </c>
      <c r="AK442" t="str">
        <f>IF(tblHR[[#This Row],[Age]]&lt;26,"18-25",IF(tblHR[[#This Row],[Age]]&lt;36,"26-35",IF(tblHR[[#This Row],[Age]]&lt;46,"36-45",IF(tblHR[[#This Row],[Age]]&lt;56,"46-55","56+"))))</f>
        <v>26-35</v>
      </c>
    </row>
    <row r="443" spans="1:37"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s="1">
        <v>2093</v>
      </c>
      <c r="T443">
        <v>9260</v>
      </c>
      <c r="U443">
        <v>4</v>
      </c>
      <c r="V443" t="s">
        <v>42</v>
      </c>
      <c r="W443" t="s">
        <v>43</v>
      </c>
      <c r="X443">
        <v>17</v>
      </c>
      <c r="Y443">
        <v>3</v>
      </c>
      <c r="Z443">
        <v>4</v>
      </c>
      <c r="AA443">
        <v>80</v>
      </c>
      <c r="AB443">
        <v>1</v>
      </c>
      <c r="AC443">
        <v>8</v>
      </c>
      <c r="AD443">
        <v>4</v>
      </c>
      <c r="AE443">
        <v>3</v>
      </c>
      <c r="AF443">
        <v>2</v>
      </c>
      <c r="AG443">
        <v>2</v>
      </c>
      <c r="AH443">
        <v>2</v>
      </c>
      <c r="AI443">
        <v>0</v>
      </c>
      <c r="AJ443" s="2">
        <f>IF(tblHR[[#This Row],[Attrition]]="Yes",1,0)</f>
        <v>0</v>
      </c>
      <c r="AK443" t="str">
        <f>IF(tblHR[[#This Row],[Age]]&lt;26,"18-25",IF(tblHR[[#This Row],[Age]]&lt;36,"26-35",IF(tblHR[[#This Row],[Age]]&lt;46,"36-45",IF(tblHR[[#This Row],[Age]]&lt;56,"46-55","56+"))))</f>
        <v>36-45</v>
      </c>
    </row>
    <row r="444" spans="1:37"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s="1">
        <v>9980</v>
      </c>
      <c r="T444">
        <v>15318</v>
      </c>
      <c r="U444">
        <v>1</v>
      </c>
      <c r="V444" t="s">
        <v>42</v>
      </c>
      <c r="W444" t="s">
        <v>43</v>
      </c>
      <c r="X444">
        <v>14</v>
      </c>
      <c r="Y444">
        <v>3</v>
      </c>
      <c r="Z444">
        <v>4</v>
      </c>
      <c r="AA444">
        <v>80</v>
      </c>
      <c r="AB444">
        <v>0</v>
      </c>
      <c r="AC444">
        <v>10</v>
      </c>
      <c r="AD444">
        <v>3</v>
      </c>
      <c r="AE444">
        <v>2</v>
      </c>
      <c r="AF444">
        <v>10</v>
      </c>
      <c r="AG444">
        <v>3</v>
      </c>
      <c r="AH444">
        <v>9</v>
      </c>
      <c r="AI444">
        <v>7</v>
      </c>
      <c r="AJ444" s="2">
        <f>IF(tblHR[[#This Row],[Attrition]]="Yes",1,0)</f>
        <v>0</v>
      </c>
      <c r="AK444" t="str">
        <f>IF(tblHR[[#This Row],[Age]]&lt;26,"18-25",IF(tblHR[[#This Row],[Age]]&lt;36,"26-35",IF(tblHR[[#This Row],[Age]]&lt;46,"36-45",IF(tblHR[[#This Row],[Age]]&lt;56,"46-55","56+"))))</f>
        <v>36-45</v>
      </c>
    </row>
    <row r="445" spans="1:37"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s="1">
        <v>3894</v>
      </c>
      <c r="T445">
        <v>9129</v>
      </c>
      <c r="U445">
        <v>5</v>
      </c>
      <c r="V445" t="s">
        <v>42</v>
      </c>
      <c r="W445" t="s">
        <v>43</v>
      </c>
      <c r="X445">
        <v>16</v>
      </c>
      <c r="Y445">
        <v>3</v>
      </c>
      <c r="Z445">
        <v>3</v>
      </c>
      <c r="AA445">
        <v>80</v>
      </c>
      <c r="AB445">
        <v>0</v>
      </c>
      <c r="AC445">
        <v>4</v>
      </c>
      <c r="AD445">
        <v>3</v>
      </c>
      <c r="AE445">
        <v>3</v>
      </c>
      <c r="AF445">
        <v>2</v>
      </c>
      <c r="AG445">
        <v>2</v>
      </c>
      <c r="AH445">
        <v>1</v>
      </c>
      <c r="AI445">
        <v>2</v>
      </c>
      <c r="AJ445" s="2">
        <f>IF(tblHR[[#This Row],[Attrition]]="Yes",1,0)</f>
        <v>1</v>
      </c>
      <c r="AK445" t="str">
        <f>IF(tblHR[[#This Row],[Age]]&lt;26,"18-25",IF(tblHR[[#This Row],[Age]]&lt;36,"26-35",IF(tblHR[[#This Row],[Age]]&lt;46,"36-45",IF(tblHR[[#This Row],[Age]]&lt;56,"46-55","56+"))))</f>
        <v>18-25</v>
      </c>
    </row>
    <row r="446" spans="1:37"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s="1">
        <v>4051</v>
      </c>
      <c r="T446">
        <v>19658</v>
      </c>
      <c r="U446">
        <v>2</v>
      </c>
      <c r="V446" t="s">
        <v>42</v>
      </c>
      <c r="W446" t="s">
        <v>43</v>
      </c>
      <c r="X446">
        <v>14</v>
      </c>
      <c r="Y446">
        <v>3</v>
      </c>
      <c r="Z446">
        <v>1</v>
      </c>
      <c r="AA446">
        <v>80</v>
      </c>
      <c r="AB446">
        <v>1</v>
      </c>
      <c r="AC446">
        <v>14</v>
      </c>
      <c r="AD446">
        <v>2</v>
      </c>
      <c r="AE446">
        <v>3</v>
      </c>
      <c r="AF446">
        <v>9</v>
      </c>
      <c r="AG446">
        <v>7</v>
      </c>
      <c r="AH446">
        <v>6</v>
      </c>
      <c r="AI446">
        <v>7</v>
      </c>
      <c r="AJ446" s="2">
        <f>IF(tblHR[[#This Row],[Attrition]]="Yes",1,0)</f>
        <v>0</v>
      </c>
      <c r="AK446" t="str">
        <f>IF(tblHR[[#This Row],[Age]]&lt;26,"18-25",IF(tblHR[[#This Row],[Age]]&lt;36,"26-35",IF(tblHR[[#This Row],[Age]]&lt;46,"36-45",IF(tblHR[[#This Row],[Age]]&lt;56,"46-55","56+"))))</f>
        <v>46-55</v>
      </c>
    </row>
    <row r="447" spans="1:37"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s="1">
        <v>16835</v>
      </c>
      <c r="T447">
        <v>9873</v>
      </c>
      <c r="U447">
        <v>3</v>
      </c>
      <c r="V447" t="s">
        <v>42</v>
      </c>
      <c r="W447" t="s">
        <v>43</v>
      </c>
      <c r="X447">
        <v>23</v>
      </c>
      <c r="Y447">
        <v>4</v>
      </c>
      <c r="Z447">
        <v>4</v>
      </c>
      <c r="AA447">
        <v>80</v>
      </c>
      <c r="AB447">
        <v>0</v>
      </c>
      <c r="AC447">
        <v>37</v>
      </c>
      <c r="AD447">
        <v>2</v>
      </c>
      <c r="AE447">
        <v>3</v>
      </c>
      <c r="AF447">
        <v>10</v>
      </c>
      <c r="AG447">
        <v>9</v>
      </c>
      <c r="AH447">
        <v>7</v>
      </c>
      <c r="AI447">
        <v>7</v>
      </c>
      <c r="AJ447" s="2">
        <f>IF(tblHR[[#This Row],[Attrition]]="Yes",1,0)</f>
        <v>0</v>
      </c>
      <c r="AK447" t="str">
        <f>IF(tblHR[[#This Row],[Age]]&lt;26,"18-25",IF(tblHR[[#This Row],[Age]]&lt;36,"26-35",IF(tblHR[[#This Row],[Age]]&lt;46,"36-45",IF(tblHR[[#This Row],[Age]]&lt;56,"46-55","56+"))))</f>
        <v>46-55</v>
      </c>
    </row>
    <row r="448" spans="1:37"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s="1">
        <v>6230</v>
      </c>
      <c r="T448">
        <v>13430</v>
      </c>
      <c r="U448">
        <v>7</v>
      </c>
      <c r="V448" t="s">
        <v>42</v>
      </c>
      <c r="W448" t="s">
        <v>43</v>
      </c>
      <c r="X448">
        <v>14</v>
      </c>
      <c r="Y448">
        <v>3</v>
      </c>
      <c r="Z448">
        <v>4</v>
      </c>
      <c r="AA448">
        <v>80</v>
      </c>
      <c r="AB448">
        <v>0</v>
      </c>
      <c r="AC448">
        <v>16</v>
      </c>
      <c r="AD448">
        <v>3</v>
      </c>
      <c r="AE448">
        <v>3</v>
      </c>
      <c r="AF448">
        <v>14</v>
      </c>
      <c r="AG448">
        <v>3</v>
      </c>
      <c r="AH448">
        <v>1</v>
      </c>
      <c r="AI448">
        <v>10</v>
      </c>
      <c r="AJ448" s="2">
        <f>IF(tblHR[[#This Row],[Attrition]]="Yes",1,0)</f>
        <v>0</v>
      </c>
      <c r="AK448" t="str">
        <f>IF(tblHR[[#This Row],[Age]]&lt;26,"18-25",IF(tblHR[[#This Row],[Age]]&lt;36,"26-35",IF(tblHR[[#This Row],[Age]]&lt;46,"36-45",IF(tblHR[[#This Row],[Age]]&lt;56,"46-55","56+"))))</f>
        <v>36-45</v>
      </c>
    </row>
    <row r="449" spans="1:37"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s="1">
        <v>4717</v>
      </c>
      <c r="T449">
        <v>18659</v>
      </c>
      <c r="U449">
        <v>9</v>
      </c>
      <c r="V449" t="s">
        <v>42</v>
      </c>
      <c r="W449" t="s">
        <v>43</v>
      </c>
      <c r="X449">
        <v>11</v>
      </c>
      <c r="Y449">
        <v>3</v>
      </c>
      <c r="Z449">
        <v>3</v>
      </c>
      <c r="AA449">
        <v>80</v>
      </c>
      <c r="AB449">
        <v>0</v>
      </c>
      <c r="AC449">
        <v>15</v>
      </c>
      <c r="AD449">
        <v>2</v>
      </c>
      <c r="AE449">
        <v>3</v>
      </c>
      <c r="AF449">
        <v>11</v>
      </c>
      <c r="AG449">
        <v>9</v>
      </c>
      <c r="AH449">
        <v>6</v>
      </c>
      <c r="AI449">
        <v>9</v>
      </c>
      <c r="AJ449" s="2">
        <f>IF(tblHR[[#This Row],[Attrition]]="Yes",1,0)</f>
        <v>0</v>
      </c>
      <c r="AK449" t="str">
        <f>IF(tblHR[[#This Row],[Age]]&lt;26,"18-25",IF(tblHR[[#This Row],[Age]]&lt;36,"26-35",IF(tblHR[[#This Row],[Age]]&lt;46,"36-45",IF(tblHR[[#This Row],[Age]]&lt;56,"46-55","56+"))))</f>
        <v>26-35</v>
      </c>
    </row>
    <row r="450" spans="1:37"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s="1">
        <v>13237</v>
      </c>
      <c r="T450">
        <v>20364</v>
      </c>
      <c r="U450">
        <v>7</v>
      </c>
      <c r="V450" t="s">
        <v>42</v>
      </c>
      <c r="W450" t="s">
        <v>43</v>
      </c>
      <c r="X450">
        <v>15</v>
      </c>
      <c r="Y450">
        <v>3</v>
      </c>
      <c r="Z450">
        <v>3</v>
      </c>
      <c r="AA450">
        <v>80</v>
      </c>
      <c r="AB450">
        <v>0</v>
      </c>
      <c r="AC450">
        <v>22</v>
      </c>
      <c r="AD450">
        <v>3</v>
      </c>
      <c r="AE450">
        <v>3</v>
      </c>
      <c r="AF450">
        <v>20</v>
      </c>
      <c r="AG450">
        <v>6</v>
      </c>
      <c r="AH450">
        <v>5</v>
      </c>
      <c r="AI450">
        <v>13</v>
      </c>
      <c r="AJ450" s="2">
        <f>IF(tblHR[[#This Row],[Attrition]]="Yes",1,0)</f>
        <v>0</v>
      </c>
      <c r="AK450" t="str">
        <f>IF(tblHR[[#This Row],[Age]]&lt;26,"18-25",IF(tblHR[[#This Row],[Age]]&lt;36,"26-35",IF(tblHR[[#This Row],[Age]]&lt;46,"36-45",IF(tblHR[[#This Row],[Age]]&lt;56,"46-55","56+"))))</f>
        <v>36-45</v>
      </c>
    </row>
    <row r="451" spans="1:37"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s="1">
        <v>3755</v>
      </c>
      <c r="T451">
        <v>17872</v>
      </c>
      <c r="U451">
        <v>1</v>
      </c>
      <c r="V451" t="s">
        <v>42</v>
      </c>
      <c r="W451" t="s">
        <v>43</v>
      </c>
      <c r="X451">
        <v>11</v>
      </c>
      <c r="Y451">
        <v>3</v>
      </c>
      <c r="Z451">
        <v>1</v>
      </c>
      <c r="AA451">
        <v>80</v>
      </c>
      <c r="AB451">
        <v>1</v>
      </c>
      <c r="AC451">
        <v>8</v>
      </c>
      <c r="AD451">
        <v>3</v>
      </c>
      <c r="AE451">
        <v>3</v>
      </c>
      <c r="AF451">
        <v>8</v>
      </c>
      <c r="AG451">
        <v>3</v>
      </c>
      <c r="AH451">
        <v>0</v>
      </c>
      <c r="AI451">
        <v>7</v>
      </c>
      <c r="AJ451" s="2">
        <f>IF(tblHR[[#This Row],[Attrition]]="Yes",1,0)</f>
        <v>0</v>
      </c>
      <c r="AK451" t="str">
        <f>IF(tblHR[[#This Row],[Age]]&lt;26,"18-25",IF(tblHR[[#This Row],[Age]]&lt;36,"26-35",IF(tblHR[[#This Row],[Age]]&lt;46,"36-45",IF(tblHR[[#This Row],[Age]]&lt;56,"46-55","56+"))))</f>
        <v>36-45</v>
      </c>
    </row>
    <row r="452" spans="1:37"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s="1">
        <v>6582</v>
      </c>
      <c r="T452">
        <v>8346</v>
      </c>
      <c r="U452">
        <v>4</v>
      </c>
      <c r="V452" t="s">
        <v>42</v>
      </c>
      <c r="W452" t="s">
        <v>35</v>
      </c>
      <c r="X452">
        <v>13</v>
      </c>
      <c r="Y452">
        <v>3</v>
      </c>
      <c r="Z452">
        <v>3</v>
      </c>
      <c r="AA452">
        <v>80</v>
      </c>
      <c r="AB452">
        <v>0</v>
      </c>
      <c r="AC452">
        <v>10</v>
      </c>
      <c r="AD452">
        <v>2</v>
      </c>
      <c r="AE452">
        <v>4</v>
      </c>
      <c r="AF452">
        <v>6</v>
      </c>
      <c r="AG452">
        <v>5</v>
      </c>
      <c r="AH452">
        <v>0</v>
      </c>
      <c r="AI452">
        <v>5</v>
      </c>
      <c r="AJ452" s="2">
        <f>IF(tblHR[[#This Row],[Attrition]]="Yes",1,0)</f>
        <v>0</v>
      </c>
      <c r="AK452" t="str">
        <f>IF(tblHR[[#This Row],[Age]]&lt;26,"18-25",IF(tblHR[[#This Row],[Age]]&lt;36,"26-35",IF(tblHR[[#This Row],[Age]]&lt;46,"36-45",IF(tblHR[[#This Row],[Age]]&lt;56,"46-55","56+"))))</f>
        <v>26-35</v>
      </c>
    </row>
    <row r="453" spans="1:37"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s="1">
        <v>7406</v>
      </c>
      <c r="T453">
        <v>6950</v>
      </c>
      <c r="U453">
        <v>1</v>
      </c>
      <c r="V453" t="s">
        <v>42</v>
      </c>
      <c r="W453" t="s">
        <v>35</v>
      </c>
      <c r="X453">
        <v>21</v>
      </c>
      <c r="Y453">
        <v>4</v>
      </c>
      <c r="Z453">
        <v>4</v>
      </c>
      <c r="AA453">
        <v>80</v>
      </c>
      <c r="AB453">
        <v>1</v>
      </c>
      <c r="AC453">
        <v>10</v>
      </c>
      <c r="AD453">
        <v>5</v>
      </c>
      <c r="AE453">
        <v>2</v>
      </c>
      <c r="AF453">
        <v>10</v>
      </c>
      <c r="AG453">
        <v>9</v>
      </c>
      <c r="AH453">
        <v>5</v>
      </c>
      <c r="AI453">
        <v>8</v>
      </c>
      <c r="AJ453" s="2">
        <f>IF(tblHR[[#This Row],[Attrition]]="Yes",1,0)</f>
        <v>0</v>
      </c>
      <c r="AK453" t="str">
        <f>IF(tblHR[[#This Row],[Age]]&lt;26,"18-25",IF(tblHR[[#This Row],[Age]]&lt;36,"26-35",IF(tblHR[[#This Row],[Age]]&lt;46,"36-45",IF(tblHR[[#This Row],[Age]]&lt;56,"46-55","56+"))))</f>
        <v>36-45</v>
      </c>
    </row>
    <row r="454" spans="1:37"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s="1">
        <v>4805</v>
      </c>
      <c r="T454">
        <v>16177</v>
      </c>
      <c r="U454">
        <v>0</v>
      </c>
      <c r="V454" t="s">
        <v>42</v>
      </c>
      <c r="W454" t="s">
        <v>43</v>
      </c>
      <c r="X454">
        <v>19</v>
      </c>
      <c r="Y454">
        <v>3</v>
      </c>
      <c r="Z454">
        <v>2</v>
      </c>
      <c r="AA454">
        <v>80</v>
      </c>
      <c r="AB454">
        <v>1</v>
      </c>
      <c r="AC454">
        <v>9</v>
      </c>
      <c r="AD454">
        <v>3</v>
      </c>
      <c r="AE454">
        <v>4</v>
      </c>
      <c r="AF454">
        <v>8</v>
      </c>
      <c r="AG454">
        <v>7</v>
      </c>
      <c r="AH454">
        <v>3</v>
      </c>
      <c r="AI454">
        <v>7</v>
      </c>
      <c r="AJ454" s="2">
        <f>IF(tblHR[[#This Row],[Attrition]]="Yes",1,0)</f>
        <v>0</v>
      </c>
      <c r="AK454" t="str">
        <f>IF(tblHR[[#This Row],[Age]]&lt;26,"18-25",IF(tblHR[[#This Row],[Age]]&lt;36,"26-35",IF(tblHR[[#This Row],[Age]]&lt;46,"36-45",IF(tblHR[[#This Row],[Age]]&lt;56,"46-55","56+"))))</f>
        <v>36-45</v>
      </c>
    </row>
    <row r="455" spans="1:37"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s="1">
        <v>2741</v>
      </c>
      <c r="T455">
        <v>22808</v>
      </c>
      <c r="U455">
        <v>0</v>
      </c>
      <c r="V455" t="s">
        <v>42</v>
      </c>
      <c r="W455" t="s">
        <v>35</v>
      </c>
      <c r="X455">
        <v>11</v>
      </c>
      <c r="Y455">
        <v>3</v>
      </c>
      <c r="Z455">
        <v>2</v>
      </c>
      <c r="AA455">
        <v>80</v>
      </c>
      <c r="AB455">
        <v>1</v>
      </c>
      <c r="AC455">
        <v>8</v>
      </c>
      <c r="AD455">
        <v>2</v>
      </c>
      <c r="AE455">
        <v>2</v>
      </c>
      <c r="AF455">
        <v>7</v>
      </c>
      <c r="AG455">
        <v>7</v>
      </c>
      <c r="AH455">
        <v>1</v>
      </c>
      <c r="AI455">
        <v>0</v>
      </c>
      <c r="AJ455" s="2">
        <f>IF(tblHR[[#This Row],[Attrition]]="Yes",1,0)</f>
        <v>1</v>
      </c>
      <c r="AK455" t="str">
        <f>IF(tblHR[[#This Row],[Age]]&lt;26,"18-25",IF(tblHR[[#This Row],[Age]]&lt;36,"26-35",IF(tblHR[[#This Row],[Age]]&lt;46,"36-45",IF(tblHR[[#This Row],[Age]]&lt;56,"46-55","56+"))))</f>
        <v>26-35</v>
      </c>
    </row>
    <row r="456" spans="1:37"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s="1">
        <v>4262</v>
      </c>
      <c r="T456">
        <v>22645</v>
      </c>
      <c r="U456">
        <v>4</v>
      </c>
      <c r="V456" t="s">
        <v>42</v>
      </c>
      <c r="W456" t="s">
        <v>43</v>
      </c>
      <c r="X456">
        <v>12</v>
      </c>
      <c r="Y456">
        <v>3</v>
      </c>
      <c r="Z456">
        <v>2</v>
      </c>
      <c r="AA456">
        <v>80</v>
      </c>
      <c r="AB456">
        <v>2</v>
      </c>
      <c r="AC456">
        <v>8</v>
      </c>
      <c r="AD456">
        <v>2</v>
      </c>
      <c r="AE456">
        <v>4</v>
      </c>
      <c r="AF456">
        <v>3</v>
      </c>
      <c r="AG456">
        <v>2</v>
      </c>
      <c r="AH456">
        <v>1</v>
      </c>
      <c r="AI456">
        <v>2</v>
      </c>
      <c r="AJ456" s="2">
        <f>IF(tblHR[[#This Row],[Attrition]]="Yes",1,0)</f>
        <v>0</v>
      </c>
      <c r="AK456" t="str">
        <f>IF(tblHR[[#This Row],[Age]]&lt;26,"18-25",IF(tblHR[[#This Row],[Age]]&lt;36,"26-35",IF(tblHR[[#This Row],[Age]]&lt;46,"36-45",IF(tblHR[[#This Row],[Age]]&lt;56,"46-55","56+"))))</f>
        <v>26-35</v>
      </c>
    </row>
    <row r="457" spans="1:37"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s="1">
        <v>16184</v>
      </c>
      <c r="T457">
        <v>22578</v>
      </c>
      <c r="U457">
        <v>4</v>
      </c>
      <c r="V457" t="s">
        <v>42</v>
      </c>
      <c r="W457" t="s">
        <v>43</v>
      </c>
      <c r="X457">
        <v>19</v>
      </c>
      <c r="Y457">
        <v>3</v>
      </c>
      <c r="Z457">
        <v>3</v>
      </c>
      <c r="AA457">
        <v>80</v>
      </c>
      <c r="AB457">
        <v>1</v>
      </c>
      <c r="AC457">
        <v>10</v>
      </c>
      <c r="AD457">
        <v>2</v>
      </c>
      <c r="AE457">
        <v>3</v>
      </c>
      <c r="AF457">
        <v>6</v>
      </c>
      <c r="AG457">
        <v>1</v>
      </c>
      <c r="AH457">
        <v>0</v>
      </c>
      <c r="AI457">
        <v>5</v>
      </c>
      <c r="AJ457" s="2">
        <f>IF(tblHR[[#This Row],[Attrition]]="Yes",1,0)</f>
        <v>0</v>
      </c>
      <c r="AK457" t="str">
        <f>IF(tblHR[[#This Row],[Age]]&lt;26,"18-25",IF(tblHR[[#This Row],[Age]]&lt;36,"26-35",IF(tblHR[[#This Row],[Age]]&lt;46,"36-45",IF(tblHR[[#This Row],[Age]]&lt;56,"46-55","56+"))))</f>
        <v>26-35</v>
      </c>
    </row>
    <row r="458" spans="1:37"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s="1">
        <v>11557</v>
      </c>
      <c r="T458">
        <v>25291</v>
      </c>
      <c r="U458">
        <v>9</v>
      </c>
      <c r="V458" t="s">
        <v>42</v>
      </c>
      <c r="W458" t="s">
        <v>43</v>
      </c>
      <c r="X458">
        <v>21</v>
      </c>
      <c r="Y458">
        <v>4</v>
      </c>
      <c r="Z458">
        <v>3</v>
      </c>
      <c r="AA458">
        <v>80</v>
      </c>
      <c r="AB458">
        <v>1</v>
      </c>
      <c r="AC458">
        <v>10</v>
      </c>
      <c r="AD458">
        <v>3</v>
      </c>
      <c r="AE458">
        <v>2</v>
      </c>
      <c r="AF458">
        <v>5</v>
      </c>
      <c r="AG458">
        <v>4</v>
      </c>
      <c r="AH458">
        <v>0</v>
      </c>
      <c r="AI458">
        <v>1</v>
      </c>
      <c r="AJ458" s="2">
        <f>IF(tblHR[[#This Row],[Attrition]]="Yes",1,0)</f>
        <v>0</v>
      </c>
      <c r="AK458" t="str">
        <f>IF(tblHR[[#This Row],[Age]]&lt;26,"18-25",IF(tblHR[[#This Row],[Age]]&lt;36,"26-35",IF(tblHR[[#This Row],[Age]]&lt;46,"36-45",IF(tblHR[[#This Row],[Age]]&lt;56,"46-55","56+"))))</f>
        <v>26-35</v>
      </c>
    </row>
    <row r="459" spans="1:37"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s="1">
        <v>1878</v>
      </c>
      <c r="T459">
        <v>8059</v>
      </c>
      <c r="U459">
        <v>1</v>
      </c>
      <c r="V459" t="s">
        <v>42</v>
      </c>
      <c r="W459" t="s">
        <v>35</v>
      </c>
      <c r="X459">
        <v>14</v>
      </c>
      <c r="Y459">
        <v>3</v>
      </c>
      <c r="Z459">
        <v>4</v>
      </c>
      <c r="AA459">
        <v>80</v>
      </c>
      <c r="AB459">
        <v>0</v>
      </c>
      <c r="AC459">
        <v>0</v>
      </c>
      <c r="AD459">
        <v>3</v>
      </c>
      <c r="AE459">
        <v>3</v>
      </c>
      <c r="AF459">
        <v>0</v>
      </c>
      <c r="AG459">
        <v>0</v>
      </c>
      <c r="AH459">
        <v>0</v>
      </c>
      <c r="AI459">
        <v>0</v>
      </c>
      <c r="AJ459" s="2">
        <f>IF(tblHR[[#This Row],[Attrition]]="Yes",1,0)</f>
        <v>1</v>
      </c>
      <c r="AK459" t="str">
        <f>IF(tblHR[[#This Row],[Age]]&lt;26,"18-25",IF(tblHR[[#This Row],[Age]]&lt;36,"26-35",IF(tblHR[[#This Row],[Age]]&lt;46,"36-45",IF(tblHR[[#This Row],[Age]]&lt;56,"46-55","56+"))))</f>
        <v>18-25</v>
      </c>
    </row>
    <row r="460" spans="1:37"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s="1">
        <v>10932</v>
      </c>
      <c r="T460">
        <v>11373</v>
      </c>
      <c r="U460">
        <v>3</v>
      </c>
      <c r="V460" t="s">
        <v>42</v>
      </c>
      <c r="W460" t="s">
        <v>43</v>
      </c>
      <c r="X460">
        <v>15</v>
      </c>
      <c r="Y460">
        <v>3</v>
      </c>
      <c r="Z460">
        <v>3</v>
      </c>
      <c r="AA460">
        <v>80</v>
      </c>
      <c r="AB460">
        <v>1</v>
      </c>
      <c r="AC460">
        <v>20</v>
      </c>
      <c r="AD460">
        <v>2</v>
      </c>
      <c r="AE460">
        <v>3</v>
      </c>
      <c r="AF460">
        <v>1</v>
      </c>
      <c r="AG460">
        <v>0</v>
      </c>
      <c r="AH460">
        <v>0</v>
      </c>
      <c r="AI460">
        <v>1</v>
      </c>
      <c r="AJ460" s="2">
        <f>IF(tblHR[[#This Row],[Attrition]]="Yes",1,0)</f>
        <v>0</v>
      </c>
      <c r="AK460" t="str">
        <f>IF(tblHR[[#This Row],[Age]]&lt;26,"18-25",IF(tblHR[[#This Row],[Age]]&lt;36,"26-35",IF(tblHR[[#This Row],[Age]]&lt;46,"36-45",IF(tblHR[[#This Row],[Age]]&lt;56,"46-55","56+"))))</f>
        <v>36-45</v>
      </c>
    </row>
    <row r="461" spans="1:37"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s="1">
        <v>6811</v>
      </c>
      <c r="T461">
        <v>2112</v>
      </c>
      <c r="U461">
        <v>2</v>
      </c>
      <c r="V461" t="s">
        <v>42</v>
      </c>
      <c r="W461" t="s">
        <v>35</v>
      </c>
      <c r="X461">
        <v>17</v>
      </c>
      <c r="Y461">
        <v>3</v>
      </c>
      <c r="Z461">
        <v>1</v>
      </c>
      <c r="AA461">
        <v>80</v>
      </c>
      <c r="AB461">
        <v>0</v>
      </c>
      <c r="AC461">
        <v>10</v>
      </c>
      <c r="AD461">
        <v>3</v>
      </c>
      <c r="AE461">
        <v>3</v>
      </c>
      <c r="AF461">
        <v>8</v>
      </c>
      <c r="AG461">
        <v>7</v>
      </c>
      <c r="AH461">
        <v>0</v>
      </c>
      <c r="AI461">
        <v>7</v>
      </c>
      <c r="AJ461" s="2">
        <f>IF(tblHR[[#This Row],[Attrition]]="Yes",1,0)</f>
        <v>0</v>
      </c>
      <c r="AK461" t="str">
        <f>IF(tblHR[[#This Row],[Age]]&lt;26,"18-25",IF(tblHR[[#This Row],[Age]]&lt;36,"26-35",IF(tblHR[[#This Row],[Age]]&lt;46,"36-45",IF(tblHR[[#This Row],[Age]]&lt;56,"46-55","56+"))))</f>
        <v>36-45</v>
      </c>
    </row>
    <row r="462" spans="1:37"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s="1">
        <v>4306</v>
      </c>
      <c r="T462">
        <v>4267</v>
      </c>
      <c r="U462">
        <v>5</v>
      </c>
      <c r="V462" t="s">
        <v>42</v>
      </c>
      <c r="W462" t="s">
        <v>43</v>
      </c>
      <c r="X462">
        <v>12</v>
      </c>
      <c r="Y462">
        <v>3</v>
      </c>
      <c r="Z462">
        <v>1</v>
      </c>
      <c r="AA462">
        <v>80</v>
      </c>
      <c r="AB462">
        <v>2</v>
      </c>
      <c r="AC462">
        <v>8</v>
      </c>
      <c r="AD462">
        <v>5</v>
      </c>
      <c r="AE462">
        <v>3</v>
      </c>
      <c r="AF462">
        <v>0</v>
      </c>
      <c r="AG462">
        <v>0</v>
      </c>
      <c r="AH462">
        <v>0</v>
      </c>
      <c r="AI462">
        <v>0</v>
      </c>
      <c r="AJ462" s="2">
        <f>IF(tblHR[[#This Row],[Attrition]]="Yes",1,0)</f>
        <v>0</v>
      </c>
      <c r="AK462" t="str">
        <f>IF(tblHR[[#This Row],[Age]]&lt;26,"18-25",IF(tblHR[[#This Row],[Age]]&lt;36,"26-35",IF(tblHR[[#This Row],[Age]]&lt;46,"36-45",IF(tblHR[[#This Row],[Age]]&lt;56,"46-55","56+"))))</f>
        <v>26-35</v>
      </c>
    </row>
    <row r="463" spans="1:37"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s="1">
        <v>4859</v>
      </c>
      <c r="T463">
        <v>6698</v>
      </c>
      <c r="U463">
        <v>1</v>
      </c>
      <c r="V463" t="s">
        <v>42</v>
      </c>
      <c r="W463" t="s">
        <v>43</v>
      </c>
      <c r="X463">
        <v>16</v>
      </c>
      <c r="Y463">
        <v>3</v>
      </c>
      <c r="Z463">
        <v>4</v>
      </c>
      <c r="AA463">
        <v>80</v>
      </c>
      <c r="AB463">
        <v>0</v>
      </c>
      <c r="AC463">
        <v>5</v>
      </c>
      <c r="AD463">
        <v>3</v>
      </c>
      <c r="AE463">
        <v>3</v>
      </c>
      <c r="AF463">
        <v>5</v>
      </c>
      <c r="AG463">
        <v>4</v>
      </c>
      <c r="AH463">
        <v>0</v>
      </c>
      <c r="AI463">
        <v>3</v>
      </c>
      <c r="AJ463" s="2">
        <f>IF(tblHR[[#This Row],[Attrition]]="Yes",1,0)</f>
        <v>0</v>
      </c>
      <c r="AK463" t="str">
        <f>IF(tblHR[[#This Row],[Age]]&lt;26,"18-25",IF(tblHR[[#This Row],[Age]]&lt;36,"26-35",IF(tblHR[[#This Row],[Age]]&lt;46,"36-45",IF(tblHR[[#This Row],[Age]]&lt;56,"46-55","56+"))))</f>
        <v>26-35</v>
      </c>
    </row>
    <row r="464" spans="1:37"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s="1">
        <v>5337</v>
      </c>
      <c r="T464">
        <v>19921</v>
      </c>
      <c r="U464">
        <v>1</v>
      </c>
      <c r="V464" t="s">
        <v>42</v>
      </c>
      <c r="W464" t="s">
        <v>43</v>
      </c>
      <c r="X464">
        <v>12</v>
      </c>
      <c r="Y464">
        <v>3</v>
      </c>
      <c r="Z464">
        <v>4</v>
      </c>
      <c r="AA464">
        <v>80</v>
      </c>
      <c r="AB464">
        <v>0</v>
      </c>
      <c r="AC464">
        <v>10</v>
      </c>
      <c r="AD464">
        <v>3</v>
      </c>
      <c r="AE464">
        <v>3</v>
      </c>
      <c r="AF464">
        <v>10</v>
      </c>
      <c r="AG464">
        <v>7</v>
      </c>
      <c r="AH464">
        <v>5</v>
      </c>
      <c r="AI464">
        <v>7</v>
      </c>
      <c r="AJ464" s="2">
        <f>IF(tblHR[[#This Row],[Attrition]]="Yes",1,0)</f>
        <v>0</v>
      </c>
      <c r="AK464" t="str">
        <f>IF(tblHR[[#This Row],[Age]]&lt;26,"18-25",IF(tblHR[[#This Row],[Age]]&lt;36,"26-35",IF(tblHR[[#This Row],[Age]]&lt;46,"36-45",IF(tblHR[[#This Row],[Age]]&lt;56,"46-55","56+"))))</f>
        <v>26-35</v>
      </c>
    </row>
    <row r="465" spans="1:37"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s="1">
        <v>2340</v>
      </c>
      <c r="T465">
        <v>23213</v>
      </c>
      <c r="U465">
        <v>1</v>
      </c>
      <c r="V465" t="s">
        <v>42</v>
      </c>
      <c r="W465" t="s">
        <v>35</v>
      </c>
      <c r="X465">
        <v>18</v>
      </c>
      <c r="Y465">
        <v>3</v>
      </c>
      <c r="Z465">
        <v>2</v>
      </c>
      <c r="AA465">
        <v>80</v>
      </c>
      <c r="AB465">
        <v>0</v>
      </c>
      <c r="AC465">
        <v>1</v>
      </c>
      <c r="AD465">
        <v>3</v>
      </c>
      <c r="AE465">
        <v>1</v>
      </c>
      <c r="AF465">
        <v>1</v>
      </c>
      <c r="AG465">
        <v>0</v>
      </c>
      <c r="AH465">
        <v>0</v>
      </c>
      <c r="AI465">
        <v>0</v>
      </c>
      <c r="AJ465" s="2">
        <f>IF(tblHR[[#This Row],[Attrition]]="Yes",1,0)</f>
        <v>1</v>
      </c>
      <c r="AK465" t="str">
        <f>IF(tblHR[[#This Row],[Age]]&lt;26,"18-25",IF(tblHR[[#This Row],[Age]]&lt;36,"26-35",IF(tblHR[[#This Row],[Age]]&lt;46,"36-45",IF(tblHR[[#This Row],[Age]]&lt;56,"46-55","56+"))))</f>
        <v>26-35</v>
      </c>
    </row>
    <row r="466" spans="1:37"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s="1">
        <v>7491</v>
      </c>
      <c r="T466">
        <v>23848</v>
      </c>
      <c r="U466">
        <v>4</v>
      </c>
      <c r="V466" t="s">
        <v>42</v>
      </c>
      <c r="W466" t="s">
        <v>43</v>
      </c>
      <c r="X466">
        <v>17</v>
      </c>
      <c r="Y466">
        <v>3</v>
      </c>
      <c r="Z466">
        <v>4</v>
      </c>
      <c r="AA466">
        <v>80</v>
      </c>
      <c r="AB466">
        <v>0</v>
      </c>
      <c r="AC466">
        <v>12</v>
      </c>
      <c r="AD466">
        <v>3</v>
      </c>
      <c r="AE466">
        <v>4</v>
      </c>
      <c r="AF466">
        <v>6</v>
      </c>
      <c r="AG466">
        <v>5</v>
      </c>
      <c r="AH466">
        <v>1</v>
      </c>
      <c r="AI466">
        <v>2</v>
      </c>
      <c r="AJ466" s="2">
        <f>IF(tblHR[[#This Row],[Attrition]]="Yes",1,0)</f>
        <v>0</v>
      </c>
      <c r="AK466" t="str">
        <f>IF(tblHR[[#This Row],[Age]]&lt;26,"18-25",IF(tblHR[[#This Row],[Age]]&lt;36,"26-35",IF(tblHR[[#This Row],[Age]]&lt;46,"36-45",IF(tblHR[[#This Row],[Age]]&lt;56,"46-55","56+"))))</f>
        <v>36-45</v>
      </c>
    </row>
    <row r="467" spans="1:37"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s="1">
        <v>10527</v>
      </c>
      <c r="T467">
        <v>8984</v>
      </c>
      <c r="U467">
        <v>5</v>
      </c>
      <c r="V467" t="s">
        <v>42</v>
      </c>
      <c r="W467" t="s">
        <v>43</v>
      </c>
      <c r="X467">
        <v>11</v>
      </c>
      <c r="Y467">
        <v>3</v>
      </c>
      <c r="Z467">
        <v>4</v>
      </c>
      <c r="AA467">
        <v>80</v>
      </c>
      <c r="AB467">
        <v>0</v>
      </c>
      <c r="AC467">
        <v>28</v>
      </c>
      <c r="AD467">
        <v>3</v>
      </c>
      <c r="AE467">
        <v>2</v>
      </c>
      <c r="AF467">
        <v>2</v>
      </c>
      <c r="AG467">
        <v>2</v>
      </c>
      <c r="AH467">
        <v>1</v>
      </c>
      <c r="AI467">
        <v>2</v>
      </c>
      <c r="AJ467" s="2">
        <f>IF(tblHR[[#This Row],[Attrition]]="Yes",1,0)</f>
        <v>0</v>
      </c>
      <c r="AK467" t="str">
        <f>IF(tblHR[[#This Row],[Age]]&lt;26,"18-25",IF(tblHR[[#This Row],[Age]]&lt;36,"26-35",IF(tblHR[[#This Row],[Age]]&lt;46,"36-45",IF(tblHR[[#This Row],[Age]]&lt;56,"46-55","56+"))))</f>
        <v>46-55</v>
      </c>
    </row>
    <row r="468" spans="1:37"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s="1">
        <v>16595</v>
      </c>
      <c r="T468">
        <v>5626</v>
      </c>
      <c r="U468">
        <v>7</v>
      </c>
      <c r="V468" t="s">
        <v>42</v>
      </c>
      <c r="W468" t="s">
        <v>43</v>
      </c>
      <c r="X468">
        <v>16</v>
      </c>
      <c r="Y468">
        <v>3</v>
      </c>
      <c r="Z468">
        <v>2</v>
      </c>
      <c r="AA468">
        <v>80</v>
      </c>
      <c r="AB468">
        <v>1</v>
      </c>
      <c r="AC468">
        <v>22</v>
      </c>
      <c r="AD468">
        <v>2</v>
      </c>
      <c r="AE468">
        <v>3</v>
      </c>
      <c r="AF468">
        <v>18</v>
      </c>
      <c r="AG468">
        <v>16</v>
      </c>
      <c r="AH468">
        <v>11</v>
      </c>
      <c r="AI468">
        <v>8</v>
      </c>
      <c r="AJ468" s="2">
        <f>IF(tblHR[[#This Row],[Attrition]]="Yes",1,0)</f>
        <v>0</v>
      </c>
      <c r="AK468" t="str">
        <f>IF(tblHR[[#This Row],[Age]]&lt;26,"18-25",IF(tblHR[[#This Row],[Age]]&lt;36,"26-35",IF(tblHR[[#This Row],[Age]]&lt;46,"36-45",IF(tblHR[[#This Row],[Age]]&lt;56,"46-55","56+"))))</f>
        <v>36-45</v>
      </c>
    </row>
    <row r="469" spans="1:37"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s="1">
        <v>8834</v>
      </c>
      <c r="T469">
        <v>24666</v>
      </c>
      <c r="U469">
        <v>1</v>
      </c>
      <c r="V469" t="s">
        <v>42</v>
      </c>
      <c r="W469" t="s">
        <v>43</v>
      </c>
      <c r="X469">
        <v>13</v>
      </c>
      <c r="Y469">
        <v>3</v>
      </c>
      <c r="Z469">
        <v>4</v>
      </c>
      <c r="AA469">
        <v>80</v>
      </c>
      <c r="AB469">
        <v>1</v>
      </c>
      <c r="AC469">
        <v>9</v>
      </c>
      <c r="AD469">
        <v>6</v>
      </c>
      <c r="AE469">
        <v>3</v>
      </c>
      <c r="AF469">
        <v>9</v>
      </c>
      <c r="AG469">
        <v>5</v>
      </c>
      <c r="AH469">
        <v>7</v>
      </c>
      <c r="AI469">
        <v>7</v>
      </c>
      <c r="AJ469" s="2">
        <f>IF(tblHR[[#This Row],[Attrition]]="Yes",1,0)</f>
        <v>0</v>
      </c>
      <c r="AK469" t="str">
        <f>IF(tblHR[[#This Row],[Age]]&lt;26,"18-25",IF(tblHR[[#This Row],[Age]]&lt;36,"26-35",IF(tblHR[[#This Row],[Age]]&lt;46,"36-45",IF(tblHR[[#This Row],[Age]]&lt;56,"46-55","56+"))))</f>
        <v>36-45</v>
      </c>
    </row>
    <row r="470" spans="1:37"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s="1">
        <v>5577</v>
      </c>
      <c r="T470">
        <v>22087</v>
      </c>
      <c r="U470">
        <v>3</v>
      </c>
      <c r="V470" t="s">
        <v>42</v>
      </c>
      <c r="W470" t="s">
        <v>35</v>
      </c>
      <c r="X470">
        <v>12</v>
      </c>
      <c r="Y470">
        <v>3</v>
      </c>
      <c r="Z470">
        <v>2</v>
      </c>
      <c r="AA470">
        <v>80</v>
      </c>
      <c r="AB470">
        <v>2</v>
      </c>
      <c r="AC470">
        <v>18</v>
      </c>
      <c r="AD470">
        <v>3</v>
      </c>
      <c r="AE470">
        <v>3</v>
      </c>
      <c r="AF470">
        <v>10</v>
      </c>
      <c r="AG470">
        <v>9</v>
      </c>
      <c r="AH470">
        <v>6</v>
      </c>
      <c r="AI470">
        <v>9</v>
      </c>
      <c r="AJ470" s="2">
        <f>IF(tblHR[[#This Row],[Attrition]]="Yes",1,0)</f>
        <v>0</v>
      </c>
      <c r="AK470" t="str">
        <f>IF(tblHR[[#This Row],[Age]]&lt;26,"18-25",IF(tblHR[[#This Row],[Age]]&lt;36,"26-35",IF(tblHR[[#This Row],[Age]]&lt;46,"36-45",IF(tblHR[[#This Row],[Age]]&lt;56,"46-55","56+"))))</f>
        <v>46-55</v>
      </c>
    </row>
    <row r="471" spans="1:37"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s="1">
        <v>4707</v>
      </c>
      <c r="T471">
        <v>23914</v>
      </c>
      <c r="U471">
        <v>8</v>
      </c>
      <c r="V471" t="s">
        <v>42</v>
      </c>
      <c r="W471" t="s">
        <v>43</v>
      </c>
      <c r="X471">
        <v>12</v>
      </c>
      <c r="Y471">
        <v>3</v>
      </c>
      <c r="Z471">
        <v>4</v>
      </c>
      <c r="AA471">
        <v>80</v>
      </c>
      <c r="AB471">
        <v>0</v>
      </c>
      <c r="AC471">
        <v>6</v>
      </c>
      <c r="AD471">
        <v>2</v>
      </c>
      <c r="AE471">
        <v>3</v>
      </c>
      <c r="AF471">
        <v>4</v>
      </c>
      <c r="AG471">
        <v>2</v>
      </c>
      <c r="AH471">
        <v>1</v>
      </c>
      <c r="AI471">
        <v>2</v>
      </c>
      <c r="AJ471" s="2">
        <f>IF(tblHR[[#This Row],[Attrition]]="Yes",1,0)</f>
        <v>1</v>
      </c>
      <c r="AK471" t="str">
        <f>IF(tblHR[[#This Row],[Age]]&lt;26,"18-25",IF(tblHR[[#This Row],[Age]]&lt;36,"26-35",IF(tblHR[[#This Row],[Age]]&lt;46,"36-45",IF(tblHR[[#This Row],[Age]]&lt;56,"46-55","56+"))))</f>
        <v>26-35</v>
      </c>
    </row>
    <row r="472" spans="1:37"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s="1">
        <v>2400</v>
      </c>
      <c r="T472">
        <v>5530</v>
      </c>
      <c r="U472">
        <v>0</v>
      </c>
      <c r="V472" t="s">
        <v>42</v>
      </c>
      <c r="W472" t="s">
        <v>43</v>
      </c>
      <c r="X472">
        <v>13</v>
      </c>
      <c r="Y472">
        <v>3</v>
      </c>
      <c r="Z472">
        <v>3</v>
      </c>
      <c r="AA472">
        <v>80</v>
      </c>
      <c r="AB472">
        <v>2</v>
      </c>
      <c r="AC472">
        <v>3</v>
      </c>
      <c r="AD472">
        <v>3</v>
      </c>
      <c r="AE472">
        <v>3</v>
      </c>
      <c r="AF472">
        <v>2</v>
      </c>
      <c r="AG472">
        <v>2</v>
      </c>
      <c r="AH472">
        <v>2</v>
      </c>
      <c r="AI472">
        <v>1</v>
      </c>
      <c r="AJ472" s="2">
        <f>IF(tblHR[[#This Row],[Attrition]]="Yes",1,0)</f>
        <v>0</v>
      </c>
      <c r="AK472" t="str">
        <f>IF(tblHR[[#This Row],[Age]]&lt;26,"18-25",IF(tblHR[[#This Row],[Age]]&lt;36,"26-35",IF(tblHR[[#This Row],[Age]]&lt;46,"36-45",IF(tblHR[[#This Row],[Age]]&lt;56,"46-55","56+"))))</f>
        <v>18-25</v>
      </c>
    </row>
    <row r="473" spans="1:37"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s="1">
        <v>9824</v>
      </c>
      <c r="T473">
        <v>22174</v>
      </c>
      <c r="U473">
        <v>3</v>
      </c>
      <c r="V473" t="s">
        <v>42</v>
      </c>
      <c r="W473" t="s">
        <v>43</v>
      </c>
      <c r="X473">
        <v>19</v>
      </c>
      <c r="Y473">
        <v>3</v>
      </c>
      <c r="Z473">
        <v>3</v>
      </c>
      <c r="AA473">
        <v>80</v>
      </c>
      <c r="AB473">
        <v>1</v>
      </c>
      <c r="AC473">
        <v>18</v>
      </c>
      <c r="AD473">
        <v>4</v>
      </c>
      <c r="AE473">
        <v>3</v>
      </c>
      <c r="AF473">
        <v>1</v>
      </c>
      <c r="AG473">
        <v>0</v>
      </c>
      <c r="AH473">
        <v>0</v>
      </c>
      <c r="AI473">
        <v>0</v>
      </c>
      <c r="AJ473" s="2">
        <f>IF(tblHR[[#This Row],[Attrition]]="Yes",1,0)</f>
        <v>0</v>
      </c>
      <c r="AK473" t="str">
        <f>IF(tblHR[[#This Row],[Age]]&lt;26,"18-25",IF(tblHR[[#This Row],[Age]]&lt;36,"26-35",IF(tblHR[[#This Row],[Age]]&lt;46,"36-45",IF(tblHR[[#This Row],[Age]]&lt;56,"46-55","56+"))))</f>
        <v>36-45</v>
      </c>
    </row>
    <row r="474" spans="1:37"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s="1">
        <v>6447</v>
      </c>
      <c r="T474">
        <v>15701</v>
      </c>
      <c r="U474">
        <v>6</v>
      </c>
      <c r="V474" t="s">
        <v>42</v>
      </c>
      <c r="W474" t="s">
        <v>43</v>
      </c>
      <c r="X474">
        <v>12</v>
      </c>
      <c r="Y474">
        <v>3</v>
      </c>
      <c r="Z474">
        <v>2</v>
      </c>
      <c r="AA474">
        <v>80</v>
      </c>
      <c r="AB474">
        <v>1</v>
      </c>
      <c r="AC474">
        <v>8</v>
      </c>
      <c r="AD474">
        <v>2</v>
      </c>
      <c r="AE474">
        <v>2</v>
      </c>
      <c r="AF474">
        <v>6</v>
      </c>
      <c r="AG474">
        <v>5</v>
      </c>
      <c r="AH474">
        <v>4</v>
      </c>
      <c r="AI474">
        <v>3</v>
      </c>
      <c r="AJ474" s="2">
        <f>IF(tblHR[[#This Row],[Attrition]]="Yes",1,0)</f>
        <v>0</v>
      </c>
      <c r="AK474" t="str">
        <f>IF(tblHR[[#This Row],[Age]]&lt;26,"18-25",IF(tblHR[[#This Row],[Age]]&lt;36,"26-35",IF(tblHR[[#This Row],[Age]]&lt;46,"36-45",IF(tblHR[[#This Row],[Age]]&lt;56,"46-55","56+"))))</f>
        <v>36-45</v>
      </c>
    </row>
    <row r="475" spans="1:37"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s="1">
        <v>19502</v>
      </c>
      <c r="T475">
        <v>2125</v>
      </c>
      <c r="U475">
        <v>1</v>
      </c>
      <c r="V475" t="s">
        <v>42</v>
      </c>
      <c r="W475" t="s">
        <v>35</v>
      </c>
      <c r="X475">
        <v>17</v>
      </c>
      <c r="Y475">
        <v>3</v>
      </c>
      <c r="Z475">
        <v>3</v>
      </c>
      <c r="AA475">
        <v>80</v>
      </c>
      <c r="AB475">
        <v>1</v>
      </c>
      <c r="AC475">
        <v>31</v>
      </c>
      <c r="AD475">
        <v>5</v>
      </c>
      <c r="AE475">
        <v>3</v>
      </c>
      <c r="AF475">
        <v>31</v>
      </c>
      <c r="AG475">
        <v>9</v>
      </c>
      <c r="AH475">
        <v>0</v>
      </c>
      <c r="AI475">
        <v>9</v>
      </c>
      <c r="AJ475" s="2">
        <f>IF(tblHR[[#This Row],[Attrition]]="Yes",1,0)</f>
        <v>0</v>
      </c>
      <c r="AK475" t="str">
        <f>IF(tblHR[[#This Row],[Age]]&lt;26,"18-25",IF(tblHR[[#This Row],[Age]]&lt;36,"26-35",IF(tblHR[[#This Row],[Age]]&lt;46,"36-45",IF(tblHR[[#This Row],[Age]]&lt;56,"46-55","56+"))))</f>
        <v>46-55</v>
      </c>
    </row>
    <row r="476" spans="1:37"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s="1">
        <v>2725</v>
      </c>
      <c r="T476">
        <v>21630</v>
      </c>
      <c r="U476">
        <v>1</v>
      </c>
      <c r="V476" t="s">
        <v>42</v>
      </c>
      <c r="W476" t="s">
        <v>35</v>
      </c>
      <c r="X476">
        <v>11</v>
      </c>
      <c r="Y476">
        <v>3</v>
      </c>
      <c r="Z476">
        <v>2</v>
      </c>
      <c r="AA476">
        <v>80</v>
      </c>
      <c r="AB476">
        <v>2</v>
      </c>
      <c r="AC476">
        <v>6</v>
      </c>
      <c r="AD476">
        <v>3</v>
      </c>
      <c r="AE476">
        <v>3</v>
      </c>
      <c r="AF476">
        <v>6</v>
      </c>
      <c r="AG476">
        <v>5</v>
      </c>
      <c r="AH476">
        <v>1</v>
      </c>
      <c r="AI476">
        <v>4</v>
      </c>
      <c r="AJ476" s="2">
        <f>IF(tblHR[[#This Row],[Attrition]]="Yes",1,0)</f>
        <v>0</v>
      </c>
      <c r="AK476" t="str">
        <f>IF(tblHR[[#This Row],[Age]]&lt;26,"18-25",IF(tblHR[[#This Row],[Age]]&lt;36,"26-35",IF(tblHR[[#This Row],[Age]]&lt;46,"36-45",IF(tblHR[[#This Row],[Age]]&lt;56,"46-55","56+"))))</f>
        <v>18-25</v>
      </c>
    </row>
    <row r="477" spans="1:37"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s="1">
        <v>6272</v>
      </c>
      <c r="T477">
        <v>7428</v>
      </c>
      <c r="U477">
        <v>1</v>
      </c>
      <c r="V477" t="s">
        <v>42</v>
      </c>
      <c r="W477" t="s">
        <v>43</v>
      </c>
      <c r="X477">
        <v>20</v>
      </c>
      <c r="Y477">
        <v>4</v>
      </c>
      <c r="Z477">
        <v>4</v>
      </c>
      <c r="AA477">
        <v>80</v>
      </c>
      <c r="AB477">
        <v>2</v>
      </c>
      <c r="AC477">
        <v>6</v>
      </c>
      <c r="AD477">
        <v>5</v>
      </c>
      <c r="AE477">
        <v>4</v>
      </c>
      <c r="AF477">
        <v>5</v>
      </c>
      <c r="AG477">
        <v>3</v>
      </c>
      <c r="AH477">
        <v>1</v>
      </c>
      <c r="AI477">
        <v>4</v>
      </c>
      <c r="AJ477" s="2">
        <f>IF(tblHR[[#This Row],[Attrition]]="Yes",1,0)</f>
        <v>0</v>
      </c>
      <c r="AK477" t="str">
        <f>IF(tblHR[[#This Row],[Age]]&lt;26,"18-25",IF(tblHR[[#This Row],[Age]]&lt;36,"26-35",IF(tblHR[[#This Row],[Age]]&lt;46,"36-45",IF(tblHR[[#This Row],[Age]]&lt;56,"46-55","56+"))))</f>
        <v>26-35</v>
      </c>
    </row>
    <row r="478" spans="1:37"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s="1">
        <v>2127</v>
      </c>
      <c r="T478">
        <v>9100</v>
      </c>
      <c r="U478">
        <v>1</v>
      </c>
      <c r="V478" t="s">
        <v>42</v>
      </c>
      <c r="W478" t="s">
        <v>43</v>
      </c>
      <c r="X478">
        <v>21</v>
      </c>
      <c r="Y478">
        <v>4</v>
      </c>
      <c r="Z478">
        <v>4</v>
      </c>
      <c r="AA478">
        <v>80</v>
      </c>
      <c r="AB478">
        <v>1</v>
      </c>
      <c r="AC478">
        <v>1</v>
      </c>
      <c r="AD478">
        <v>2</v>
      </c>
      <c r="AE478">
        <v>3</v>
      </c>
      <c r="AF478">
        <v>1</v>
      </c>
      <c r="AG478">
        <v>0</v>
      </c>
      <c r="AH478">
        <v>0</v>
      </c>
      <c r="AI478">
        <v>0</v>
      </c>
      <c r="AJ478" s="2">
        <f>IF(tblHR[[#This Row],[Attrition]]="Yes",1,0)</f>
        <v>0</v>
      </c>
      <c r="AK478" t="str">
        <f>IF(tblHR[[#This Row],[Age]]&lt;26,"18-25",IF(tblHR[[#This Row],[Age]]&lt;36,"26-35",IF(tblHR[[#This Row],[Age]]&lt;46,"36-45",IF(tblHR[[#This Row],[Age]]&lt;56,"46-55","56+"))))</f>
        <v>18-25</v>
      </c>
    </row>
    <row r="479" spans="1:37"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s="1">
        <v>18200</v>
      </c>
      <c r="T479">
        <v>7999</v>
      </c>
      <c r="U479">
        <v>1</v>
      </c>
      <c r="V479" t="s">
        <v>42</v>
      </c>
      <c r="W479" t="s">
        <v>43</v>
      </c>
      <c r="X479">
        <v>11</v>
      </c>
      <c r="Y479">
        <v>3</v>
      </c>
      <c r="Z479">
        <v>3</v>
      </c>
      <c r="AA479">
        <v>80</v>
      </c>
      <c r="AB479">
        <v>1</v>
      </c>
      <c r="AC479">
        <v>32</v>
      </c>
      <c r="AD479">
        <v>2</v>
      </c>
      <c r="AE479">
        <v>3</v>
      </c>
      <c r="AF479">
        <v>32</v>
      </c>
      <c r="AG479">
        <v>5</v>
      </c>
      <c r="AH479">
        <v>10</v>
      </c>
      <c r="AI479">
        <v>7</v>
      </c>
      <c r="AJ479" s="2">
        <f>IF(tblHR[[#This Row],[Attrition]]="Yes",1,0)</f>
        <v>0</v>
      </c>
      <c r="AK479" t="str">
        <f>IF(tblHR[[#This Row],[Age]]&lt;26,"18-25",IF(tblHR[[#This Row],[Age]]&lt;36,"26-35",IF(tblHR[[#This Row],[Age]]&lt;46,"36-45",IF(tblHR[[#This Row],[Age]]&lt;56,"46-55","56+"))))</f>
        <v>46-55</v>
      </c>
    </row>
    <row r="480" spans="1:37"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s="1">
        <v>2096</v>
      </c>
      <c r="T480">
        <v>26376</v>
      </c>
      <c r="U480">
        <v>1</v>
      </c>
      <c r="V480" t="s">
        <v>42</v>
      </c>
      <c r="W480" t="s">
        <v>43</v>
      </c>
      <c r="X480">
        <v>11</v>
      </c>
      <c r="Y480">
        <v>3</v>
      </c>
      <c r="Z480">
        <v>3</v>
      </c>
      <c r="AA480">
        <v>80</v>
      </c>
      <c r="AB480">
        <v>0</v>
      </c>
      <c r="AC480">
        <v>7</v>
      </c>
      <c r="AD480">
        <v>1</v>
      </c>
      <c r="AE480">
        <v>3</v>
      </c>
      <c r="AF480">
        <v>7</v>
      </c>
      <c r="AG480">
        <v>4</v>
      </c>
      <c r="AH480">
        <v>0</v>
      </c>
      <c r="AI480">
        <v>6</v>
      </c>
      <c r="AJ480" s="2">
        <f>IF(tblHR[[#This Row],[Attrition]]="Yes",1,0)</f>
        <v>0</v>
      </c>
      <c r="AK480" t="str">
        <f>IF(tblHR[[#This Row],[Age]]&lt;26,"18-25",IF(tblHR[[#This Row],[Age]]&lt;36,"26-35",IF(tblHR[[#This Row],[Age]]&lt;46,"36-45",IF(tblHR[[#This Row],[Age]]&lt;56,"46-55","56+"))))</f>
        <v>18-25</v>
      </c>
    </row>
    <row r="481" spans="1:37"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s="1">
        <v>2886</v>
      </c>
      <c r="T481">
        <v>14168</v>
      </c>
      <c r="U481">
        <v>1</v>
      </c>
      <c r="V481" t="s">
        <v>42</v>
      </c>
      <c r="W481" t="s">
        <v>35</v>
      </c>
      <c r="X481">
        <v>16</v>
      </c>
      <c r="Y481">
        <v>3</v>
      </c>
      <c r="Z481">
        <v>4</v>
      </c>
      <c r="AA481">
        <v>80</v>
      </c>
      <c r="AB481">
        <v>1</v>
      </c>
      <c r="AC481">
        <v>6</v>
      </c>
      <c r="AD481">
        <v>4</v>
      </c>
      <c r="AE481">
        <v>3</v>
      </c>
      <c r="AF481">
        <v>6</v>
      </c>
      <c r="AG481">
        <v>3</v>
      </c>
      <c r="AH481">
        <v>1</v>
      </c>
      <c r="AI481">
        <v>2</v>
      </c>
      <c r="AJ481" s="2">
        <f>IF(tblHR[[#This Row],[Attrition]]="Yes",1,0)</f>
        <v>1</v>
      </c>
      <c r="AK481" t="str">
        <f>IF(tblHR[[#This Row],[Age]]&lt;26,"18-25",IF(tblHR[[#This Row],[Age]]&lt;36,"26-35",IF(tblHR[[#This Row],[Age]]&lt;46,"36-45",IF(tblHR[[#This Row],[Age]]&lt;56,"46-55","56+"))))</f>
        <v>18-25</v>
      </c>
    </row>
    <row r="482" spans="1:37"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s="1">
        <v>2033</v>
      </c>
      <c r="T482">
        <v>14470</v>
      </c>
      <c r="U482">
        <v>1</v>
      </c>
      <c r="V482" t="s">
        <v>42</v>
      </c>
      <c r="W482" t="s">
        <v>43</v>
      </c>
      <c r="X482">
        <v>18</v>
      </c>
      <c r="Y482">
        <v>3</v>
      </c>
      <c r="Z482">
        <v>3</v>
      </c>
      <c r="AA482">
        <v>80</v>
      </c>
      <c r="AB482">
        <v>1</v>
      </c>
      <c r="AC482">
        <v>1</v>
      </c>
      <c r="AD482">
        <v>2</v>
      </c>
      <c r="AE482">
        <v>4</v>
      </c>
      <c r="AF482">
        <v>1</v>
      </c>
      <c r="AG482">
        <v>0</v>
      </c>
      <c r="AH482">
        <v>0</v>
      </c>
      <c r="AI482">
        <v>0</v>
      </c>
      <c r="AJ482" s="2">
        <f>IF(tblHR[[#This Row],[Attrition]]="Yes",1,0)</f>
        <v>1</v>
      </c>
      <c r="AK482" t="str">
        <f>IF(tblHR[[#This Row],[Age]]&lt;26,"18-25",IF(tblHR[[#This Row],[Age]]&lt;36,"26-35",IF(tblHR[[#This Row],[Age]]&lt;46,"36-45",IF(tblHR[[#This Row],[Age]]&lt;56,"46-55","56+"))))</f>
        <v>26-35</v>
      </c>
    </row>
    <row r="483" spans="1:37"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s="1">
        <v>3622</v>
      </c>
      <c r="T483">
        <v>22794</v>
      </c>
      <c r="U483">
        <v>1</v>
      </c>
      <c r="V483" t="s">
        <v>42</v>
      </c>
      <c r="W483" t="s">
        <v>35</v>
      </c>
      <c r="X483">
        <v>13</v>
      </c>
      <c r="Y483">
        <v>3</v>
      </c>
      <c r="Z483">
        <v>4</v>
      </c>
      <c r="AA483">
        <v>80</v>
      </c>
      <c r="AB483">
        <v>1</v>
      </c>
      <c r="AC483">
        <v>6</v>
      </c>
      <c r="AD483">
        <v>3</v>
      </c>
      <c r="AE483">
        <v>3</v>
      </c>
      <c r="AF483">
        <v>6</v>
      </c>
      <c r="AG483">
        <v>5</v>
      </c>
      <c r="AH483">
        <v>1</v>
      </c>
      <c r="AI483">
        <v>3</v>
      </c>
      <c r="AJ483" s="2">
        <f>IF(tblHR[[#This Row],[Attrition]]="Yes",1,0)</f>
        <v>0</v>
      </c>
      <c r="AK483" t="str">
        <f>IF(tblHR[[#This Row],[Age]]&lt;26,"18-25",IF(tblHR[[#This Row],[Age]]&lt;36,"26-35",IF(tblHR[[#This Row],[Age]]&lt;46,"36-45",IF(tblHR[[#This Row],[Age]]&lt;56,"46-55","56+"))))</f>
        <v>26-35</v>
      </c>
    </row>
    <row r="484" spans="1:37"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s="1">
        <v>4233</v>
      </c>
      <c r="T484">
        <v>11512</v>
      </c>
      <c r="U484">
        <v>2</v>
      </c>
      <c r="V484" t="s">
        <v>42</v>
      </c>
      <c r="W484" t="s">
        <v>43</v>
      </c>
      <c r="X484">
        <v>17</v>
      </c>
      <c r="Y484">
        <v>3</v>
      </c>
      <c r="Z484">
        <v>3</v>
      </c>
      <c r="AA484">
        <v>80</v>
      </c>
      <c r="AB484">
        <v>0</v>
      </c>
      <c r="AC484">
        <v>9</v>
      </c>
      <c r="AD484">
        <v>2</v>
      </c>
      <c r="AE484">
        <v>1</v>
      </c>
      <c r="AF484">
        <v>3</v>
      </c>
      <c r="AG484">
        <v>1</v>
      </c>
      <c r="AH484">
        <v>1</v>
      </c>
      <c r="AI484">
        <v>2</v>
      </c>
      <c r="AJ484" s="2">
        <f>IF(tblHR[[#This Row],[Attrition]]="Yes",1,0)</f>
        <v>1</v>
      </c>
      <c r="AK484" t="str">
        <f>IF(tblHR[[#This Row],[Age]]&lt;26,"18-25",IF(tblHR[[#This Row],[Age]]&lt;36,"26-35",IF(tblHR[[#This Row],[Age]]&lt;46,"36-45",IF(tblHR[[#This Row],[Age]]&lt;56,"46-55","56+"))))</f>
        <v>26-35</v>
      </c>
    </row>
    <row r="485" spans="1:37"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s="1">
        <v>3681</v>
      </c>
      <c r="T485">
        <v>14004</v>
      </c>
      <c r="U485">
        <v>4</v>
      </c>
      <c r="V485" t="s">
        <v>42</v>
      </c>
      <c r="W485" t="s">
        <v>43</v>
      </c>
      <c r="X485">
        <v>14</v>
      </c>
      <c r="Y485">
        <v>3</v>
      </c>
      <c r="Z485">
        <v>4</v>
      </c>
      <c r="AA485">
        <v>80</v>
      </c>
      <c r="AB485">
        <v>0</v>
      </c>
      <c r="AC485">
        <v>9</v>
      </c>
      <c r="AD485">
        <v>3</v>
      </c>
      <c r="AE485">
        <v>3</v>
      </c>
      <c r="AF485">
        <v>3</v>
      </c>
      <c r="AG485">
        <v>2</v>
      </c>
      <c r="AH485">
        <v>0</v>
      </c>
      <c r="AI485">
        <v>2</v>
      </c>
      <c r="AJ485" s="2">
        <f>IF(tblHR[[#This Row],[Attrition]]="Yes",1,0)</f>
        <v>0</v>
      </c>
      <c r="AK485" t="str">
        <f>IF(tblHR[[#This Row],[Age]]&lt;26,"18-25",IF(tblHR[[#This Row],[Age]]&lt;36,"26-35",IF(tblHR[[#This Row],[Age]]&lt;46,"36-45",IF(tblHR[[#This Row],[Age]]&lt;56,"46-55","56+"))))</f>
        <v>26-35</v>
      </c>
    </row>
    <row r="486" spans="1:37"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s="1">
        <v>5460</v>
      </c>
      <c r="T486">
        <v>6219</v>
      </c>
      <c r="U486">
        <v>4</v>
      </c>
      <c r="V486" t="s">
        <v>42</v>
      </c>
      <c r="W486" t="s">
        <v>43</v>
      </c>
      <c r="X486">
        <v>22</v>
      </c>
      <c r="Y486">
        <v>4</v>
      </c>
      <c r="Z486">
        <v>4</v>
      </c>
      <c r="AA486">
        <v>80</v>
      </c>
      <c r="AB486">
        <v>2</v>
      </c>
      <c r="AC486">
        <v>13</v>
      </c>
      <c r="AD486">
        <v>4</v>
      </c>
      <c r="AE486">
        <v>4</v>
      </c>
      <c r="AF486">
        <v>7</v>
      </c>
      <c r="AG486">
        <v>7</v>
      </c>
      <c r="AH486">
        <v>5</v>
      </c>
      <c r="AI486">
        <v>7</v>
      </c>
      <c r="AJ486" s="2">
        <f>IF(tblHR[[#This Row],[Attrition]]="Yes",1,0)</f>
        <v>0</v>
      </c>
      <c r="AK486" t="str">
        <f>IF(tblHR[[#This Row],[Age]]&lt;26,"18-25",IF(tblHR[[#This Row],[Age]]&lt;36,"26-35",IF(tblHR[[#This Row],[Age]]&lt;46,"36-45",IF(tblHR[[#This Row],[Age]]&lt;56,"46-55","56+"))))</f>
        <v>26-35</v>
      </c>
    </row>
    <row r="487" spans="1:37"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s="1">
        <v>2187</v>
      </c>
      <c r="T487">
        <v>5013</v>
      </c>
      <c r="U487">
        <v>0</v>
      </c>
      <c r="V487" t="s">
        <v>42</v>
      </c>
      <c r="W487" t="s">
        <v>43</v>
      </c>
      <c r="X487">
        <v>12</v>
      </c>
      <c r="Y487">
        <v>3</v>
      </c>
      <c r="Z487">
        <v>3</v>
      </c>
      <c r="AA487">
        <v>80</v>
      </c>
      <c r="AB487">
        <v>2</v>
      </c>
      <c r="AC487">
        <v>6</v>
      </c>
      <c r="AD487">
        <v>5</v>
      </c>
      <c r="AE487">
        <v>2</v>
      </c>
      <c r="AF487">
        <v>5</v>
      </c>
      <c r="AG487">
        <v>3</v>
      </c>
      <c r="AH487">
        <v>0</v>
      </c>
      <c r="AI487">
        <v>3</v>
      </c>
      <c r="AJ487" s="2">
        <f>IF(tblHR[[#This Row],[Attrition]]="Yes",1,0)</f>
        <v>0</v>
      </c>
      <c r="AK487" t="str">
        <f>IF(tblHR[[#This Row],[Age]]&lt;26,"18-25",IF(tblHR[[#This Row],[Age]]&lt;36,"26-35",IF(tblHR[[#This Row],[Age]]&lt;46,"36-45",IF(tblHR[[#This Row],[Age]]&lt;56,"46-55","56+"))))</f>
        <v>26-35</v>
      </c>
    </row>
    <row r="488" spans="1:37"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s="1">
        <v>9602</v>
      </c>
      <c r="T488">
        <v>3010</v>
      </c>
      <c r="U488">
        <v>4</v>
      </c>
      <c r="V488" t="s">
        <v>42</v>
      </c>
      <c r="W488" t="s">
        <v>35</v>
      </c>
      <c r="X488">
        <v>11</v>
      </c>
      <c r="Y488">
        <v>3</v>
      </c>
      <c r="Z488">
        <v>3</v>
      </c>
      <c r="AA488">
        <v>80</v>
      </c>
      <c r="AB488">
        <v>1</v>
      </c>
      <c r="AC488">
        <v>17</v>
      </c>
      <c r="AD488">
        <v>3</v>
      </c>
      <c r="AE488">
        <v>2</v>
      </c>
      <c r="AF488">
        <v>3</v>
      </c>
      <c r="AG488">
        <v>0</v>
      </c>
      <c r="AH488">
        <v>1</v>
      </c>
      <c r="AI488">
        <v>0</v>
      </c>
      <c r="AJ488" s="2">
        <f>IF(tblHR[[#This Row],[Attrition]]="Yes",1,0)</f>
        <v>0</v>
      </c>
      <c r="AK488" t="str">
        <f>IF(tblHR[[#This Row],[Age]]&lt;26,"18-25",IF(tblHR[[#This Row],[Age]]&lt;36,"26-35",IF(tblHR[[#This Row],[Age]]&lt;46,"36-45",IF(tblHR[[#This Row],[Age]]&lt;56,"46-55","56+"))))</f>
        <v>36-45</v>
      </c>
    </row>
    <row r="489" spans="1:37"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s="1">
        <v>2836</v>
      </c>
      <c r="T489">
        <v>11757</v>
      </c>
      <c r="U489">
        <v>1</v>
      </c>
      <c r="V489" t="s">
        <v>42</v>
      </c>
      <c r="W489" t="s">
        <v>43</v>
      </c>
      <c r="X489">
        <v>13</v>
      </c>
      <c r="Y489">
        <v>3</v>
      </c>
      <c r="Z489">
        <v>4</v>
      </c>
      <c r="AA489">
        <v>80</v>
      </c>
      <c r="AB489">
        <v>0</v>
      </c>
      <c r="AC489">
        <v>1</v>
      </c>
      <c r="AD489">
        <v>0</v>
      </c>
      <c r="AE489">
        <v>4</v>
      </c>
      <c r="AF489">
        <v>1</v>
      </c>
      <c r="AG489">
        <v>0</v>
      </c>
      <c r="AH489">
        <v>0</v>
      </c>
      <c r="AI489">
        <v>0</v>
      </c>
      <c r="AJ489" s="2">
        <f>IF(tblHR[[#This Row],[Attrition]]="Yes",1,0)</f>
        <v>0</v>
      </c>
      <c r="AK489" t="str">
        <f>IF(tblHR[[#This Row],[Age]]&lt;26,"18-25",IF(tblHR[[#This Row],[Age]]&lt;36,"26-35",IF(tblHR[[#This Row],[Age]]&lt;46,"36-45",IF(tblHR[[#This Row],[Age]]&lt;56,"46-55","56+"))))</f>
        <v>18-25</v>
      </c>
    </row>
    <row r="490" spans="1:37"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s="1">
        <v>4089</v>
      </c>
      <c r="T490">
        <v>5718</v>
      </c>
      <c r="U490">
        <v>1</v>
      </c>
      <c r="V490" t="s">
        <v>42</v>
      </c>
      <c r="W490" t="s">
        <v>43</v>
      </c>
      <c r="X490">
        <v>13</v>
      </c>
      <c r="Y490">
        <v>3</v>
      </c>
      <c r="Z490">
        <v>2</v>
      </c>
      <c r="AA490">
        <v>80</v>
      </c>
      <c r="AB490">
        <v>2</v>
      </c>
      <c r="AC490">
        <v>10</v>
      </c>
      <c r="AD490">
        <v>4</v>
      </c>
      <c r="AE490">
        <v>3</v>
      </c>
      <c r="AF490">
        <v>10</v>
      </c>
      <c r="AG490">
        <v>2</v>
      </c>
      <c r="AH490">
        <v>2</v>
      </c>
      <c r="AI490">
        <v>2</v>
      </c>
      <c r="AJ490" s="2">
        <f>IF(tblHR[[#This Row],[Attrition]]="Yes",1,0)</f>
        <v>0</v>
      </c>
      <c r="AK490" t="str">
        <f>IF(tblHR[[#This Row],[Age]]&lt;26,"18-25",IF(tblHR[[#This Row],[Age]]&lt;36,"26-35",IF(tblHR[[#This Row],[Age]]&lt;46,"36-45",IF(tblHR[[#This Row],[Age]]&lt;56,"46-55","56+"))))</f>
        <v>36-45</v>
      </c>
    </row>
    <row r="491" spans="1:37"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s="1">
        <v>16627</v>
      </c>
      <c r="T491">
        <v>2671</v>
      </c>
      <c r="U491">
        <v>4</v>
      </c>
      <c r="V491" t="s">
        <v>42</v>
      </c>
      <c r="W491" t="s">
        <v>35</v>
      </c>
      <c r="X491">
        <v>14</v>
      </c>
      <c r="Y491">
        <v>3</v>
      </c>
      <c r="Z491">
        <v>3</v>
      </c>
      <c r="AA491">
        <v>80</v>
      </c>
      <c r="AB491">
        <v>1</v>
      </c>
      <c r="AC491">
        <v>21</v>
      </c>
      <c r="AD491">
        <v>3</v>
      </c>
      <c r="AE491">
        <v>2</v>
      </c>
      <c r="AF491">
        <v>1</v>
      </c>
      <c r="AG491">
        <v>0</v>
      </c>
      <c r="AH491">
        <v>0</v>
      </c>
      <c r="AI491">
        <v>0</v>
      </c>
      <c r="AJ491" s="2">
        <f>IF(tblHR[[#This Row],[Attrition]]="Yes",1,0)</f>
        <v>0</v>
      </c>
      <c r="AK491" t="str">
        <f>IF(tblHR[[#This Row],[Age]]&lt;26,"18-25",IF(tblHR[[#This Row],[Age]]&lt;36,"26-35",IF(tblHR[[#This Row],[Age]]&lt;46,"36-45",IF(tblHR[[#This Row],[Age]]&lt;56,"46-55","56+"))))</f>
        <v>36-45</v>
      </c>
    </row>
    <row r="492" spans="1:37"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s="1">
        <v>2619</v>
      </c>
      <c r="T492">
        <v>14561</v>
      </c>
      <c r="U492">
        <v>3</v>
      </c>
      <c r="V492" t="s">
        <v>42</v>
      </c>
      <c r="W492" t="s">
        <v>43</v>
      </c>
      <c r="X492">
        <v>17</v>
      </c>
      <c r="Y492">
        <v>3</v>
      </c>
      <c r="Z492">
        <v>4</v>
      </c>
      <c r="AA492">
        <v>80</v>
      </c>
      <c r="AB492">
        <v>0</v>
      </c>
      <c r="AC492">
        <v>8</v>
      </c>
      <c r="AD492">
        <v>3</v>
      </c>
      <c r="AE492">
        <v>2</v>
      </c>
      <c r="AF492">
        <v>0</v>
      </c>
      <c r="AG492">
        <v>0</v>
      </c>
      <c r="AH492">
        <v>0</v>
      </c>
      <c r="AI492">
        <v>0</v>
      </c>
      <c r="AJ492" s="2">
        <f>IF(tblHR[[#This Row],[Attrition]]="Yes",1,0)</f>
        <v>0</v>
      </c>
      <c r="AK492" t="str">
        <f>IF(tblHR[[#This Row],[Age]]&lt;26,"18-25",IF(tblHR[[#This Row],[Age]]&lt;36,"26-35",IF(tblHR[[#This Row],[Age]]&lt;46,"36-45",IF(tblHR[[#This Row],[Age]]&lt;56,"46-55","56+"))))</f>
        <v>36-45</v>
      </c>
    </row>
    <row r="493" spans="1:37"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s="1">
        <v>5679</v>
      </c>
      <c r="T493">
        <v>19627</v>
      </c>
      <c r="U493">
        <v>3</v>
      </c>
      <c r="V493" t="s">
        <v>42</v>
      </c>
      <c r="W493" t="s">
        <v>35</v>
      </c>
      <c r="X493">
        <v>13</v>
      </c>
      <c r="Y493">
        <v>3</v>
      </c>
      <c r="Z493">
        <v>2</v>
      </c>
      <c r="AA493">
        <v>80</v>
      </c>
      <c r="AB493">
        <v>1</v>
      </c>
      <c r="AC493">
        <v>10</v>
      </c>
      <c r="AD493">
        <v>3</v>
      </c>
      <c r="AE493">
        <v>3</v>
      </c>
      <c r="AF493">
        <v>8</v>
      </c>
      <c r="AG493">
        <v>7</v>
      </c>
      <c r="AH493">
        <v>4</v>
      </c>
      <c r="AI493">
        <v>7</v>
      </c>
      <c r="AJ493" s="2">
        <f>IF(tblHR[[#This Row],[Attrition]]="Yes",1,0)</f>
        <v>0</v>
      </c>
      <c r="AK493" t="str">
        <f>IF(tblHR[[#This Row],[Age]]&lt;26,"18-25",IF(tblHR[[#This Row],[Age]]&lt;36,"26-35",IF(tblHR[[#This Row],[Age]]&lt;46,"36-45",IF(tblHR[[#This Row],[Age]]&lt;56,"46-55","56+"))))</f>
        <v>36-45</v>
      </c>
    </row>
    <row r="494" spans="1:37"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s="1">
        <v>15402</v>
      </c>
      <c r="T494">
        <v>17997</v>
      </c>
      <c r="U494">
        <v>7</v>
      </c>
      <c r="V494" t="s">
        <v>42</v>
      </c>
      <c r="W494" t="s">
        <v>43</v>
      </c>
      <c r="X494">
        <v>11</v>
      </c>
      <c r="Y494">
        <v>3</v>
      </c>
      <c r="Z494">
        <v>1</v>
      </c>
      <c r="AA494">
        <v>80</v>
      </c>
      <c r="AB494">
        <v>1</v>
      </c>
      <c r="AC494">
        <v>21</v>
      </c>
      <c r="AD494">
        <v>3</v>
      </c>
      <c r="AE494">
        <v>1</v>
      </c>
      <c r="AF494">
        <v>3</v>
      </c>
      <c r="AG494">
        <v>2</v>
      </c>
      <c r="AH494">
        <v>0</v>
      </c>
      <c r="AI494">
        <v>2</v>
      </c>
      <c r="AJ494" s="2">
        <f>IF(tblHR[[#This Row],[Attrition]]="Yes",1,0)</f>
        <v>0</v>
      </c>
      <c r="AK494" t="str">
        <f>IF(tblHR[[#This Row],[Age]]&lt;26,"18-25",IF(tblHR[[#This Row],[Age]]&lt;36,"26-35",IF(tblHR[[#This Row],[Age]]&lt;46,"36-45",IF(tblHR[[#This Row],[Age]]&lt;56,"46-55","56+"))))</f>
        <v>46-55</v>
      </c>
    </row>
    <row r="495" spans="1:37"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s="1">
        <v>5985</v>
      </c>
      <c r="T495">
        <v>26894</v>
      </c>
      <c r="U495">
        <v>4</v>
      </c>
      <c r="V495" t="s">
        <v>42</v>
      </c>
      <c r="W495" t="s">
        <v>43</v>
      </c>
      <c r="X495">
        <v>11</v>
      </c>
      <c r="Y495">
        <v>3</v>
      </c>
      <c r="Z495">
        <v>2</v>
      </c>
      <c r="AA495">
        <v>80</v>
      </c>
      <c r="AB495">
        <v>0</v>
      </c>
      <c r="AC495">
        <v>10</v>
      </c>
      <c r="AD495">
        <v>1</v>
      </c>
      <c r="AE495">
        <v>4</v>
      </c>
      <c r="AF495">
        <v>2</v>
      </c>
      <c r="AG495">
        <v>2</v>
      </c>
      <c r="AH495">
        <v>0</v>
      </c>
      <c r="AI495">
        <v>2</v>
      </c>
      <c r="AJ495" s="2">
        <f>IF(tblHR[[#This Row],[Attrition]]="Yes",1,0)</f>
        <v>0</v>
      </c>
      <c r="AK495" t="str">
        <f>IF(tblHR[[#This Row],[Age]]&lt;26,"18-25",IF(tblHR[[#This Row],[Age]]&lt;36,"26-35",IF(tblHR[[#This Row],[Age]]&lt;46,"36-45",IF(tblHR[[#This Row],[Age]]&lt;56,"46-55","56+"))))</f>
        <v>36-45</v>
      </c>
    </row>
    <row r="496" spans="1:37"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s="1">
        <v>2579</v>
      </c>
      <c r="T496">
        <v>2912</v>
      </c>
      <c r="U496">
        <v>1</v>
      </c>
      <c r="V496" t="s">
        <v>42</v>
      </c>
      <c r="W496" t="s">
        <v>35</v>
      </c>
      <c r="X496">
        <v>18</v>
      </c>
      <c r="Y496">
        <v>3</v>
      </c>
      <c r="Z496">
        <v>4</v>
      </c>
      <c r="AA496">
        <v>80</v>
      </c>
      <c r="AB496">
        <v>2</v>
      </c>
      <c r="AC496">
        <v>8</v>
      </c>
      <c r="AD496">
        <v>3</v>
      </c>
      <c r="AE496">
        <v>3</v>
      </c>
      <c r="AF496">
        <v>8</v>
      </c>
      <c r="AG496">
        <v>2</v>
      </c>
      <c r="AH496">
        <v>0</v>
      </c>
      <c r="AI496">
        <v>6</v>
      </c>
      <c r="AJ496" s="2">
        <f>IF(tblHR[[#This Row],[Attrition]]="Yes",1,0)</f>
        <v>0</v>
      </c>
      <c r="AK496" t="str">
        <f>IF(tblHR[[#This Row],[Age]]&lt;26,"18-25",IF(tblHR[[#This Row],[Age]]&lt;36,"26-35",IF(tblHR[[#This Row],[Age]]&lt;46,"36-45",IF(tblHR[[#This Row],[Age]]&lt;56,"46-55","56+"))))</f>
        <v>26-35</v>
      </c>
    </row>
    <row r="497" spans="1:37"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s="1">
        <v>3041</v>
      </c>
      <c r="T497">
        <v>16346</v>
      </c>
      <c r="U497">
        <v>0</v>
      </c>
      <c r="V497" t="s">
        <v>42</v>
      </c>
      <c r="W497" t="s">
        <v>43</v>
      </c>
      <c r="X497">
        <v>11</v>
      </c>
      <c r="Y497">
        <v>3</v>
      </c>
      <c r="Z497">
        <v>2</v>
      </c>
      <c r="AA497">
        <v>80</v>
      </c>
      <c r="AB497">
        <v>1</v>
      </c>
      <c r="AC497">
        <v>5</v>
      </c>
      <c r="AD497">
        <v>3</v>
      </c>
      <c r="AE497">
        <v>3</v>
      </c>
      <c r="AF497">
        <v>4</v>
      </c>
      <c r="AG497">
        <v>3</v>
      </c>
      <c r="AH497">
        <v>0</v>
      </c>
      <c r="AI497">
        <v>2</v>
      </c>
      <c r="AJ497" s="2">
        <f>IF(tblHR[[#This Row],[Attrition]]="Yes",1,0)</f>
        <v>1</v>
      </c>
      <c r="AK497" t="str">
        <f>IF(tblHR[[#This Row],[Age]]&lt;26,"18-25",IF(tblHR[[#This Row],[Age]]&lt;36,"26-35",IF(tblHR[[#This Row],[Age]]&lt;46,"36-45",IF(tblHR[[#This Row],[Age]]&lt;56,"46-55","56+"))))</f>
        <v>26-35</v>
      </c>
    </row>
    <row r="498" spans="1:37"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s="1">
        <v>3447</v>
      </c>
      <c r="T498">
        <v>24444</v>
      </c>
      <c r="U498">
        <v>1</v>
      </c>
      <c r="V498" t="s">
        <v>42</v>
      </c>
      <c r="W498" t="s">
        <v>43</v>
      </c>
      <c r="X498">
        <v>11</v>
      </c>
      <c r="Y498">
        <v>3</v>
      </c>
      <c r="Z498">
        <v>3</v>
      </c>
      <c r="AA498">
        <v>80</v>
      </c>
      <c r="AB498">
        <v>0</v>
      </c>
      <c r="AC498">
        <v>3</v>
      </c>
      <c r="AD498">
        <v>2</v>
      </c>
      <c r="AE498">
        <v>3</v>
      </c>
      <c r="AF498">
        <v>3</v>
      </c>
      <c r="AG498">
        <v>2</v>
      </c>
      <c r="AH498">
        <v>1</v>
      </c>
      <c r="AI498">
        <v>2</v>
      </c>
      <c r="AJ498" s="2">
        <f>IF(tblHR[[#This Row],[Attrition]]="Yes",1,0)</f>
        <v>0</v>
      </c>
      <c r="AK498" t="str">
        <f>IF(tblHR[[#This Row],[Age]]&lt;26,"18-25",IF(tblHR[[#This Row],[Age]]&lt;36,"26-35",IF(tblHR[[#This Row],[Age]]&lt;46,"36-45",IF(tblHR[[#This Row],[Age]]&lt;56,"46-55","56+"))))</f>
        <v>18-25</v>
      </c>
    </row>
    <row r="499" spans="1:37"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s="1">
        <v>19513</v>
      </c>
      <c r="T499">
        <v>9358</v>
      </c>
      <c r="U499">
        <v>4</v>
      </c>
      <c r="V499" t="s">
        <v>42</v>
      </c>
      <c r="W499" t="s">
        <v>35</v>
      </c>
      <c r="X499">
        <v>12</v>
      </c>
      <c r="Y499">
        <v>3</v>
      </c>
      <c r="Z499">
        <v>1</v>
      </c>
      <c r="AA499">
        <v>80</v>
      </c>
      <c r="AB499">
        <v>1</v>
      </c>
      <c r="AC499">
        <v>26</v>
      </c>
      <c r="AD499">
        <v>2</v>
      </c>
      <c r="AE499">
        <v>4</v>
      </c>
      <c r="AF499">
        <v>2</v>
      </c>
      <c r="AG499">
        <v>2</v>
      </c>
      <c r="AH499">
        <v>0</v>
      </c>
      <c r="AI499">
        <v>1</v>
      </c>
      <c r="AJ499" s="2">
        <f>IF(tblHR[[#This Row],[Attrition]]="Yes",1,0)</f>
        <v>0</v>
      </c>
      <c r="AK499" t="str">
        <f>IF(tblHR[[#This Row],[Age]]&lt;26,"18-25",IF(tblHR[[#This Row],[Age]]&lt;36,"26-35",IF(tblHR[[#This Row],[Age]]&lt;46,"36-45",IF(tblHR[[#This Row],[Age]]&lt;56,"46-55","56+"))))</f>
        <v>36-45</v>
      </c>
    </row>
    <row r="500" spans="1:37"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s="1">
        <v>2773</v>
      </c>
      <c r="T500">
        <v>12145</v>
      </c>
      <c r="U500">
        <v>0</v>
      </c>
      <c r="V500" t="s">
        <v>42</v>
      </c>
      <c r="W500" t="s">
        <v>43</v>
      </c>
      <c r="X500">
        <v>20</v>
      </c>
      <c r="Y500">
        <v>4</v>
      </c>
      <c r="Z500">
        <v>4</v>
      </c>
      <c r="AA500">
        <v>80</v>
      </c>
      <c r="AB500">
        <v>0</v>
      </c>
      <c r="AC500">
        <v>3</v>
      </c>
      <c r="AD500">
        <v>3</v>
      </c>
      <c r="AE500">
        <v>3</v>
      </c>
      <c r="AF500">
        <v>2</v>
      </c>
      <c r="AG500">
        <v>2</v>
      </c>
      <c r="AH500">
        <v>2</v>
      </c>
      <c r="AI500">
        <v>2</v>
      </c>
      <c r="AJ500" s="2">
        <f>IF(tblHR[[#This Row],[Attrition]]="Yes",1,0)</f>
        <v>0</v>
      </c>
      <c r="AK500" t="str">
        <f>IF(tblHR[[#This Row],[Age]]&lt;26,"18-25",IF(tblHR[[#This Row],[Age]]&lt;36,"26-35",IF(tblHR[[#This Row],[Age]]&lt;46,"36-45",IF(tblHR[[#This Row],[Age]]&lt;56,"46-55","56+"))))</f>
        <v>18-25</v>
      </c>
    </row>
    <row r="501" spans="1:37"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s="1">
        <v>7104</v>
      </c>
      <c r="T501">
        <v>20431</v>
      </c>
      <c r="U501">
        <v>0</v>
      </c>
      <c r="V501" t="s">
        <v>42</v>
      </c>
      <c r="W501" t="s">
        <v>43</v>
      </c>
      <c r="X501">
        <v>12</v>
      </c>
      <c r="Y501">
        <v>3</v>
      </c>
      <c r="Z501">
        <v>4</v>
      </c>
      <c r="AA501">
        <v>80</v>
      </c>
      <c r="AB501">
        <v>0</v>
      </c>
      <c r="AC501">
        <v>6</v>
      </c>
      <c r="AD501">
        <v>3</v>
      </c>
      <c r="AE501">
        <v>3</v>
      </c>
      <c r="AF501">
        <v>5</v>
      </c>
      <c r="AG501">
        <v>0</v>
      </c>
      <c r="AH501">
        <v>1</v>
      </c>
      <c r="AI501">
        <v>2</v>
      </c>
      <c r="AJ501" s="2">
        <f>IF(tblHR[[#This Row],[Attrition]]="Yes",1,0)</f>
        <v>0</v>
      </c>
      <c r="AK501" t="str">
        <f>IF(tblHR[[#This Row],[Age]]&lt;26,"18-25",IF(tblHR[[#This Row],[Age]]&lt;36,"26-35",IF(tblHR[[#This Row],[Age]]&lt;46,"36-45",IF(tblHR[[#This Row],[Age]]&lt;56,"46-55","56+"))))</f>
        <v>26-35</v>
      </c>
    </row>
    <row r="502" spans="1:37"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s="1">
        <v>6322</v>
      </c>
      <c r="T502">
        <v>18089</v>
      </c>
      <c r="U502">
        <v>1</v>
      </c>
      <c r="V502" t="s">
        <v>42</v>
      </c>
      <c r="W502" t="s">
        <v>35</v>
      </c>
      <c r="X502">
        <v>12</v>
      </c>
      <c r="Y502">
        <v>3</v>
      </c>
      <c r="Z502">
        <v>4</v>
      </c>
      <c r="AA502">
        <v>80</v>
      </c>
      <c r="AB502">
        <v>1</v>
      </c>
      <c r="AC502">
        <v>6</v>
      </c>
      <c r="AD502">
        <v>2</v>
      </c>
      <c r="AE502">
        <v>2</v>
      </c>
      <c r="AF502">
        <v>6</v>
      </c>
      <c r="AG502">
        <v>4</v>
      </c>
      <c r="AH502">
        <v>0</v>
      </c>
      <c r="AI502">
        <v>5</v>
      </c>
      <c r="AJ502" s="2">
        <f>IF(tblHR[[#This Row],[Attrition]]="Yes",1,0)</f>
        <v>0</v>
      </c>
      <c r="AK502" t="str">
        <f>IF(tblHR[[#This Row],[Age]]&lt;26,"18-25",IF(tblHR[[#This Row],[Age]]&lt;36,"26-35",IF(tblHR[[#This Row],[Age]]&lt;46,"36-45",IF(tblHR[[#This Row],[Age]]&lt;56,"46-55","56+"))))</f>
        <v>26-35</v>
      </c>
    </row>
    <row r="503" spans="1:37"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s="1">
        <v>2083</v>
      </c>
      <c r="T503">
        <v>22653</v>
      </c>
      <c r="U503">
        <v>1</v>
      </c>
      <c r="V503" t="s">
        <v>42</v>
      </c>
      <c r="W503" t="s">
        <v>43</v>
      </c>
      <c r="X503">
        <v>20</v>
      </c>
      <c r="Y503">
        <v>4</v>
      </c>
      <c r="Z503">
        <v>3</v>
      </c>
      <c r="AA503">
        <v>80</v>
      </c>
      <c r="AB503">
        <v>1</v>
      </c>
      <c r="AC503">
        <v>1</v>
      </c>
      <c r="AD503">
        <v>2</v>
      </c>
      <c r="AE503">
        <v>3</v>
      </c>
      <c r="AF503">
        <v>1</v>
      </c>
      <c r="AG503">
        <v>0</v>
      </c>
      <c r="AH503">
        <v>0</v>
      </c>
      <c r="AI503">
        <v>0</v>
      </c>
      <c r="AJ503" s="2">
        <f>IF(tblHR[[#This Row],[Attrition]]="Yes",1,0)</f>
        <v>0</v>
      </c>
      <c r="AK503" t="str">
        <f>IF(tblHR[[#This Row],[Age]]&lt;26,"18-25",IF(tblHR[[#This Row],[Age]]&lt;36,"26-35",IF(tblHR[[#This Row],[Age]]&lt;46,"36-45",IF(tblHR[[#This Row],[Age]]&lt;56,"46-55","56+"))))</f>
        <v>26-35</v>
      </c>
    </row>
    <row r="504" spans="1:37"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s="1">
        <v>8381</v>
      </c>
      <c r="T504">
        <v>7507</v>
      </c>
      <c r="U504">
        <v>7</v>
      </c>
      <c r="V504" t="s">
        <v>42</v>
      </c>
      <c r="W504" t="s">
        <v>43</v>
      </c>
      <c r="X504">
        <v>20</v>
      </c>
      <c r="Y504">
        <v>4</v>
      </c>
      <c r="Z504">
        <v>4</v>
      </c>
      <c r="AA504">
        <v>80</v>
      </c>
      <c r="AB504">
        <v>0</v>
      </c>
      <c r="AC504">
        <v>18</v>
      </c>
      <c r="AD504">
        <v>2</v>
      </c>
      <c r="AE504">
        <v>4</v>
      </c>
      <c r="AF504">
        <v>14</v>
      </c>
      <c r="AG504">
        <v>7</v>
      </c>
      <c r="AH504">
        <v>8</v>
      </c>
      <c r="AI504">
        <v>10</v>
      </c>
      <c r="AJ504" s="2">
        <f>IF(tblHR[[#This Row],[Attrition]]="Yes",1,0)</f>
        <v>0</v>
      </c>
      <c r="AK504" t="str">
        <f>IF(tblHR[[#This Row],[Age]]&lt;26,"18-25",IF(tblHR[[#This Row],[Age]]&lt;36,"26-35",IF(tblHR[[#This Row],[Age]]&lt;46,"36-45",IF(tblHR[[#This Row],[Age]]&lt;56,"46-55","56+"))))</f>
        <v>46-55</v>
      </c>
    </row>
    <row r="505" spans="1:37"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s="1">
        <v>2691</v>
      </c>
      <c r="T505">
        <v>7660</v>
      </c>
      <c r="U505">
        <v>1</v>
      </c>
      <c r="V505" t="s">
        <v>42</v>
      </c>
      <c r="W505" t="s">
        <v>43</v>
      </c>
      <c r="X505">
        <v>12</v>
      </c>
      <c r="Y505">
        <v>3</v>
      </c>
      <c r="Z505">
        <v>4</v>
      </c>
      <c r="AA505">
        <v>80</v>
      </c>
      <c r="AB505">
        <v>1</v>
      </c>
      <c r="AC505">
        <v>10</v>
      </c>
      <c r="AD505">
        <v>4</v>
      </c>
      <c r="AE505">
        <v>2</v>
      </c>
      <c r="AF505">
        <v>10</v>
      </c>
      <c r="AG505">
        <v>9</v>
      </c>
      <c r="AH505">
        <v>8</v>
      </c>
      <c r="AI505">
        <v>8</v>
      </c>
      <c r="AJ505" s="2">
        <f>IF(tblHR[[#This Row],[Attrition]]="Yes",1,0)</f>
        <v>0</v>
      </c>
      <c r="AK505" t="str">
        <f>IF(tblHR[[#This Row],[Age]]&lt;26,"18-25",IF(tblHR[[#This Row],[Age]]&lt;36,"26-35",IF(tblHR[[#This Row],[Age]]&lt;46,"36-45",IF(tblHR[[#This Row],[Age]]&lt;56,"46-55","56+"))))</f>
        <v>26-35</v>
      </c>
    </row>
    <row r="506" spans="1:37"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s="1">
        <v>4286</v>
      </c>
      <c r="T506">
        <v>5630</v>
      </c>
      <c r="U506">
        <v>2</v>
      </c>
      <c r="V506" t="s">
        <v>42</v>
      </c>
      <c r="W506" t="s">
        <v>43</v>
      </c>
      <c r="X506">
        <v>14</v>
      </c>
      <c r="Y506">
        <v>3</v>
      </c>
      <c r="Z506">
        <v>4</v>
      </c>
      <c r="AA506">
        <v>80</v>
      </c>
      <c r="AB506">
        <v>2</v>
      </c>
      <c r="AC506">
        <v>5</v>
      </c>
      <c r="AD506">
        <v>4</v>
      </c>
      <c r="AE506">
        <v>3</v>
      </c>
      <c r="AF506">
        <v>1</v>
      </c>
      <c r="AG506">
        <v>1</v>
      </c>
      <c r="AH506">
        <v>0</v>
      </c>
      <c r="AI506">
        <v>0</v>
      </c>
      <c r="AJ506" s="2">
        <f>IF(tblHR[[#This Row],[Attrition]]="Yes",1,0)</f>
        <v>1</v>
      </c>
      <c r="AK506" t="str">
        <f>IF(tblHR[[#This Row],[Age]]&lt;26,"18-25",IF(tblHR[[#This Row],[Age]]&lt;36,"26-35",IF(tblHR[[#This Row],[Age]]&lt;46,"36-45",IF(tblHR[[#This Row],[Age]]&lt;56,"46-55","56+"))))</f>
        <v>36-45</v>
      </c>
    </row>
    <row r="507" spans="1:37"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s="1">
        <v>2659</v>
      </c>
      <c r="T507">
        <v>17759</v>
      </c>
      <c r="U507">
        <v>1</v>
      </c>
      <c r="V507" t="s">
        <v>42</v>
      </c>
      <c r="W507" t="s">
        <v>35</v>
      </c>
      <c r="X507">
        <v>13</v>
      </c>
      <c r="Y507">
        <v>3</v>
      </c>
      <c r="Z507">
        <v>3</v>
      </c>
      <c r="AA507">
        <v>80</v>
      </c>
      <c r="AB507">
        <v>1</v>
      </c>
      <c r="AC507">
        <v>3</v>
      </c>
      <c r="AD507">
        <v>2</v>
      </c>
      <c r="AE507">
        <v>3</v>
      </c>
      <c r="AF507">
        <v>3</v>
      </c>
      <c r="AG507">
        <v>2</v>
      </c>
      <c r="AH507">
        <v>0</v>
      </c>
      <c r="AI507">
        <v>2</v>
      </c>
      <c r="AJ507" s="2">
        <f>IF(tblHR[[#This Row],[Attrition]]="Yes",1,0)</f>
        <v>0</v>
      </c>
      <c r="AK507" t="str">
        <f>IF(tblHR[[#This Row],[Age]]&lt;26,"18-25",IF(tblHR[[#This Row],[Age]]&lt;36,"26-35",IF(tblHR[[#This Row],[Age]]&lt;46,"36-45",IF(tblHR[[#This Row],[Age]]&lt;56,"46-55","56+"))))</f>
        <v>26-35</v>
      </c>
    </row>
    <row r="508" spans="1:37"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s="1">
        <v>9434</v>
      </c>
      <c r="T508">
        <v>9606</v>
      </c>
      <c r="U508">
        <v>1</v>
      </c>
      <c r="V508" t="s">
        <v>42</v>
      </c>
      <c r="W508" t="s">
        <v>43</v>
      </c>
      <c r="X508">
        <v>15</v>
      </c>
      <c r="Y508">
        <v>3</v>
      </c>
      <c r="Z508">
        <v>3</v>
      </c>
      <c r="AA508">
        <v>80</v>
      </c>
      <c r="AB508">
        <v>1</v>
      </c>
      <c r="AC508">
        <v>10</v>
      </c>
      <c r="AD508">
        <v>2</v>
      </c>
      <c r="AE508">
        <v>3</v>
      </c>
      <c r="AF508">
        <v>10</v>
      </c>
      <c r="AG508">
        <v>7</v>
      </c>
      <c r="AH508">
        <v>7</v>
      </c>
      <c r="AI508">
        <v>8</v>
      </c>
      <c r="AJ508" s="2">
        <f>IF(tblHR[[#This Row],[Attrition]]="Yes",1,0)</f>
        <v>0</v>
      </c>
      <c r="AK508" t="str">
        <f>IF(tblHR[[#This Row],[Age]]&lt;26,"18-25",IF(tblHR[[#This Row],[Age]]&lt;36,"26-35",IF(tblHR[[#This Row],[Age]]&lt;46,"36-45",IF(tblHR[[#This Row],[Age]]&lt;56,"46-55","56+"))))</f>
        <v>36-45</v>
      </c>
    </row>
    <row r="509" spans="1:37"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s="1">
        <v>5561</v>
      </c>
      <c r="T509">
        <v>3487</v>
      </c>
      <c r="U509">
        <v>1</v>
      </c>
      <c r="V509" t="s">
        <v>42</v>
      </c>
      <c r="W509" t="s">
        <v>43</v>
      </c>
      <c r="X509">
        <v>14</v>
      </c>
      <c r="Y509">
        <v>3</v>
      </c>
      <c r="Z509">
        <v>1</v>
      </c>
      <c r="AA509">
        <v>80</v>
      </c>
      <c r="AB509">
        <v>1</v>
      </c>
      <c r="AC509">
        <v>6</v>
      </c>
      <c r="AD509">
        <v>5</v>
      </c>
      <c r="AE509">
        <v>2</v>
      </c>
      <c r="AF509">
        <v>6</v>
      </c>
      <c r="AG509">
        <v>0</v>
      </c>
      <c r="AH509">
        <v>1</v>
      </c>
      <c r="AI509">
        <v>2</v>
      </c>
      <c r="AJ509" s="2">
        <f>IF(tblHR[[#This Row],[Attrition]]="Yes",1,0)</f>
        <v>0</v>
      </c>
      <c r="AK509" t="str">
        <f>IF(tblHR[[#This Row],[Age]]&lt;26,"18-25",IF(tblHR[[#This Row],[Age]]&lt;36,"26-35",IF(tblHR[[#This Row],[Age]]&lt;46,"36-45",IF(tblHR[[#This Row],[Age]]&lt;56,"46-55","56+"))))</f>
        <v>26-35</v>
      </c>
    </row>
    <row r="510" spans="1:37"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s="1">
        <v>6646</v>
      </c>
      <c r="T510">
        <v>19368</v>
      </c>
      <c r="U510">
        <v>1</v>
      </c>
      <c r="V510" t="s">
        <v>42</v>
      </c>
      <c r="W510" t="s">
        <v>43</v>
      </c>
      <c r="X510">
        <v>13</v>
      </c>
      <c r="Y510">
        <v>3</v>
      </c>
      <c r="Z510">
        <v>2</v>
      </c>
      <c r="AA510">
        <v>80</v>
      </c>
      <c r="AB510">
        <v>0</v>
      </c>
      <c r="AC510">
        <v>17</v>
      </c>
      <c r="AD510">
        <v>3</v>
      </c>
      <c r="AE510">
        <v>3</v>
      </c>
      <c r="AF510">
        <v>17</v>
      </c>
      <c r="AG510">
        <v>11</v>
      </c>
      <c r="AH510">
        <v>11</v>
      </c>
      <c r="AI510">
        <v>8</v>
      </c>
      <c r="AJ510" s="2">
        <f>IF(tblHR[[#This Row],[Attrition]]="Yes",1,0)</f>
        <v>0</v>
      </c>
      <c r="AK510" t="str">
        <f>IF(tblHR[[#This Row],[Age]]&lt;26,"18-25",IF(tblHR[[#This Row],[Age]]&lt;36,"26-35",IF(tblHR[[#This Row],[Age]]&lt;46,"36-45",IF(tblHR[[#This Row],[Age]]&lt;56,"46-55","56+"))))</f>
        <v>26-35</v>
      </c>
    </row>
    <row r="511" spans="1:37"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s="1">
        <v>7725</v>
      </c>
      <c r="T511">
        <v>5335</v>
      </c>
      <c r="U511">
        <v>3</v>
      </c>
      <c r="V511" t="s">
        <v>42</v>
      </c>
      <c r="W511" t="s">
        <v>43</v>
      </c>
      <c r="X511">
        <v>23</v>
      </c>
      <c r="Y511">
        <v>4</v>
      </c>
      <c r="Z511">
        <v>3</v>
      </c>
      <c r="AA511">
        <v>80</v>
      </c>
      <c r="AB511">
        <v>1</v>
      </c>
      <c r="AC511">
        <v>15</v>
      </c>
      <c r="AD511">
        <v>2</v>
      </c>
      <c r="AE511">
        <v>1</v>
      </c>
      <c r="AF511">
        <v>13</v>
      </c>
      <c r="AG511">
        <v>11</v>
      </c>
      <c r="AH511">
        <v>4</v>
      </c>
      <c r="AI511">
        <v>7</v>
      </c>
      <c r="AJ511" s="2">
        <f>IF(tblHR[[#This Row],[Attrition]]="Yes",1,0)</f>
        <v>0</v>
      </c>
      <c r="AK511" t="str">
        <f>IF(tblHR[[#This Row],[Age]]&lt;26,"18-25",IF(tblHR[[#This Row],[Age]]&lt;36,"26-35",IF(tblHR[[#This Row],[Age]]&lt;46,"36-45",IF(tblHR[[#This Row],[Age]]&lt;56,"46-55","56+"))))</f>
        <v>26-35</v>
      </c>
    </row>
    <row r="512" spans="1:37"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s="1">
        <v>10725</v>
      </c>
      <c r="T512">
        <v>6729</v>
      </c>
      <c r="U512">
        <v>2</v>
      </c>
      <c r="V512" t="s">
        <v>42</v>
      </c>
      <c r="W512" t="s">
        <v>43</v>
      </c>
      <c r="X512">
        <v>15</v>
      </c>
      <c r="Y512">
        <v>3</v>
      </c>
      <c r="Z512">
        <v>3</v>
      </c>
      <c r="AA512">
        <v>80</v>
      </c>
      <c r="AB512">
        <v>1</v>
      </c>
      <c r="AC512">
        <v>16</v>
      </c>
      <c r="AD512">
        <v>1</v>
      </c>
      <c r="AE512">
        <v>4</v>
      </c>
      <c r="AF512">
        <v>9</v>
      </c>
      <c r="AG512">
        <v>7</v>
      </c>
      <c r="AH512">
        <v>7</v>
      </c>
      <c r="AI512">
        <v>1</v>
      </c>
      <c r="AJ512" s="2">
        <f>IF(tblHR[[#This Row],[Attrition]]="Yes",1,0)</f>
        <v>0</v>
      </c>
      <c r="AK512" t="str">
        <f>IF(tblHR[[#This Row],[Age]]&lt;26,"18-25",IF(tblHR[[#This Row],[Age]]&lt;36,"26-35",IF(tblHR[[#This Row],[Age]]&lt;46,"36-45",IF(tblHR[[#This Row],[Age]]&lt;56,"46-55","56+"))))</f>
        <v>46-55</v>
      </c>
    </row>
    <row r="513" spans="1:37"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s="1">
        <v>8847</v>
      </c>
      <c r="T513">
        <v>13934</v>
      </c>
      <c r="U513">
        <v>2</v>
      </c>
      <c r="V513" t="s">
        <v>42</v>
      </c>
      <c r="W513" t="s">
        <v>35</v>
      </c>
      <c r="X513">
        <v>11</v>
      </c>
      <c r="Y513">
        <v>3</v>
      </c>
      <c r="Z513">
        <v>3</v>
      </c>
      <c r="AA513">
        <v>80</v>
      </c>
      <c r="AB513">
        <v>1</v>
      </c>
      <c r="AC513">
        <v>13</v>
      </c>
      <c r="AD513">
        <v>2</v>
      </c>
      <c r="AE513">
        <v>3</v>
      </c>
      <c r="AF513">
        <v>3</v>
      </c>
      <c r="AG513">
        <v>2</v>
      </c>
      <c r="AH513">
        <v>0</v>
      </c>
      <c r="AI513">
        <v>2</v>
      </c>
      <c r="AJ513" s="2">
        <f>IF(tblHR[[#This Row],[Attrition]]="Yes",1,0)</f>
        <v>0</v>
      </c>
      <c r="AK513" t="str">
        <f>IF(tblHR[[#This Row],[Age]]&lt;26,"18-25",IF(tblHR[[#This Row],[Age]]&lt;36,"26-35",IF(tblHR[[#This Row],[Age]]&lt;46,"36-45",IF(tblHR[[#This Row],[Age]]&lt;56,"46-55","56+"))))</f>
        <v>36-45</v>
      </c>
    </row>
    <row r="514" spans="1:37"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s="1">
        <v>2045</v>
      </c>
      <c r="T514">
        <v>15174</v>
      </c>
      <c r="U514">
        <v>0</v>
      </c>
      <c r="V514" t="s">
        <v>42</v>
      </c>
      <c r="W514" t="s">
        <v>43</v>
      </c>
      <c r="X514">
        <v>13</v>
      </c>
      <c r="Y514">
        <v>3</v>
      </c>
      <c r="Z514">
        <v>4</v>
      </c>
      <c r="AA514">
        <v>80</v>
      </c>
      <c r="AB514">
        <v>0</v>
      </c>
      <c r="AC514">
        <v>5</v>
      </c>
      <c r="AD514">
        <v>0</v>
      </c>
      <c r="AE514">
        <v>3</v>
      </c>
      <c r="AF514">
        <v>4</v>
      </c>
      <c r="AG514">
        <v>2</v>
      </c>
      <c r="AH514">
        <v>1</v>
      </c>
      <c r="AI514">
        <v>1</v>
      </c>
      <c r="AJ514" s="2">
        <f>IF(tblHR[[#This Row],[Attrition]]="Yes",1,0)</f>
        <v>0</v>
      </c>
      <c r="AK514" t="str">
        <f>IF(tblHR[[#This Row],[Age]]&lt;26,"18-25",IF(tblHR[[#This Row],[Age]]&lt;36,"26-35",IF(tblHR[[#This Row],[Age]]&lt;46,"36-45",IF(tblHR[[#This Row],[Age]]&lt;56,"46-55","56+"))))</f>
        <v>26-35</v>
      </c>
    </row>
    <row r="515" spans="1:37"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s="1">
        <v>1009</v>
      </c>
      <c r="T515">
        <v>26999</v>
      </c>
      <c r="U515">
        <v>1</v>
      </c>
      <c r="V515" t="s">
        <v>42</v>
      </c>
      <c r="W515" t="s">
        <v>35</v>
      </c>
      <c r="X515">
        <v>11</v>
      </c>
      <c r="Y515">
        <v>3</v>
      </c>
      <c r="Z515">
        <v>4</v>
      </c>
      <c r="AA515">
        <v>80</v>
      </c>
      <c r="AB515">
        <v>0</v>
      </c>
      <c r="AC515">
        <v>1</v>
      </c>
      <c r="AD515">
        <v>5</v>
      </c>
      <c r="AE515">
        <v>3</v>
      </c>
      <c r="AF515">
        <v>1</v>
      </c>
      <c r="AG515">
        <v>0</v>
      </c>
      <c r="AH515">
        <v>1</v>
      </c>
      <c r="AI515">
        <v>1</v>
      </c>
      <c r="AJ515" s="2">
        <f>IF(tblHR[[#This Row],[Attrition]]="Yes",1,0)</f>
        <v>1</v>
      </c>
      <c r="AK515" t="str">
        <f>IF(tblHR[[#This Row],[Age]]&lt;26,"18-25",IF(tblHR[[#This Row],[Age]]&lt;36,"26-35",IF(tblHR[[#This Row],[Age]]&lt;46,"36-45",IF(tblHR[[#This Row],[Age]]&lt;56,"46-55","56+"))))</f>
        <v>18-25</v>
      </c>
    </row>
    <row r="516" spans="1:37"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s="1">
        <v>3348</v>
      </c>
      <c r="T516">
        <v>3164</v>
      </c>
      <c r="U516">
        <v>1</v>
      </c>
      <c r="V516" t="s">
        <v>42</v>
      </c>
      <c r="W516" t="s">
        <v>35</v>
      </c>
      <c r="X516">
        <v>11</v>
      </c>
      <c r="Y516">
        <v>3</v>
      </c>
      <c r="Z516">
        <v>1</v>
      </c>
      <c r="AA516">
        <v>80</v>
      </c>
      <c r="AB516">
        <v>0</v>
      </c>
      <c r="AC516">
        <v>10</v>
      </c>
      <c r="AD516">
        <v>3</v>
      </c>
      <c r="AE516">
        <v>3</v>
      </c>
      <c r="AF516">
        <v>10</v>
      </c>
      <c r="AG516">
        <v>8</v>
      </c>
      <c r="AH516">
        <v>9</v>
      </c>
      <c r="AI516">
        <v>7</v>
      </c>
      <c r="AJ516" s="2">
        <f>IF(tblHR[[#This Row],[Attrition]]="Yes",1,0)</f>
        <v>1</v>
      </c>
      <c r="AK516" t="str">
        <f>IF(tblHR[[#This Row],[Age]]&lt;26,"18-25",IF(tblHR[[#This Row],[Age]]&lt;36,"26-35",IF(tblHR[[#This Row],[Age]]&lt;46,"36-45",IF(tblHR[[#This Row],[Age]]&lt;56,"46-55","56+"))))</f>
        <v>26-35</v>
      </c>
    </row>
    <row r="517" spans="1:37"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s="1">
        <v>1281</v>
      </c>
      <c r="T517">
        <v>16900</v>
      </c>
      <c r="U517">
        <v>1</v>
      </c>
      <c r="V517" t="s">
        <v>42</v>
      </c>
      <c r="W517" t="s">
        <v>43</v>
      </c>
      <c r="X517">
        <v>18</v>
      </c>
      <c r="Y517">
        <v>3</v>
      </c>
      <c r="Z517">
        <v>3</v>
      </c>
      <c r="AA517">
        <v>80</v>
      </c>
      <c r="AB517">
        <v>2</v>
      </c>
      <c r="AC517">
        <v>1</v>
      </c>
      <c r="AD517">
        <v>3</v>
      </c>
      <c r="AE517">
        <v>3</v>
      </c>
      <c r="AF517">
        <v>1</v>
      </c>
      <c r="AG517">
        <v>0</v>
      </c>
      <c r="AH517">
        <v>0</v>
      </c>
      <c r="AI517">
        <v>0</v>
      </c>
      <c r="AJ517" s="2">
        <f>IF(tblHR[[#This Row],[Attrition]]="Yes",1,0)</f>
        <v>0</v>
      </c>
      <c r="AK517" t="str">
        <f>IF(tblHR[[#This Row],[Age]]&lt;26,"18-25",IF(tblHR[[#This Row],[Age]]&lt;36,"26-35",IF(tblHR[[#This Row],[Age]]&lt;46,"36-45",IF(tblHR[[#This Row],[Age]]&lt;56,"46-55","56+"))))</f>
        <v>26-35</v>
      </c>
    </row>
    <row r="518" spans="1:37"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s="1">
        <v>2819</v>
      </c>
      <c r="T518">
        <v>8544</v>
      </c>
      <c r="U518">
        <v>2</v>
      </c>
      <c r="V518" t="s">
        <v>42</v>
      </c>
      <c r="W518" t="s">
        <v>43</v>
      </c>
      <c r="X518">
        <v>16</v>
      </c>
      <c r="Y518">
        <v>3</v>
      </c>
      <c r="Z518">
        <v>1</v>
      </c>
      <c r="AA518">
        <v>80</v>
      </c>
      <c r="AB518">
        <v>1</v>
      </c>
      <c r="AC518">
        <v>5</v>
      </c>
      <c r="AD518">
        <v>3</v>
      </c>
      <c r="AE518">
        <v>4</v>
      </c>
      <c r="AF518">
        <v>3</v>
      </c>
      <c r="AG518">
        <v>2</v>
      </c>
      <c r="AH518">
        <v>0</v>
      </c>
      <c r="AI518">
        <v>2</v>
      </c>
      <c r="AJ518" s="2">
        <f>IF(tblHR[[#This Row],[Attrition]]="Yes",1,0)</f>
        <v>0</v>
      </c>
      <c r="AK518" t="str">
        <f>IF(tblHR[[#This Row],[Age]]&lt;26,"18-25",IF(tblHR[[#This Row],[Age]]&lt;36,"26-35",IF(tblHR[[#This Row],[Age]]&lt;46,"36-45",IF(tblHR[[#This Row],[Age]]&lt;56,"46-55","56+"))))</f>
        <v>18-25</v>
      </c>
    </row>
    <row r="519" spans="1:37"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s="1">
        <v>4851</v>
      </c>
      <c r="T519">
        <v>15678</v>
      </c>
      <c r="U519">
        <v>0</v>
      </c>
      <c r="V519" t="s">
        <v>42</v>
      </c>
      <c r="W519" t="s">
        <v>43</v>
      </c>
      <c r="X519">
        <v>22</v>
      </c>
      <c r="Y519">
        <v>4</v>
      </c>
      <c r="Z519">
        <v>3</v>
      </c>
      <c r="AA519">
        <v>80</v>
      </c>
      <c r="AB519">
        <v>1</v>
      </c>
      <c r="AC519">
        <v>4</v>
      </c>
      <c r="AD519">
        <v>4</v>
      </c>
      <c r="AE519">
        <v>3</v>
      </c>
      <c r="AF519">
        <v>3</v>
      </c>
      <c r="AG519">
        <v>2</v>
      </c>
      <c r="AH519">
        <v>1</v>
      </c>
      <c r="AI519">
        <v>2</v>
      </c>
      <c r="AJ519" s="2">
        <f>IF(tblHR[[#This Row],[Attrition]]="Yes",1,0)</f>
        <v>0</v>
      </c>
      <c r="AK519" t="str">
        <f>IF(tblHR[[#This Row],[Age]]&lt;26,"18-25",IF(tblHR[[#This Row],[Age]]&lt;36,"26-35",IF(tblHR[[#This Row],[Age]]&lt;46,"36-45",IF(tblHR[[#This Row],[Age]]&lt;56,"46-55","56+"))))</f>
        <v>18-25</v>
      </c>
    </row>
    <row r="520" spans="1:37"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s="1">
        <v>4028</v>
      </c>
      <c r="T520">
        <v>7791</v>
      </c>
      <c r="U520">
        <v>0</v>
      </c>
      <c r="V520" t="s">
        <v>42</v>
      </c>
      <c r="W520" t="s">
        <v>43</v>
      </c>
      <c r="X520">
        <v>20</v>
      </c>
      <c r="Y520">
        <v>4</v>
      </c>
      <c r="Z520">
        <v>1</v>
      </c>
      <c r="AA520">
        <v>80</v>
      </c>
      <c r="AB520">
        <v>0</v>
      </c>
      <c r="AC520">
        <v>8</v>
      </c>
      <c r="AD520">
        <v>2</v>
      </c>
      <c r="AE520">
        <v>3</v>
      </c>
      <c r="AF520">
        <v>7</v>
      </c>
      <c r="AG520">
        <v>7</v>
      </c>
      <c r="AH520">
        <v>0</v>
      </c>
      <c r="AI520">
        <v>5</v>
      </c>
      <c r="AJ520" s="2">
        <f>IF(tblHR[[#This Row],[Attrition]]="Yes",1,0)</f>
        <v>0</v>
      </c>
      <c r="AK520" t="str">
        <f>IF(tblHR[[#This Row],[Age]]&lt;26,"18-25",IF(tblHR[[#This Row],[Age]]&lt;36,"26-35",IF(tblHR[[#This Row],[Age]]&lt;46,"36-45",IF(tblHR[[#This Row],[Age]]&lt;56,"46-55","56+"))))</f>
        <v>36-45</v>
      </c>
    </row>
    <row r="521" spans="1:37"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s="1">
        <v>2720</v>
      </c>
      <c r="T521">
        <v>18959</v>
      </c>
      <c r="U521">
        <v>1</v>
      </c>
      <c r="V521" t="s">
        <v>42</v>
      </c>
      <c r="W521" t="s">
        <v>43</v>
      </c>
      <c r="X521">
        <v>18</v>
      </c>
      <c r="Y521">
        <v>3</v>
      </c>
      <c r="Z521">
        <v>4</v>
      </c>
      <c r="AA521">
        <v>80</v>
      </c>
      <c r="AB521">
        <v>1</v>
      </c>
      <c r="AC521">
        <v>10</v>
      </c>
      <c r="AD521">
        <v>5</v>
      </c>
      <c r="AE521">
        <v>3</v>
      </c>
      <c r="AF521">
        <v>10</v>
      </c>
      <c r="AG521">
        <v>7</v>
      </c>
      <c r="AH521">
        <v>2</v>
      </c>
      <c r="AI521">
        <v>8</v>
      </c>
      <c r="AJ521" s="2">
        <f>IF(tblHR[[#This Row],[Attrition]]="Yes",1,0)</f>
        <v>0</v>
      </c>
      <c r="AK521" t="str">
        <f>IF(tblHR[[#This Row],[Age]]&lt;26,"18-25",IF(tblHR[[#This Row],[Age]]&lt;36,"26-35",IF(tblHR[[#This Row],[Age]]&lt;46,"36-45",IF(tblHR[[#This Row],[Age]]&lt;56,"46-55","56+"))))</f>
        <v>26-35</v>
      </c>
    </row>
    <row r="522" spans="1:37"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s="1">
        <v>8120</v>
      </c>
      <c r="T522">
        <v>18597</v>
      </c>
      <c r="U522">
        <v>3</v>
      </c>
      <c r="V522" t="s">
        <v>42</v>
      </c>
      <c r="W522" t="s">
        <v>43</v>
      </c>
      <c r="X522">
        <v>12</v>
      </c>
      <c r="Y522">
        <v>3</v>
      </c>
      <c r="Z522">
        <v>4</v>
      </c>
      <c r="AA522">
        <v>80</v>
      </c>
      <c r="AB522">
        <v>0</v>
      </c>
      <c r="AC522">
        <v>12</v>
      </c>
      <c r="AD522">
        <v>3</v>
      </c>
      <c r="AE522">
        <v>3</v>
      </c>
      <c r="AF522">
        <v>2</v>
      </c>
      <c r="AG522">
        <v>2</v>
      </c>
      <c r="AH522">
        <v>2</v>
      </c>
      <c r="AI522">
        <v>2</v>
      </c>
      <c r="AJ522" s="2">
        <f>IF(tblHR[[#This Row],[Attrition]]="Yes",1,0)</f>
        <v>0</v>
      </c>
      <c r="AK522" t="str">
        <f>IF(tblHR[[#This Row],[Age]]&lt;26,"18-25",IF(tblHR[[#This Row],[Age]]&lt;36,"26-35",IF(tblHR[[#This Row],[Age]]&lt;46,"36-45",IF(tblHR[[#This Row],[Age]]&lt;56,"46-55","56+"))))</f>
        <v>46-55</v>
      </c>
    </row>
    <row r="523" spans="1:37"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s="1">
        <v>4647</v>
      </c>
      <c r="T523">
        <v>16673</v>
      </c>
      <c r="U523">
        <v>1</v>
      </c>
      <c r="V523" t="s">
        <v>42</v>
      </c>
      <c r="W523" t="s">
        <v>35</v>
      </c>
      <c r="X523">
        <v>20</v>
      </c>
      <c r="Y523">
        <v>4</v>
      </c>
      <c r="Z523">
        <v>2</v>
      </c>
      <c r="AA523">
        <v>80</v>
      </c>
      <c r="AB523">
        <v>2</v>
      </c>
      <c r="AC523">
        <v>6</v>
      </c>
      <c r="AD523">
        <v>3</v>
      </c>
      <c r="AE523">
        <v>3</v>
      </c>
      <c r="AF523">
        <v>6</v>
      </c>
      <c r="AG523">
        <v>5</v>
      </c>
      <c r="AH523">
        <v>0</v>
      </c>
      <c r="AI523">
        <v>4</v>
      </c>
      <c r="AJ523" s="2">
        <f>IF(tblHR[[#This Row],[Attrition]]="Yes",1,0)</f>
        <v>0</v>
      </c>
      <c r="AK523" t="str">
        <f>IF(tblHR[[#This Row],[Age]]&lt;26,"18-25",IF(tblHR[[#This Row],[Age]]&lt;36,"26-35",IF(tblHR[[#This Row],[Age]]&lt;46,"36-45",IF(tblHR[[#This Row],[Age]]&lt;56,"46-55","56+"))))</f>
        <v>26-35</v>
      </c>
    </row>
    <row r="524" spans="1:37"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s="1">
        <v>4680</v>
      </c>
      <c r="T524">
        <v>15232</v>
      </c>
      <c r="U524">
        <v>3</v>
      </c>
      <c r="V524" t="s">
        <v>42</v>
      </c>
      <c r="W524" t="s">
        <v>43</v>
      </c>
      <c r="X524">
        <v>17</v>
      </c>
      <c r="Y524">
        <v>3</v>
      </c>
      <c r="Z524">
        <v>1</v>
      </c>
      <c r="AA524">
        <v>80</v>
      </c>
      <c r="AB524">
        <v>0</v>
      </c>
      <c r="AC524">
        <v>4</v>
      </c>
      <c r="AD524">
        <v>2</v>
      </c>
      <c r="AE524">
        <v>3</v>
      </c>
      <c r="AF524">
        <v>1</v>
      </c>
      <c r="AG524">
        <v>0</v>
      </c>
      <c r="AH524">
        <v>0</v>
      </c>
      <c r="AI524">
        <v>0</v>
      </c>
      <c r="AJ524" s="2">
        <f>IF(tblHR[[#This Row],[Attrition]]="Yes",1,0)</f>
        <v>0</v>
      </c>
      <c r="AK524" t="str">
        <f>IF(tblHR[[#This Row],[Age]]&lt;26,"18-25",IF(tblHR[[#This Row],[Age]]&lt;36,"26-35",IF(tblHR[[#This Row],[Age]]&lt;46,"36-45",IF(tblHR[[#This Row],[Age]]&lt;56,"46-55","56+"))))</f>
        <v>36-45</v>
      </c>
    </row>
    <row r="525" spans="1:37"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s="1">
        <v>3221</v>
      </c>
      <c r="T525">
        <v>3297</v>
      </c>
      <c r="U525">
        <v>1</v>
      </c>
      <c r="V525" t="s">
        <v>42</v>
      </c>
      <c r="W525" t="s">
        <v>35</v>
      </c>
      <c r="X525">
        <v>11</v>
      </c>
      <c r="Y525">
        <v>3</v>
      </c>
      <c r="Z525">
        <v>3</v>
      </c>
      <c r="AA525">
        <v>80</v>
      </c>
      <c r="AB525">
        <v>3</v>
      </c>
      <c r="AC525">
        <v>20</v>
      </c>
      <c r="AD525">
        <v>3</v>
      </c>
      <c r="AE525">
        <v>3</v>
      </c>
      <c r="AF525">
        <v>20</v>
      </c>
      <c r="AG525">
        <v>8</v>
      </c>
      <c r="AH525">
        <v>3</v>
      </c>
      <c r="AI525">
        <v>8</v>
      </c>
      <c r="AJ525" s="2">
        <f>IF(tblHR[[#This Row],[Attrition]]="Yes",1,0)</f>
        <v>0</v>
      </c>
      <c r="AK525" t="str">
        <f>IF(tblHR[[#This Row],[Age]]&lt;26,"18-25",IF(tblHR[[#This Row],[Age]]&lt;36,"26-35",IF(tblHR[[#This Row],[Age]]&lt;46,"36-45",IF(tblHR[[#This Row],[Age]]&lt;56,"46-55","56+"))))</f>
        <v>46-55</v>
      </c>
    </row>
    <row r="526" spans="1:37"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s="1">
        <v>8621</v>
      </c>
      <c r="T526">
        <v>17654</v>
      </c>
      <c r="U526">
        <v>1</v>
      </c>
      <c r="V526" t="s">
        <v>42</v>
      </c>
      <c r="W526" t="s">
        <v>43</v>
      </c>
      <c r="X526">
        <v>14</v>
      </c>
      <c r="Y526">
        <v>3</v>
      </c>
      <c r="Z526">
        <v>2</v>
      </c>
      <c r="AA526">
        <v>80</v>
      </c>
      <c r="AB526">
        <v>0</v>
      </c>
      <c r="AC526">
        <v>9</v>
      </c>
      <c r="AD526">
        <v>3</v>
      </c>
      <c r="AE526">
        <v>4</v>
      </c>
      <c r="AF526">
        <v>8</v>
      </c>
      <c r="AG526">
        <v>7</v>
      </c>
      <c r="AH526">
        <v>7</v>
      </c>
      <c r="AI526">
        <v>7</v>
      </c>
      <c r="AJ526" s="2">
        <f>IF(tblHR[[#This Row],[Attrition]]="Yes",1,0)</f>
        <v>0</v>
      </c>
      <c r="AK526" t="str">
        <f>IF(tblHR[[#This Row],[Age]]&lt;26,"18-25",IF(tblHR[[#This Row],[Age]]&lt;36,"26-35",IF(tblHR[[#This Row],[Age]]&lt;46,"36-45",IF(tblHR[[#This Row],[Age]]&lt;56,"46-55","56+"))))</f>
        <v>26-35</v>
      </c>
    </row>
    <row r="527" spans="1:37"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s="1">
        <v>4577</v>
      </c>
      <c r="T527">
        <v>24785</v>
      </c>
      <c r="U527">
        <v>9</v>
      </c>
      <c r="V527" t="s">
        <v>42</v>
      </c>
      <c r="W527" t="s">
        <v>43</v>
      </c>
      <c r="X527">
        <v>14</v>
      </c>
      <c r="Y527">
        <v>3</v>
      </c>
      <c r="Z527">
        <v>1</v>
      </c>
      <c r="AA527">
        <v>80</v>
      </c>
      <c r="AB527">
        <v>0</v>
      </c>
      <c r="AC527">
        <v>4</v>
      </c>
      <c r="AD527">
        <v>3</v>
      </c>
      <c r="AE527">
        <v>3</v>
      </c>
      <c r="AF527">
        <v>2</v>
      </c>
      <c r="AG527">
        <v>2</v>
      </c>
      <c r="AH527">
        <v>2</v>
      </c>
      <c r="AI527">
        <v>0</v>
      </c>
      <c r="AJ527" s="2">
        <f>IF(tblHR[[#This Row],[Attrition]]="Yes",1,0)</f>
        <v>1</v>
      </c>
      <c r="AK527" t="str">
        <f>IF(tblHR[[#This Row],[Age]]&lt;26,"18-25",IF(tblHR[[#This Row],[Age]]&lt;36,"26-35",IF(tblHR[[#This Row],[Age]]&lt;46,"36-45",IF(tblHR[[#This Row],[Age]]&lt;56,"46-55","56+"))))</f>
        <v>18-25</v>
      </c>
    </row>
    <row r="528" spans="1:37"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s="1">
        <v>4553</v>
      </c>
      <c r="T528">
        <v>20978</v>
      </c>
      <c r="U528">
        <v>1</v>
      </c>
      <c r="V528" t="s">
        <v>42</v>
      </c>
      <c r="W528" t="s">
        <v>43</v>
      </c>
      <c r="X528">
        <v>11</v>
      </c>
      <c r="Y528">
        <v>3</v>
      </c>
      <c r="Z528">
        <v>1</v>
      </c>
      <c r="AA528">
        <v>80</v>
      </c>
      <c r="AB528">
        <v>0</v>
      </c>
      <c r="AC528">
        <v>20</v>
      </c>
      <c r="AD528">
        <v>4</v>
      </c>
      <c r="AE528">
        <v>3</v>
      </c>
      <c r="AF528">
        <v>20</v>
      </c>
      <c r="AG528">
        <v>7</v>
      </c>
      <c r="AH528">
        <v>11</v>
      </c>
      <c r="AI528">
        <v>10</v>
      </c>
      <c r="AJ528" s="2">
        <f>IF(tblHR[[#This Row],[Attrition]]="Yes",1,0)</f>
        <v>0</v>
      </c>
      <c r="AK528" t="str">
        <f>IF(tblHR[[#This Row],[Age]]&lt;26,"18-25",IF(tblHR[[#This Row],[Age]]&lt;36,"26-35",IF(tblHR[[#This Row],[Age]]&lt;46,"36-45",IF(tblHR[[#This Row],[Age]]&lt;56,"46-55","56+"))))</f>
        <v>36-45</v>
      </c>
    </row>
    <row r="529" spans="1:37"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s="1">
        <v>5396</v>
      </c>
      <c r="T529">
        <v>21703</v>
      </c>
      <c r="U529">
        <v>1</v>
      </c>
      <c r="V529" t="s">
        <v>42</v>
      </c>
      <c r="W529" t="s">
        <v>43</v>
      </c>
      <c r="X529">
        <v>12</v>
      </c>
      <c r="Y529">
        <v>3</v>
      </c>
      <c r="Z529">
        <v>4</v>
      </c>
      <c r="AA529">
        <v>80</v>
      </c>
      <c r="AB529">
        <v>0</v>
      </c>
      <c r="AC529">
        <v>10</v>
      </c>
      <c r="AD529">
        <v>2</v>
      </c>
      <c r="AE529">
        <v>2</v>
      </c>
      <c r="AF529">
        <v>10</v>
      </c>
      <c r="AG529">
        <v>7</v>
      </c>
      <c r="AH529">
        <v>0</v>
      </c>
      <c r="AI529">
        <v>8</v>
      </c>
      <c r="AJ529" s="2">
        <f>IF(tblHR[[#This Row],[Attrition]]="Yes",1,0)</f>
        <v>0</v>
      </c>
      <c r="AK529" t="str">
        <f>IF(tblHR[[#This Row],[Age]]&lt;26,"18-25",IF(tblHR[[#This Row],[Age]]&lt;36,"26-35",IF(tblHR[[#This Row],[Age]]&lt;46,"36-45",IF(tblHR[[#This Row],[Age]]&lt;56,"46-55","56+"))))</f>
        <v>26-35</v>
      </c>
    </row>
    <row r="530" spans="1:37"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s="1">
        <v>6796</v>
      </c>
      <c r="T530">
        <v>23452</v>
      </c>
      <c r="U530">
        <v>3</v>
      </c>
      <c r="V530" t="s">
        <v>42</v>
      </c>
      <c r="W530" t="s">
        <v>35</v>
      </c>
      <c r="X530">
        <v>14</v>
      </c>
      <c r="Y530">
        <v>3</v>
      </c>
      <c r="Z530">
        <v>1</v>
      </c>
      <c r="AA530">
        <v>80</v>
      </c>
      <c r="AB530">
        <v>1</v>
      </c>
      <c r="AC530">
        <v>18</v>
      </c>
      <c r="AD530">
        <v>4</v>
      </c>
      <c r="AE530">
        <v>3</v>
      </c>
      <c r="AF530">
        <v>4</v>
      </c>
      <c r="AG530">
        <v>3</v>
      </c>
      <c r="AH530">
        <v>1</v>
      </c>
      <c r="AI530">
        <v>3</v>
      </c>
      <c r="AJ530" s="2">
        <f>IF(tblHR[[#This Row],[Attrition]]="Yes",1,0)</f>
        <v>1</v>
      </c>
      <c r="AK530" t="str">
        <f>IF(tblHR[[#This Row],[Age]]&lt;26,"18-25",IF(tblHR[[#This Row],[Age]]&lt;36,"26-35",IF(tblHR[[#This Row],[Age]]&lt;46,"36-45",IF(tblHR[[#This Row],[Age]]&lt;56,"46-55","56+"))))</f>
        <v>46-55</v>
      </c>
    </row>
    <row r="531" spans="1:37"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s="1">
        <v>7625</v>
      </c>
      <c r="T531">
        <v>19383</v>
      </c>
      <c r="U531">
        <v>0</v>
      </c>
      <c r="V531" t="s">
        <v>42</v>
      </c>
      <c r="W531" t="s">
        <v>43</v>
      </c>
      <c r="X531">
        <v>13</v>
      </c>
      <c r="Y531">
        <v>3</v>
      </c>
      <c r="Z531">
        <v>3</v>
      </c>
      <c r="AA531">
        <v>80</v>
      </c>
      <c r="AB531">
        <v>0</v>
      </c>
      <c r="AC531">
        <v>10</v>
      </c>
      <c r="AD531">
        <v>4</v>
      </c>
      <c r="AE531">
        <v>2</v>
      </c>
      <c r="AF531">
        <v>9</v>
      </c>
      <c r="AG531">
        <v>7</v>
      </c>
      <c r="AH531">
        <v>1</v>
      </c>
      <c r="AI531">
        <v>8</v>
      </c>
      <c r="AJ531" s="2">
        <f>IF(tblHR[[#This Row],[Attrition]]="Yes",1,0)</f>
        <v>0</v>
      </c>
      <c r="AK531" t="str">
        <f>IF(tblHR[[#This Row],[Age]]&lt;26,"18-25",IF(tblHR[[#This Row],[Age]]&lt;36,"26-35",IF(tblHR[[#This Row],[Age]]&lt;46,"36-45",IF(tblHR[[#This Row],[Age]]&lt;56,"46-55","56+"))))</f>
        <v>36-45</v>
      </c>
    </row>
    <row r="532" spans="1:37"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s="1">
        <v>7412</v>
      </c>
      <c r="T532">
        <v>6009</v>
      </c>
      <c r="U532">
        <v>1</v>
      </c>
      <c r="V532" t="s">
        <v>42</v>
      </c>
      <c r="W532" t="s">
        <v>43</v>
      </c>
      <c r="X532">
        <v>11</v>
      </c>
      <c r="Y532">
        <v>3</v>
      </c>
      <c r="Z532">
        <v>4</v>
      </c>
      <c r="AA532">
        <v>80</v>
      </c>
      <c r="AB532">
        <v>0</v>
      </c>
      <c r="AC532">
        <v>9</v>
      </c>
      <c r="AD532">
        <v>3</v>
      </c>
      <c r="AE532">
        <v>3</v>
      </c>
      <c r="AF532">
        <v>9</v>
      </c>
      <c r="AG532">
        <v>7</v>
      </c>
      <c r="AH532">
        <v>0</v>
      </c>
      <c r="AI532">
        <v>7</v>
      </c>
      <c r="AJ532" s="2">
        <f>IF(tblHR[[#This Row],[Attrition]]="Yes",1,0)</f>
        <v>0</v>
      </c>
      <c r="AK532" t="str">
        <f>IF(tblHR[[#This Row],[Age]]&lt;26,"18-25",IF(tblHR[[#This Row],[Age]]&lt;36,"26-35",IF(tblHR[[#This Row],[Age]]&lt;46,"36-45",IF(tblHR[[#This Row],[Age]]&lt;56,"46-55","56+"))))</f>
        <v>26-35</v>
      </c>
    </row>
    <row r="533" spans="1:37"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s="1">
        <v>11159</v>
      </c>
      <c r="T533">
        <v>19373</v>
      </c>
      <c r="U533">
        <v>3</v>
      </c>
      <c r="V533" t="s">
        <v>42</v>
      </c>
      <c r="W533" t="s">
        <v>43</v>
      </c>
      <c r="X533">
        <v>15</v>
      </c>
      <c r="Y533">
        <v>3</v>
      </c>
      <c r="Z533">
        <v>4</v>
      </c>
      <c r="AA533">
        <v>80</v>
      </c>
      <c r="AB533">
        <v>0</v>
      </c>
      <c r="AC533">
        <v>10</v>
      </c>
      <c r="AD533">
        <v>6</v>
      </c>
      <c r="AE533">
        <v>3</v>
      </c>
      <c r="AF533">
        <v>7</v>
      </c>
      <c r="AG533">
        <v>7</v>
      </c>
      <c r="AH533">
        <v>7</v>
      </c>
      <c r="AI533">
        <v>7</v>
      </c>
      <c r="AJ533" s="2">
        <f>IF(tblHR[[#This Row],[Attrition]]="Yes",1,0)</f>
        <v>0</v>
      </c>
      <c r="AK533" t="str">
        <f>IF(tblHR[[#This Row],[Age]]&lt;26,"18-25",IF(tblHR[[#This Row],[Age]]&lt;36,"26-35",IF(tblHR[[#This Row],[Age]]&lt;46,"36-45",IF(tblHR[[#This Row],[Age]]&lt;56,"46-55","56+"))))</f>
        <v>26-35</v>
      </c>
    </row>
    <row r="534" spans="1:37"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s="1">
        <v>4960</v>
      </c>
      <c r="T534">
        <v>11825</v>
      </c>
      <c r="U534">
        <v>2</v>
      </c>
      <c r="V534" t="s">
        <v>42</v>
      </c>
      <c r="W534" t="s">
        <v>43</v>
      </c>
      <c r="X534">
        <v>12</v>
      </c>
      <c r="Y534">
        <v>3</v>
      </c>
      <c r="Z534">
        <v>4</v>
      </c>
      <c r="AA534">
        <v>80</v>
      </c>
      <c r="AB534">
        <v>0</v>
      </c>
      <c r="AC534">
        <v>20</v>
      </c>
      <c r="AD534">
        <v>2</v>
      </c>
      <c r="AE534">
        <v>3</v>
      </c>
      <c r="AF534">
        <v>7</v>
      </c>
      <c r="AG534">
        <v>7</v>
      </c>
      <c r="AH534">
        <v>1</v>
      </c>
      <c r="AI534">
        <v>7</v>
      </c>
      <c r="AJ534" s="2">
        <f>IF(tblHR[[#This Row],[Attrition]]="Yes",1,0)</f>
        <v>0</v>
      </c>
      <c r="AK534" t="str">
        <f>IF(tblHR[[#This Row],[Age]]&lt;26,"18-25",IF(tblHR[[#This Row],[Age]]&lt;36,"26-35",IF(tblHR[[#This Row],[Age]]&lt;46,"36-45",IF(tblHR[[#This Row],[Age]]&lt;56,"46-55","56+"))))</f>
        <v>46-55</v>
      </c>
    </row>
    <row r="535" spans="1:37"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s="1">
        <v>10475</v>
      </c>
      <c r="T535">
        <v>23772</v>
      </c>
      <c r="U535">
        <v>5</v>
      </c>
      <c r="V535" t="s">
        <v>42</v>
      </c>
      <c r="W535" t="s">
        <v>35</v>
      </c>
      <c r="X535">
        <v>21</v>
      </c>
      <c r="Y535">
        <v>4</v>
      </c>
      <c r="Z535">
        <v>3</v>
      </c>
      <c r="AA535">
        <v>80</v>
      </c>
      <c r="AB535">
        <v>1</v>
      </c>
      <c r="AC535">
        <v>20</v>
      </c>
      <c r="AD535">
        <v>2</v>
      </c>
      <c r="AE535">
        <v>3</v>
      </c>
      <c r="AF535">
        <v>18</v>
      </c>
      <c r="AG535">
        <v>13</v>
      </c>
      <c r="AH535">
        <v>1</v>
      </c>
      <c r="AI535">
        <v>12</v>
      </c>
      <c r="AJ535" s="2">
        <f>IF(tblHR[[#This Row],[Attrition]]="Yes",1,0)</f>
        <v>0</v>
      </c>
      <c r="AK535" t="str">
        <f>IF(tblHR[[#This Row],[Age]]&lt;26,"18-25",IF(tblHR[[#This Row],[Age]]&lt;36,"26-35",IF(tblHR[[#This Row],[Age]]&lt;46,"36-45",IF(tblHR[[#This Row],[Age]]&lt;56,"46-55","56+"))))</f>
        <v>36-45</v>
      </c>
    </row>
    <row r="536" spans="1:37"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s="1">
        <v>14814</v>
      </c>
      <c r="T536">
        <v>13514</v>
      </c>
      <c r="U536">
        <v>3</v>
      </c>
      <c r="V536" t="s">
        <v>42</v>
      </c>
      <c r="W536" t="s">
        <v>43</v>
      </c>
      <c r="X536">
        <v>19</v>
      </c>
      <c r="Y536">
        <v>3</v>
      </c>
      <c r="Z536">
        <v>3</v>
      </c>
      <c r="AA536">
        <v>80</v>
      </c>
      <c r="AB536">
        <v>0</v>
      </c>
      <c r="AC536">
        <v>32</v>
      </c>
      <c r="AD536">
        <v>3</v>
      </c>
      <c r="AE536">
        <v>3</v>
      </c>
      <c r="AF536">
        <v>5</v>
      </c>
      <c r="AG536">
        <v>1</v>
      </c>
      <c r="AH536">
        <v>1</v>
      </c>
      <c r="AI536">
        <v>3</v>
      </c>
      <c r="AJ536" s="2">
        <f>IF(tblHR[[#This Row],[Attrition]]="Yes",1,0)</f>
        <v>0</v>
      </c>
      <c r="AK536" t="str">
        <f>IF(tblHR[[#This Row],[Age]]&lt;26,"18-25",IF(tblHR[[#This Row],[Age]]&lt;36,"26-35",IF(tblHR[[#This Row],[Age]]&lt;46,"36-45",IF(tblHR[[#This Row],[Age]]&lt;56,"46-55","56+"))))</f>
        <v>46-55</v>
      </c>
    </row>
    <row r="537" spans="1:37"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s="1">
        <v>19141</v>
      </c>
      <c r="T537">
        <v>8861</v>
      </c>
      <c r="U537">
        <v>3</v>
      </c>
      <c r="V537" t="s">
        <v>42</v>
      </c>
      <c r="W537" t="s">
        <v>43</v>
      </c>
      <c r="X537">
        <v>15</v>
      </c>
      <c r="Y537">
        <v>3</v>
      </c>
      <c r="Z537">
        <v>2</v>
      </c>
      <c r="AA537">
        <v>80</v>
      </c>
      <c r="AB537">
        <v>3</v>
      </c>
      <c r="AC537">
        <v>23</v>
      </c>
      <c r="AD537">
        <v>2</v>
      </c>
      <c r="AE537">
        <v>2</v>
      </c>
      <c r="AF537">
        <v>21</v>
      </c>
      <c r="AG537">
        <v>6</v>
      </c>
      <c r="AH537">
        <v>12</v>
      </c>
      <c r="AI537">
        <v>6</v>
      </c>
      <c r="AJ537" s="2">
        <f>IF(tblHR[[#This Row],[Attrition]]="Yes",1,0)</f>
        <v>0</v>
      </c>
      <c r="AK537" t="str">
        <f>IF(tblHR[[#This Row],[Age]]&lt;26,"18-25",IF(tblHR[[#This Row],[Age]]&lt;36,"26-35",IF(tblHR[[#This Row],[Age]]&lt;46,"36-45",IF(tblHR[[#This Row],[Age]]&lt;56,"46-55","56+"))))</f>
        <v>36-45</v>
      </c>
    </row>
    <row r="538" spans="1:37"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s="1">
        <v>5405</v>
      </c>
      <c r="T538">
        <v>11924</v>
      </c>
      <c r="U538">
        <v>8</v>
      </c>
      <c r="V538" t="s">
        <v>42</v>
      </c>
      <c r="W538" t="s">
        <v>43</v>
      </c>
      <c r="X538">
        <v>14</v>
      </c>
      <c r="Y538">
        <v>3</v>
      </c>
      <c r="Z538">
        <v>4</v>
      </c>
      <c r="AA538">
        <v>80</v>
      </c>
      <c r="AB538">
        <v>0</v>
      </c>
      <c r="AC538">
        <v>10</v>
      </c>
      <c r="AD538">
        <v>1</v>
      </c>
      <c r="AE538">
        <v>3</v>
      </c>
      <c r="AF538">
        <v>2</v>
      </c>
      <c r="AG538">
        <v>2</v>
      </c>
      <c r="AH538">
        <v>2</v>
      </c>
      <c r="AI538">
        <v>2</v>
      </c>
      <c r="AJ538" s="2">
        <f>IF(tblHR[[#This Row],[Attrition]]="Yes",1,0)</f>
        <v>0</v>
      </c>
      <c r="AK538" t="str">
        <f>IF(tblHR[[#This Row],[Age]]&lt;26,"18-25",IF(tblHR[[#This Row],[Age]]&lt;36,"26-35",IF(tblHR[[#This Row],[Age]]&lt;46,"36-45",IF(tblHR[[#This Row],[Age]]&lt;56,"46-55","56+"))))</f>
        <v>56+</v>
      </c>
    </row>
    <row r="539" spans="1:37"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s="1">
        <v>8793</v>
      </c>
      <c r="T539">
        <v>4809</v>
      </c>
      <c r="U539">
        <v>1</v>
      </c>
      <c r="V539" t="s">
        <v>42</v>
      </c>
      <c r="W539" t="s">
        <v>43</v>
      </c>
      <c r="X539">
        <v>21</v>
      </c>
      <c r="Y539">
        <v>4</v>
      </c>
      <c r="Z539">
        <v>3</v>
      </c>
      <c r="AA539">
        <v>80</v>
      </c>
      <c r="AB539">
        <v>2</v>
      </c>
      <c r="AC539">
        <v>9</v>
      </c>
      <c r="AD539">
        <v>4</v>
      </c>
      <c r="AE539">
        <v>2</v>
      </c>
      <c r="AF539">
        <v>9</v>
      </c>
      <c r="AG539">
        <v>7</v>
      </c>
      <c r="AH539">
        <v>1</v>
      </c>
      <c r="AI539">
        <v>7</v>
      </c>
      <c r="AJ539" s="2">
        <f>IF(tblHR[[#This Row],[Attrition]]="Yes",1,0)</f>
        <v>0</v>
      </c>
      <c r="AK539" t="str">
        <f>IF(tblHR[[#This Row],[Age]]&lt;26,"18-25",IF(tblHR[[#This Row],[Age]]&lt;36,"26-35",IF(tblHR[[#This Row],[Age]]&lt;46,"36-45",IF(tblHR[[#This Row],[Age]]&lt;56,"46-55","56+"))))</f>
        <v>26-35</v>
      </c>
    </row>
    <row r="540" spans="1:37"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s="1">
        <v>19189</v>
      </c>
      <c r="T540">
        <v>19562</v>
      </c>
      <c r="U540">
        <v>1</v>
      </c>
      <c r="V540" t="s">
        <v>42</v>
      </c>
      <c r="W540" t="s">
        <v>43</v>
      </c>
      <c r="X540">
        <v>12</v>
      </c>
      <c r="Y540">
        <v>3</v>
      </c>
      <c r="Z540">
        <v>2</v>
      </c>
      <c r="AA540">
        <v>80</v>
      </c>
      <c r="AB540">
        <v>1</v>
      </c>
      <c r="AC540">
        <v>22</v>
      </c>
      <c r="AD540">
        <v>3</v>
      </c>
      <c r="AE540">
        <v>3</v>
      </c>
      <c r="AF540">
        <v>22</v>
      </c>
      <c r="AG540">
        <v>7</v>
      </c>
      <c r="AH540">
        <v>2</v>
      </c>
      <c r="AI540">
        <v>10</v>
      </c>
      <c r="AJ540" s="2">
        <f>IF(tblHR[[#This Row],[Attrition]]="Yes",1,0)</f>
        <v>0</v>
      </c>
      <c r="AK540" t="str">
        <f>IF(tblHR[[#This Row],[Age]]&lt;26,"18-25",IF(tblHR[[#This Row],[Age]]&lt;36,"26-35",IF(tblHR[[#This Row],[Age]]&lt;46,"36-45",IF(tblHR[[#This Row],[Age]]&lt;56,"46-55","56+"))))</f>
        <v>36-45</v>
      </c>
    </row>
    <row r="541" spans="1:37"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s="1">
        <v>3875</v>
      </c>
      <c r="T541">
        <v>9983</v>
      </c>
      <c r="U541">
        <v>7</v>
      </c>
      <c r="V541" t="s">
        <v>42</v>
      </c>
      <c r="W541" t="s">
        <v>43</v>
      </c>
      <c r="X541">
        <v>15</v>
      </c>
      <c r="Y541">
        <v>3</v>
      </c>
      <c r="Z541">
        <v>4</v>
      </c>
      <c r="AA541">
        <v>80</v>
      </c>
      <c r="AB541">
        <v>1</v>
      </c>
      <c r="AC541">
        <v>4</v>
      </c>
      <c r="AD541">
        <v>2</v>
      </c>
      <c r="AE541">
        <v>3</v>
      </c>
      <c r="AF541">
        <v>2</v>
      </c>
      <c r="AG541">
        <v>2</v>
      </c>
      <c r="AH541">
        <v>2</v>
      </c>
      <c r="AI541">
        <v>2</v>
      </c>
      <c r="AJ541" s="2">
        <f>IF(tblHR[[#This Row],[Attrition]]="Yes",1,0)</f>
        <v>0</v>
      </c>
      <c r="AK541" t="str">
        <f>IF(tblHR[[#This Row],[Age]]&lt;26,"18-25",IF(tblHR[[#This Row],[Age]]&lt;36,"26-35",IF(tblHR[[#This Row],[Age]]&lt;46,"36-45",IF(tblHR[[#This Row],[Age]]&lt;56,"46-55","56+"))))</f>
        <v>46-55</v>
      </c>
    </row>
    <row r="542" spans="1:37"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s="1">
        <v>2216</v>
      </c>
      <c r="T542">
        <v>3872</v>
      </c>
      <c r="U542">
        <v>7</v>
      </c>
      <c r="V542" t="s">
        <v>42</v>
      </c>
      <c r="W542" t="s">
        <v>35</v>
      </c>
      <c r="X542">
        <v>13</v>
      </c>
      <c r="Y542">
        <v>3</v>
      </c>
      <c r="Z542">
        <v>4</v>
      </c>
      <c r="AA542">
        <v>80</v>
      </c>
      <c r="AB542">
        <v>0</v>
      </c>
      <c r="AC542">
        <v>10</v>
      </c>
      <c r="AD542">
        <v>4</v>
      </c>
      <c r="AE542">
        <v>3</v>
      </c>
      <c r="AF542">
        <v>7</v>
      </c>
      <c r="AG542">
        <v>7</v>
      </c>
      <c r="AH542">
        <v>3</v>
      </c>
      <c r="AI542">
        <v>7</v>
      </c>
      <c r="AJ542" s="2">
        <f>IF(tblHR[[#This Row],[Attrition]]="Yes",1,0)</f>
        <v>1</v>
      </c>
      <c r="AK542" t="str">
        <f>IF(tblHR[[#This Row],[Age]]&lt;26,"18-25",IF(tblHR[[#This Row],[Age]]&lt;36,"26-35",IF(tblHR[[#This Row],[Age]]&lt;46,"36-45",IF(tblHR[[#This Row],[Age]]&lt;56,"46-55","56+"))))</f>
        <v>26-35</v>
      </c>
    </row>
    <row r="543" spans="1:37"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s="1">
        <v>11713</v>
      </c>
      <c r="T543">
        <v>20335</v>
      </c>
      <c r="U543">
        <v>9</v>
      </c>
      <c r="V543" t="s">
        <v>42</v>
      </c>
      <c r="W543" t="s">
        <v>43</v>
      </c>
      <c r="X543">
        <v>14</v>
      </c>
      <c r="Y543">
        <v>3</v>
      </c>
      <c r="Z543">
        <v>1</v>
      </c>
      <c r="AA543">
        <v>80</v>
      </c>
      <c r="AB543">
        <v>1</v>
      </c>
      <c r="AC543">
        <v>10</v>
      </c>
      <c r="AD543">
        <v>2</v>
      </c>
      <c r="AE543">
        <v>3</v>
      </c>
      <c r="AF543">
        <v>8</v>
      </c>
      <c r="AG543">
        <v>7</v>
      </c>
      <c r="AH543">
        <v>0</v>
      </c>
      <c r="AI543">
        <v>5</v>
      </c>
      <c r="AJ543" s="2">
        <f>IF(tblHR[[#This Row],[Attrition]]="Yes",1,0)</f>
        <v>0</v>
      </c>
      <c r="AK543" t="str">
        <f>IF(tblHR[[#This Row],[Age]]&lt;26,"18-25",IF(tblHR[[#This Row],[Age]]&lt;36,"26-35",IF(tblHR[[#This Row],[Age]]&lt;46,"36-45",IF(tblHR[[#This Row],[Age]]&lt;56,"46-55","56+"))))</f>
        <v>36-45</v>
      </c>
    </row>
    <row r="544" spans="1:37"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s="1">
        <v>7861</v>
      </c>
      <c r="T544">
        <v>15397</v>
      </c>
      <c r="U544">
        <v>4</v>
      </c>
      <c r="V544" t="s">
        <v>42</v>
      </c>
      <c r="W544" t="s">
        <v>35</v>
      </c>
      <c r="X544">
        <v>14</v>
      </c>
      <c r="Y544">
        <v>3</v>
      </c>
      <c r="Z544">
        <v>4</v>
      </c>
      <c r="AA544">
        <v>80</v>
      </c>
      <c r="AB544">
        <v>0</v>
      </c>
      <c r="AC544">
        <v>10</v>
      </c>
      <c r="AD544">
        <v>4</v>
      </c>
      <c r="AE544">
        <v>4</v>
      </c>
      <c r="AF544">
        <v>1</v>
      </c>
      <c r="AG544">
        <v>0</v>
      </c>
      <c r="AH544">
        <v>0</v>
      </c>
      <c r="AI544">
        <v>0</v>
      </c>
      <c r="AJ544" s="2">
        <f>IF(tblHR[[#This Row],[Attrition]]="Yes",1,0)</f>
        <v>0</v>
      </c>
      <c r="AK544" t="str">
        <f>IF(tblHR[[#This Row],[Age]]&lt;26,"18-25",IF(tblHR[[#This Row],[Age]]&lt;36,"26-35",IF(tblHR[[#This Row],[Age]]&lt;46,"36-45",IF(tblHR[[#This Row],[Age]]&lt;56,"46-55","56+"))))</f>
        <v>36-45</v>
      </c>
    </row>
    <row r="545" spans="1:37"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s="1">
        <v>3708</v>
      </c>
      <c r="T545">
        <v>2104</v>
      </c>
      <c r="U545">
        <v>2</v>
      </c>
      <c r="V545" t="s">
        <v>42</v>
      </c>
      <c r="W545" t="s">
        <v>43</v>
      </c>
      <c r="X545">
        <v>14</v>
      </c>
      <c r="Y545">
        <v>3</v>
      </c>
      <c r="Z545">
        <v>3</v>
      </c>
      <c r="AA545">
        <v>80</v>
      </c>
      <c r="AB545">
        <v>0</v>
      </c>
      <c r="AC545">
        <v>9</v>
      </c>
      <c r="AD545">
        <v>5</v>
      </c>
      <c r="AE545">
        <v>3</v>
      </c>
      <c r="AF545">
        <v>5</v>
      </c>
      <c r="AG545">
        <v>2</v>
      </c>
      <c r="AH545">
        <v>1</v>
      </c>
      <c r="AI545">
        <v>4</v>
      </c>
      <c r="AJ545" s="2">
        <f>IF(tblHR[[#This Row],[Attrition]]="Yes",1,0)</f>
        <v>0</v>
      </c>
      <c r="AK545" t="str">
        <f>IF(tblHR[[#This Row],[Age]]&lt;26,"18-25",IF(tblHR[[#This Row],[Age]]&lt;36,"26-35",IF(tblHR[[#This Row],[Age]]&lt;46,"36-45",IF(tblHR[[#This Row],[Age]]&lt;56,"46-55","56+"))))</f>
        <v>36-45</v>
      </c>
    </row>
    <row r="546" spans="1:37"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s="1">
        <v>13770</v>
      </c>
      <c r="T546">
        <v>10225</v>
      </c>
      <c r="U546">
        <v>9</v>
      </c>
      <c r="V546" t="s">
        <v>42</v>
      </c>
      <c r="W546" t="s">
        <v>35</v>
      </c>
      <c r="X546">
        <v>12</v>
      </c>
      <c r="Y546">
        <v>3</v>
      </c>
      <c r="Z546">
        <v>4</v>
      </c>
      <c r="AA546">
        <v>80</v>
      </c>
      <c r="AB546">
        <v>2</v>
      </c>
      <c r="AC546">
        <v>28</v>
      </c>
      <c r="AD546">
        <v>2</v>
      </c>
      <c r="AE546">
        <v>2</v>
      </c>
      <c r="AF546">
        <v>22</v>
      </c>
      <c r="AG546">
        <v>2</v>
      </c>
      <c r="AH546">
        <v>11</v>
      </c>
      <c r="AI546">
        <v>13</v>
      </c>
      <c r="AJ546" s="2">
        <f>IF(tblHR[[#This Row],[Attrition]]="Yes",1,0)</f>
        <v>0</v>
      </c>
      <c r="AK546" t="str">
        <f>IF(tblHR[[#This Row],[Age]]&lt;26,"18-25",IF(tblHR[[#This Row],[Age]]&lt;36,"26-35",IF(tblHR[[#This Row],[Age]]&lt;46,"36-45",IF(tblHR[[#This Row],[Age]]&lt;56,"46-55","56+"))))</f>
        <v>46-55</v>
      </c>
    </row>
    <row r="547" spans="1:37"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s="1">
        <v>5304</v>
      </c>
      <c r="T547">
        <v>25275</v>
      </c>
      <c r="U547">
        <v>7</v>
      </c>
      <c r="V547" t="s">
        <v>42</v>
      </c>
      <c r="W547" t="s">
        <v>43</v>
      </c>
      <c r="X547">
        <v>23</v>
      </c>
      <c r="Y547">
        <v>4</v>
      </c>
      <c r="Z547">
        <v>4</v>
      </c>
      <c r="AA547">
        <v>80</v>
      </c>
      <c r="AB547">
        <v>1</v>
      </c>
      <c r="AC547">
        <v>10</v>
      </c>
      <c r="AD547">
        <v>2</v>
      </c>
      <c r="AE547">
        <v>2</v>
      </c>
      <c r="AF547">
        <v>8</v>
      </c>
      <c r="AG547">
        <v>7</v>
      </c>
      <c r="AH547">
        <v>7</v>
      </c>
      <c r="AI547">
        <v>7</v>
      </c>
      <c r="AJ547" s="2">
        <f>IF(tblHR[[#This Row],[Attrition]]="Yes",1,0)</f>
        <v>0</v>
      </c>
      <c r="AK547" t="str">
        <f>IF(tblHR[[#This Row],[Age]]&lt;26,"18-25",IF(tblHR[[#This Row],[Age]]&lt;36,"26-35",IF(tblHR[[#This Row],[Age]]&lt;46,"36-45",IF(tblHR[[#This Row],[Age]]&lt;56,"46-55","56+"))))</f>
        <v>26-35</v>
      </c>
    </row>
    <row r="548" spans="1:37"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s="1">
        <v>2642</v>
      </c>
      <c r="T548">
        <v>2755</v>
      </c>
      <c r="U548">
        <v>1</v>
      </c>
      <c r="V548" t="s">
        <v>42</v>
      </c>
      <c r="W548" t="s">
        <v>43</v>
      </c>
      <c r="X548">
        <v>11</v>
      </c>
      <c r="Y548">
        <v>3</v>
      </c>
      <c r="Z548">
        <v>3</v>
      </c>
      <c r="AA548">
        <v>80</v>
      </c>
      <c r="AB548">
        <v>0</v>
      </c>
      <c r="AC548">
        <v>1</v>
      </c>
      <c r="AD548">
        <v>6</v>
      </c>
      <c r="AE548">
        <v>3</v>
      </c>
      <c r="AF548">
        <v>1</v>
      </c>
      <c r="AG548">
        <v>0</v>
      </c>
      <c r="AH548">
        <v>0</v>
      </c>
      <c r="AI548">
        <v>0</v>
      </c>
      <c r="AJ548" s="2">
        <f>IF(tblHR[[#This Row],[Attrition]]="Yes",1,0)</f>
        <v>0</v>
      </c>
      <c r="AK548" t="str">
        <f>IF(tblHR[[#This Row],[Age]]&lt;26,"18-25",IF(tblHR[[#This Row],[Age]]&lt;36,"26-35",IF(tblHR[[#This Row],[Age]]&lt;46,"36-45",IF(tblHR[[#This Row],[Age]]&lt;56,"46-55","56+"))))</f>
        <v>26-35</v>
      </c>
    </row>
    <row r="549" spans="1:37"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s="1">
        <v>2759</v>
      </c>
      <c r="T549">
        <v>20366</v>
      </c>
      <c r="U549">
        <v>6</v>
      </c>
      <c r="V549" t="s">
        <v>42</v>
      </c>
      <c r="W549" t="s">
        <v>35</v>
      </c>
      <c r="X549">
        <v>12</v>
      </c>
      <c r="Y549">
        <v>3</v>
      </c>
      <c r="Z549">
        <v>4</v>
      </c>
      <c r="AA549">
        <v>80</v>
      </c>
      <c r="AB549">
        <v>0</v>
      </c>
      <c r="AC549">
        <v>7</v>
      </c>
      <c r="AD549">
        <v>2</v>
      </c>
      <c r="AE549">
        <v>3</v>
      </c>
      <c r="AF549">
        <v>2</v>
      </c>
      <c r="AG549">
        <v>2</v>
      </c>
      <c r="AH549">
        <v>2</v>
      </c>
      <c r="AI549">
        <v>2</v>
      </c>
      <c r="AJ549" s="2">
        <f>IF(tblHR[[#This Row],[Attrition]]="Yes",1,0)</f>
        <v>1</v>
      </c>
      <c r="AK549" t="str">
        <f>IF(tblHR[[#This Row],[Age]]&lt;26,"18-25",IF(tblHR[[#This Row],[Age]]&lt;36,"26-35",IF(tblHR[[#This Row],[Age]]&lt;46,"36-45",IF(tblHR[[#This Row],[Age]]&lt;56,"46-55","56+"))))</f>
        <v>36-45</v>
      </c>
    </row>
    <row r="550" spans="1:37"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s="1">
        <v>6804</v>
      </c>
      <c r="T550">
        <v>23683</v>
      </c>
      <c r="U550">
        <v>3</v>
      </c>
      <c r="V550" t="s">
        <v>42</v>
      </c>
      <c r="W550" t="s">
        <v>43</v>
      </c>
      <c r="X550">
        <v>18</v>
      </c>
      <c r="Y550">
        <v>3</v>
      </c>
      <c r="Z550">
        <v>3</v>
      </c>
      <c r="AA550">
        <v>80</v>
      </c>
      <c r="AB550">
        <v>1</v>
      </c>
      <c r="AC550">
        <v>7</v>
      </c>
      <c r="AD550">
        <v>5</v>
      </c>
      <c r="AE550">
        <v>3</v>
      </c>
      <c r="AF550">
        <v>2</v>
      </c>
      <c r="AG550">
        <v>2</v>
      </c>
      <c r="AH550">
        <v>2</v>
      </c>
      <c r="AI550">
        <v>2</v>
      </c>
      <c r="AJ550" s="2">
        <f>IF(tblHR[[#This Row],[Attrition]]="Yes",1,0)</f>
        <v>0</v>
      </c>
      <c r="AK550" t="str">
        <f>IF(tblHR[[#This Row],[Age]]&lt;26,"18-25",IF(tblHR[[#This Row],[Age]]&lt;36,"26-35",IF(tblHR[[#This Row],[Age]]&lt;46,"36-45",IF(tblHR[[#This Row],[Age]]&lt;56,"46-55","56+"))))</f>
        <v>36-45</v>
      </c>
    </row>
    <row r="551" spans="1:37"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s="1">
        <v>6142</v>
      </c>
      <c r="T551">
        <v>7360</v>
      </c>
      <c r="U551">
        <v>3</v>
      </c>
      <c r="V551" t="s">
        <v>42</v>
      </c>
      <c r="W551" t="s">
        <v>43</v>
      </c>
      <c r="X551">
        <v>11</v>
      </c>
      <c r="Y551">
        <v>3</v>
      </c>
      <c r="Z551">
        <v>4</v>
      </c>
      <c r="AA551">
        <v>80</v>
      </c>
      <c r="AB551">
        <v>0</v>
      </c>
      <c r="AC551">
        <v>10</v>
      </c>
      <c r="AD551">
        <v>2</v>
      </c>
      <c r="AE551">
        <v>3</v>
      </c>
      <c r="AF551">
        <v>5</v>
      </c>
      <c r="AG551">
        <v>1</v>
      </c>
      <c r="AH551">
        <v>4</v>
      </c>
      <c r="AI551">
        <v>3</v>
      </c>
      <c r="AJ551" s="2">
        <f>IF(tblHR[[#This Row],[Attrition]]="Yes",1,0)</f>
        <v>0</v>
      </c>
      <c r="AK551" t="str">
        <f>IF(tblHR[[#This Row],[Age]]&lt;26,"18-25",IF(tblHR[[#This Row],[Age]]&lt;36,"26-35",IF(tblHR[[#This Row],[Age]]&lt;46,"36-45",IF(tblHR[[#This Row],[Age]]&lt;56,"46-55","56+"))))</f>
        <v>26-35</v>
      </c>
    </row>
    <row r="552" spans="1:37"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s="1">
        <v>2500</v>
      </c>
      <c r="T552">
        <v>4344</v>
      </c>
      <c r="U552">
        <v>1</v>
      </c>
      <c r="V552" t="s">
        <v>42</v>
      </c>
      <c r="W552" t="s">
        <v>43</v>
      </c>
      <c r="X552">
        <v>14</v>
      </c>
      <c r="Y552">
        <v>3</v>
      </c>
      <c r="Z552">
        <v>4</v>
      </c>
      <c r="AA552">
        <v>80</v>
      </c>
      <c r="AB552">
        <v>1</v>
      </c>
      <c r="AC552">
        <v>5</v>
      </c>
      <c r="AD552">
        <v>2</v>
      </c>
      <c r="AE552">
        <v>4</v>
      </c>
      <c r="AF552">
        <v>4</v>
      </c>
      <c r="AG552">
        <v>3</v>
      </c>
      <c r="AH552">
        <v>0</v>
      </c>
      <c r="AI552">
        <v>2</v>
      </c>
      <c r="AJ552" s="2">
        <f>IF(tblHR[[#This Row],[Attrition]]="Yes",1,0)</f>
        <v>0</v>
      </c>
      <c r="AK552" t="str">
        <f>IF(tblHR[[#This Row],[Age]]&lt;26,"18-25",IF(tblHR[[#This Row],[Age]]&lt;36,"26-35",IF(tblHR[[#This Row],[Age]]&lt;46,"36-45",IF(tblHR[[#This Row],[Age]]&lt;56,"46-55","56+"))))</f>
        <v>18-25</v>
      </c>
    </row>
    <row r="553" spans="1:37"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s="1">
        <v>6389</v>
      </c>
      <c r="T553">
        <v>18767</v>
      </c>
      <c r="U553">
        <v>9</v>
      </c>
      <c r="V553" t="s">
        <v>42</v>
      </c>
      <c r="W553" t="s">
        <v>43</v>
      </c>
      <c r="X553">
        <v>15</v>
      </c>
      <c r="Y553">
        <v>3</v>
      </c>
      <c r="Z553">
        <v>3</v>
      </c>
      <c r="AA553">
        <v>80</v>
      </c>
      <c r="AB553">
        <v>1</v>
      </c>
      <c r="AC553">
        <v>12</v>
      </c>
      <c r="AD553">
        <v>3</v>
      </c>
      <c r="AE553">
        <v>1</v>
      </c>
      <c r="AF553">
        <v>8</v>
      </c>
      <c r="AG553">
        <v>3</v>
      </c>
      <c r="AH553">
        <v>3</v>
      </c>
      <c r="AI553">
        <v>6</v>
      </c>
      <c r="AJ553" s="2">
        <f>IF(tblHR[[#This Row],[Attrition]]="Yes",1,0)</f>
        <v>0</v>
      </c>
      <c r="AK553" t="str">
        <f>IF(tblHR[[#This Row],[Age]]&lt;26,"18-25",IF(tblHR[[#This Row],[Age]]&lt;36,"26-35",IF(tblHR[[#This Row],[Age]]&lt;46,"36-45",IF(tblHR[[#This Row],[Age]]&lt;56,"46-55","56+"))))</f>
        <v>36-45</v>
      </c>
    </row>
    <row r="554" spans="1:37"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s="1">
        <v>11103</v>
      </c>
      <c r="T554">
        <v>20420</v>
      </c>
      <c r="U554">
        <v>7</v>
      </c>
      <c r="V554" t="s">
        <v>42</v>
      </c>
      <c r="W554" t="s">
        <v>43</v>
      </c>
      <c r="X554">
        <v>11</v>
      </c>
      <c r="Y554">
        <v>3</v>
      </c>
      <c r="Z554">
        <v>3</v>
      </c>
      <c r="AA554">
        <v>80</v>
      </c>
      <c r="AB554">
        <v>0</v>
      </c>
      <c r="AC554">
        <v>30</v>
      </c>
      <c r="AD554">
        <v>1</v>
      </c>
      <c r="AE554">
        <v>2</v>
      </c>
      <c r="AF554">
        <v>10</v>
      </c>
      <c r="AG554">
        <v>7</v>
      </c>
      <c r="AH554">
        <v>1</v>
      </c>
      <c r="AI554">
        <v>1</v>
      </c>
      <c r="AJ554" s="2">
        <f>IF(tblHR[[#This Row],[Attrition]]="Yes",1,0)</f>
        <v>0</v>
      </c>
      <c r="AK554" t="str">
        <f>IF(tblHR[[#This Row],[Age]]&lt;26,"18-25",IF(tblHR[[#This Row],[Age]]&lt;36,"26-35",IF(tblHR[[#This Row],[Age]]&lt;46,"36-45",IF(tblHR[[#This Row],[Age]]&lt;56,"46-55","56+"))))</f>
        <v>56+</v>
      </c>
    </row>
    <row r="555" spans="1:37"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s="1">
        <v>2342</v>
      </c>
      <c r="T555">
        <v>22929</v>
      </c>
      <c r="U555">
        <v>0</v>
      </c>
      <c r="V555" t="s">
        <v>42</v>
      </c>
      <c r="W555" t="s">
        <v>35</v>
      </c>
      <c r="X555">
        <v>20</v>
      </c>
      <c r="Y555">
        <v>4</v>
      </c>
      <c r="Z555">
        <v>4</v>
      </c>
      <c r="AA555">
        <v>80</v>
      </c>
      <c r="AB555">
        <v>0</v>
      </c>
      <c r="AC555">
        <v>5</v>
      </c>
      <c r="AD555">
        <v>2</v>
      </c>
      <c r="AE555">
        <v>2</v>
      </c>
      <c r="AF555">
        <v>4</v>
      </c>
      <c r="AG555">
        <v>2</v>
      </c>
      <c r="AH555">
        <v>2</v>
      </c>
      <c r="AI555">
        <v>3</v>
      </c>
      <c r="AJ555" s="2">
        <f>IF(tblHR[[#This Row],[Attrition]]="Yes",1,0)</f>
        <v>0</v>
      </c>
      <c r="AK555" t="str">
        <f>IF(tblHR[[#This Row],[Age]]&lt;26,"18-25",IF(tblHR[[#This Row],[Age]]&lt;36,"26-35",IF(tblHR[[#This Row],[Age]]&lt;46,"36-45",IF(tblHR[[#This Row],[Age]]&lt;56,"46-55","56+"))))</f>
        <v>36-45</v>
      </c>
    </row>
    <row r="556" spans="1:37"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s="1">
        <v>6811</v>
      </c>
      <c r="T556">
        <v>23398</v>
      </c>
      <c r="U556">
        <v>8</v>
      </c>
      <c r="V556" t="s">
        <v>42</v>
      </c>
      <c r="W556" t="s">
        <v>43</v>
      </c>
      <c r="X556">
        <v>19</v>
      </c>
      <c r="Y556">
        <v>3</v>
      </c>
      <c r="Z556">
        <v>1</v>
      </c>
      <c r="AA556">
        <v>80</v>
      </c>
      <c r="AB556">
        <v>0</v>
      </c>
      <c r="AC556">
        <v>9</v>
      </c>
      <c r="AD556">
        <v>2</v>
      </c>
      <c r="AE556">
        <v>1</v>
      </c>
      <c r="AF556">
        <v>7</v>
      </c>
      <c r="AG556">
        <v>6</v>
      </c>
      <c r="AH556">
        <v>0</v>
      </c>
      <c r="AI556">
        <v>7</v>
      </c>
      <c r="AJ556" s="2">
        <f>IF(tblHR[[#This Row],[Attrition]]="Yes",1,0)</f>
        <v>0</v>
      </c>
      <c r="AK556" t="str">
        <f>IF(tblHR[[#This Row],[Age]]&lt;26,"18-25",IF(tblHR[[#This Row],[Age]]&lt;36,"26-35",IF(tblHR[[#This Row],[Age]]&lt;46,"36-45",IF(tblHR[[#This Row],[Age]]&lt;56,"46-55","56+"))))</f>
        <v>26-35</v>
      </c>
    </row>
    <row r="557" spans="1:37"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s="1">
        <v>2297</v>
      </c>
      <c r="T557">
        <v>17967</v>
      </c>
      <c r="U557">
        <v>1</v>
      </c>
      <c r="V557" t="s">
        <v>42</v>
      </c>
      <c r="W557" t="s">
        <v>43</v>
      </c>
      <c r="X557">
        <v>14</v>
      </c>
      <c r="Y557">
        <v>3</v>
      </c>
      <c r="Z557">
        <v>4</v>
      </c>
      <c r="AA557">
        <v>80</v>
      </c>
      <c r="AB557">
        <v>2</v>
      </c>
      <c r="AC557">
        <v>2</v>
      </c>
      <c r="AD557">
        <v>2</v>
      </c>
      <c r="AE557">
        <v>3</v>
      </c>
      <c r="AF557">
        <v>2</v>
      </c>
      <c r="AG557">
        <v>2</v>
      </c>
      <c r="AH557">
        <v>2</v>
      </c>
      <c r="AI557">
        <v>2</v>
      </c>
      <c r="AJ557" s="2">
        <f>IF(tblHR[[#This Row],[Attrition]]="Yes",1,0)</f>
        <v>0</v>
      </c>
      <c r="AK557" t="str">
        <f>IF(tblHR[[#This Row],[Age]]&lt;26,"18-25",IF(tblHR[[#This Row],[Age]]&lt;36,"26-35",IF(tblHR[[#This Row],[Age]]&lt;46,"36-45",IF(tblHR[[#This Row],[Age]]&lt;56,"46-55","56+"))))</f>
        <v>26-35</v>
      </c>
    </row>
    <row r="558" spans="1:37"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s="1">
        <v>2450</v>
      </c>
      <c r="T558">
        <v>10919</v>
      </c>
      <c r="U558">
        <v>2</v>
      </c>
      <c r="V558" t="s">
        <v>42</v>
      </c>
      <c r="W558" t="s">
        <v>43</v>
      </c>
      <c r="X558">
        <v>17</v>
      </c>
      <c r="Y558">
        <v>3</v>
      </c>
      <c r="Z558">
        <v>4</v>
      </c>
      <c r="AA558">
        <v>80</v>
      </c>
      <c r="AB558">
        <v>0</v>
      </c>
      <c r="AC558">
        <v>19</v>
      </c>
      <c r="AD558">
        <v>4</v>
      </c>
      <c r="AE558">
        <v>3</v>
      </c>
      <c r="AF558">
        <v>2</v>
      </c>
      <c r="AG558">
        <v>2</v>
      </c>
      <c r="AH558">
        <v>2</v>
      </c>
      <c r="AI558">
        <v>2</v>
      </c>
      <c r="AJ558" s="2">
        <f>IF(tblHR[[#This Row],[Attrition]]="Yes",1,0)</f>
        <v>0</v>
      </c>
      <c r="AK558" t="str">
        <f>IF(tblHR[[#This Row],[Age]]&lt;26,"18-25",IF(tblHR[[#This Row],[Age]]&lt;36,"26-35",IF(tblHR[[#This Row],[Age]]&lt;46,"36-45",IF(tblHR[[#This Row],[Age]]&lt;56,"46-55","56+"))))</f>
        <v>46-55</v>
      </c>
    </row>
    <row r="559" spans="1:37"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s="1">
        <v>5093</v>
      </c>
      <c r="T559">
        <v>4761</v>
      </c>
      <c r="U559">
        <v>2</v>
      </c>
      <c r="V559" t="s">
        <v>42</v>
      </c>
      <c r="W559" t="s">
        <v>43</v>
      </c>
      <c r="X559">
        <v>11</v>
      </c>
      <c r="Y559">
        <v>3</v>
      </c>
      <c r="Z559">
        <v>1</v>
      </c>
      <c r="AA559">
        <v>80</v>
      </c>
      <c r="AB559">
        <v>1</v>
      </c>
      <c r="AC559">
        <v>16</v>
      </c>
      <c r="AD559">
        <v>2</v>
      </c>
      <c r="AE559">
        <v>4</v>
      </c>
      <c r="AF559">
        <v>1</v>
      </c>
      <c r="AG559">
        <v>0</v>
      </c>
      <c r="AH559">
        <v>0</v>
      </c>
      <c r="AI559">
        <v>0</v>
      </c>
      <c r="AJ559" s="2">
        <f>IF(tblHR[[#This Row],[Attrition]]="Yes",1,0)</f>
        <v>0</v>
      </c>
      <c r="AK559" t="str">
        <f>IF(tblHR[[#This Row],[Age]]&lt;26,"18-25",IF(tblHR[[#This Row],[Age]]&lt;36,"26-35",IF(tblHR[[#This Row],[Age]]&lt;46,"36-45",IF(tblHR[[#This Row],[Age]]&lt;56,"46-55","56+"))))</f>
        <v>26-35</v>
      </c>
    </row>
    <row r="560" spans="1:37"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s="1">
        <v>5309</v>
      </c>
      <c r="T560">
        <v>21146</v>
      </c>
      <c r="U560">
        <v>1</v>
      </c>
      <c r="V560" t="s">
        <v>42</v>
      </c>
      <c r="W560" t="s">
        <v>43</v>
      </c>
      <c r="X560">
        <v>15</v>
      </c>
      <c r="Y560">
        <v>3</v>
      </c>
      <c r="Z560">
        <v>4</v>
      </c>
      <c r="AA560">
        <v>80</v>
      </c>
      <c r="AB560">
        <v>2</v>
      </c>
      <c r="AC560">
        <v>10</v>
      </c>
      <c r="AD560">
        <v>2</v>
      </c>
      <c r="AE560">
        <v>3</v>
      </c>
      <c r="AF560">
        <v>10</v>
      </c>
      <c r="AG560">
        <v>8</v>
      </c>
      <c r="AH560">
        <v>4</v>
      </c>
      <c r="AI560">
        <v>7</v>
      </c>
      <c r="AJ560" s="2">
        <f>IF(tblHR[[#This Row],[Attrition]]="Yes",1,0)</f>
        <v>0</v>
      </c>
      <c r="AK560" t="str">
        <f>IF(tblHR[[#This Row],[Age]]&lt;26,"18-25",IF(tblHR[[#This Row],[Age]]&lt;36,"26-35",IF(tblHR[[#This Row],[Age]]&lt;46,"36-45",IF(tblHR[[#This Row],[Age]]&lt;56,"46-55","56+"))))</f>
        <v>26-35</v>
      </c>
    </row>
    <row r="561" spans="1:37"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s="1">
        <v>3057</v>
      </c>
      <c r="T561">
        <v>20471</v>
      </c>
      <c r="U561">
        <v>6</v>
      </c>
      <c r="V561" t="s">
        <v>42</v>
      </c>
      <c r="W561" t="s">
        <v>35</v>
      </c>
      <c r="X561">
        <v>13</v>
      </c>
      <c r="Y561">
        <v>3</v>
      </c>
      <c r="Z561">
        <v>2</v>
      </c>
      <c r="AA561">
        <v>80</v>
      </c>
      <c r="AB561">
        <v>1</v>
      </c>
      <c r="AC561">
        <v>6</v>
      </c>
      <c r="AD561">
        <v>0</v>
      </c>
      <c r="AE561">
        <v>1</v>
      </c>
      <c r="AF561">
        <v>1</v>
      </c>
      <c r="AG561">
        <v>0</v>
      </c>
      <c r="AH561">
        <v>0</v>
      </c>
      <c r="AI561">
        <v>1</v>
      </c>
      <c r="AJ561" s="2">
        <f>IF(tblHR[[#This Row],[Attrition]]="Yes",1,0)</f>
        <v>0</v>
      </c>
      <c r="AK561" t="str">
        <f>IF(tblHR[[#This Row],[Age]]&lt;26,"18-25",IF(tblHR[[#This Row],[Age]]&lt;36,"26-35",IF(tblHR[[#This Row],[Age]]&lt;46,"36-45",IF(tblHR[[#This Row],[Age]]&lt;56,"46-55","56+"))))</f>
        <v>36-45</v>
      </c>
    </row>
    <row r="562" spans="1:37"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s="1">
        <v>5121</v>
      </c>
      <c r="T562">
        <v>4187</v>
      </c>
      <c r="U562">
        <v>3</v>
      </c>
      <c r="V562" t="s">
        <v>42</v>
      </c>
      <c r="W562" t="s">
        <v>43</v>
      </c>
      <c r="X562">
        <v>14</v>
      </c>
      <c r="Y562">
        <v>3</v>
      </c>
      <c r="Z562">
        <v>3</v>
      </c>
      <c r="AA562">
        <v>80</v>
      </c>
      <c r="AB562">
        <v>1</v>
      </c>
      <c r="AC562">
        <v>7</v>
      </c>
      <c r="AD562">
        <v>3</v>
      </c>
      <c r="AE562">
        <v>3</v>
      </c>
      <c r="AF562">
        <v>0</v>
      </c>
      <c r="AG562">
        <v>0</v>
      </c>
      <c r="AH562">
        <v>0</v>
      </c>
      <c r="AI562">
        <v>0</v>
      </c>
      <c r="AJ562" s="2">
        <f>IF(tblHR[[#This Row],[Attrition]]="Yes",1,0)</f>
        <v>0</v>
      </c>
      <c r="AK562" t="str">
        <f>IF(tblHR[[#This Row],[Age]]&lt;26,"18-25",IF(tblHR[[#This Row],[Age]]&lt;36,"26-35",IF(tblHR[[#This Row],[Age]]&lt;46,"36-45",IF(tblHR[[#This Row],[Age]]&lt;56,"46-55","56+"))))</f>
        <v>26-35</v>
      </c>
    </row>
    <row r="563" spans="1:37"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s="1">
        <v>16856</v>
      </c>
      <c r="T563">
        <v>10084</v>
      </c>
      <c r="U563">
        <v>1</v>
      </c>
      <c r="V563" t="s">
        <v>42</v>
      </c>
      <c r="W563" t="s">
        <v>43</v>
      </c>
      <c r="X563">
        <v>11</v>
      </c>
      <c r="Y563">
        <v>3</v>
      </c>
      <c r="Z563">
        <v>1</v>
      </c>
      <c r="AA563">
        <v>80</v>
      </c>
      <c r="AB563">
        <v>0</v>
      </c>
      <c r="AC563">
        <v>34</v>
      </c>
      <c r="AD563">
        <v>3</v>
      </c>
      <c r="AE563">
        <v>4</v>
      </c>
      <c r="AF563">
        <v>34</v>
      </c>
      <c r="AG563">
        <v>6</v>
      </c>
      <c r="AH563">
        <v>1</v>
      </c>
      <c r="AI563">
        <v>16</v>
      </c>
      <c r="AJ563" s="2">
        <f>IF(tblHR[[#This Row],[Attrition]]="Yes",1,0)</f>
        <v>0</v>
      </c>
      <c r="AK563" t="str">
        <f>IF(tblHR[[#This Row],[Age]]&lt;26,"18-25",IF(tblHR[[#This Row],[Age]]&lt;36,"26-35",IF(tblHR[[#This Row],[Age]]&lt;46,"36-45",IF(tblHR[[#This Row],[Age]]&lt;56,"46-55","56+"))))</f>
        <v>46-55</v>
      </c>
    </row>
    <row r="564" spans="1:37"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s="1">
        <v>2686</v>
      </c>
      <c r="T564">
        <v>5207</v>
      </c>
      <c r="U564">
        <v>1</v>
      </c>
      <c r="V564" t="s">
        <v>42</v>
      </c>
      <c r="W564" t="s">
        <v>35</v>
      </c>
      <c r="X564">
        <v>13</v>
      </c>
      <c r="Y564">
        <v>3</v>
      </c>
      <c r="Z564">
        <v>3</v>
      </c>
      <c r="AA564">
        <v>80</v>
      </c>
      <c r="AB564">
        <v>0</v>
      </c>
      <c r="AC564">
        <v>10</v>
      </c>
      <c r="AD564">
        <v>2</v>
      </c>
      <c r="AE564">
        <v>2</v>
      </c>
      <c r="AF564">
        <v>10</v>
      </c>
      <c r="AG564">
        <v>9</v>
      </c>
      <c r="AH564">
        <v>7</v>
      </c>
      <c r="AI564">
        <v>8</v>
      </c>
      <c r="AJ564" s="2">
        <f>IF(tblHR[[#This Row],[Attrition]]="Yes",1,0)</f>
        <v>1</v>
      </c>
      <c r="AK564" t="str">
        <f>IF(tblHR[[#This Row],[Age]]&lt;26,"18-25",IF(tblHR[[#This Row],[Age]]&lt;36,"26-35",IF(tblHR[[#This Row],[Age]]&lt;46,"36-45",IF(tblHR[[#This Row],[Age]]&lt;56,"46-55","56+"))))</f>
        <v>26-35</v>
      </c>
    </row>
    <row r="565" spans="1:37"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s="1">
        <v>6180</v>
      </c>
      <c r="T565">
        <v>22807</v>
      </c>
      <c r="U565">
        <v>1</v>
      </c>
      <c r="V565" t="s">
        <v>42</v>
      </c>
      <c r="W565" t="s">
        <v>43</v>
      </c>
      <c r="X565">
        <v>23</v>
      </c>
      <c r="Y565">
        <v>4</v>
      </c>
      <c r="Z565">
        <v>2</v>
      </c>
      <c r="AA565">
        <v>80</v>
      </c>
      <c r="AB565">
        <v>0</v>
      </c>
      <c r="AC565">
        <v>6</v>
      </c>
      <c r="AD565">
        <v>5</v>
      </c>
      <c r="AE565">
        <v>2</v>
      </c>
      <c r="AF565">
        <v>6</v>
      </c>
      <c r="AG565">
        <v>5</v>
      </c>
      <c r="AH565">
        <v>1</v>
      </c>
      <c r="AI565">
        <v>4</v>
      </c>
      <c r="AJ565" s="2">
        <f>IF(tblHR[[#This Row],[Attrition]]="Yes",1,0)</f>
        <v>0</v>
      </c>
      <c r="AK565" t="str">
        <f>IF(tblHR[[#This Row],[Age]]&lt;26,"18-25",IF(tblHR[[#This Row],[Age]]&lt;36,"26-35",IF(tblHR[[#This Row],[Age]]&lt;46,"36-45",IF(tblHR[[#This Row],[Age]]&lt;56,"46-55","56+"))))</f>
        <v>18-25</v>
      </c>
    </row>
    <row r="566" spans="1:37"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s="1">
        <v>6632</v>
      </c>
      <c r="T566">
        <v>12388</v>
      </c>
      <c r="U566">
        <v>0</v>
      </c>
      <c r="V566" t="s">
        <v>42</v>
      </c>
      <c r="W566" t="s">
        <v>43</v>
      </c>
      <c r="X566">
        <v>13</v>
      </c>
      <c r="Y566">
        <v>3</v>
      </c>
      <c r="Z566">
        <v>1</v>
      </c>
      <c r="AA566">
        <v>80</v>
      </c>
      <c r="AB566">
        <v>0</v>
      </c>
      <c r="AC566">
        <v>9</v>
      </c>
      <c r="AD566">
        <v>3</v>
      </c>
      <c r="AE566">
        <v>3</v>
      </c>
      <c r="AF566">
        <v>8</v>
      </c>
      <c r="AG566">
        <v>7</v>
      </c>
      <c r="AH566">
        <v>3</v>
      </c>
      <c r="AI566">
        <v>1</v>
      </c>
      <c r="AJ566" s="2">
        <f>IF(tblHR[[#This Row],[Attrition]]="Yes",1,0)</f>
        <v>0</v>
      </c>
      <c r="AK566" t="str">
        <f>IF(tblHR[[#This Row],[Age]]&lt;26,"18-25",IF(tblHR[[#This Row],[Age]]&lt;36,"26-35",IF(tblHR[[#This Row],[Age]]&lt;46,"36-45",IF(tblHR[[#This Row],[Age]]&lt;56,"46-55","56+"))))</f>
        <v>36-45</v>
      </c>
    </row>
    <row r="567" spans="1:37"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s="1">
        <v>3505</v>
      </c>
      <c r="T567">
        <v>19630</v>
      </c>
      <c r="U567">
        <v>1</v>
      </c>
      <c r="V567" t="s">
        <v>42</v>
      </c>
      <c r="W567" t="s">
        <v>43</v>
      </c>
      <c r="X567">
        <v>18</v>
      </c>
      <c r="Y567">
        <v>3</v>
      </c>
      <c r="Z567">
        <v>4</v>
      </c>
      <c r="AA567">
        <v>80</v>
      </c>
      <c r="AB567">
        <v>0</v>
      </c>
      <c r="AC567">
        <v>2</v>
      </c>
      <c r="AD567">
        <v>3</v>
      </c>
      <c r="AE567">
        <v>3</v>
      </c>
      <c r="AF567">
        <v>2</v>
      </c>
      <c r="AG567">
        <v>2</v>
      </c>
      <c r="AH567">
        <v>0</v>
      </c>
      <c r="AI567">
        <v>2</v>
      </c>
      <c r="AJ567" s="2">
        <f>IF(tblHR[[#This Row],[Attrition]]="Yes",1,0)</f>
        <v>0</v>
      </c>
      <c r="AK567" t="str">
        <f>IF(tblHR[[#This Row],[Age]]&lt;26,"18-25",IF(tblHR[[#This Row],[Age]]&lt;36,"26-35",IF(tblHR[[#This Row],[Age]]&lt;46,"36-45",IF(tblHR[[#This Row],[Age]]&lt;56,"46-55","56+"))))</f>
        <v>18-25</v>
      </c>
    </row>
    <row r="568" spans="1:37"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s="1">
        <v>6397</v>
      </c>
      <c r="T568">
        <v>10339</v>
      </c>
      <c r="U568">
        <v>4</v>
      </c>
      <c r="V568" t="s">
        <v>42</v>
      </c>
      <c r="W568" t="s">
        <v>35</v>
      </c>
      <c r="X568">
        <v>12</v>
      </c>
      <c r="Y568">
        <v>3</v>
      </c>
      <c r="Z568">
        <v>4</v>
      </c>
      <c r="AA568">
        <v>80</v>
      </c>
      <c r="AB568">
        <v>0</v>
      </c>
      <c r="AC568">
        <v>8</v>
      </c>
      <c r="AD568">
        <v>2</v>
      </c>
      <c r="AE568">
        <v>3</v>
      </c>
      <c r="AF568">
        <v>5</v>
      </c>
      <c r="AG568">
        <v>4</v>
      </c>
      <c r="AH568">
        <v>1</v>
      </c>
      <c r="AI568">
        <v>3</v>
      </c>
      <c r="AJ568" s="2">
        <f>IF(tblHR[[#This Row],[Attrition]]="Yes",1,0)</f>
        <v>1</v>
      </c>
      <c r="AK568" t="str">
        <f>IF(tblHR[[#This Row],[Age]]&lt;26,"18-25",IF(tblHR[[#This Row],[Age]]&lt;36,"26-35",IF(tblHR[[#This Row],[Age]]&lt;46,"36-45",IF(tblHR[[#This Row],[Age]]&lt;56,"46-55","56+"))))</f>
        <v>46-55</v>
      </c>
    </row>
    <row r="569" spans="1:37"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s="1">
        <v>6274</v>
      </c>
      <c r="T569">
        <v>18686</v>
      </c>
      <c r="U569">
        <v>1</v>
      </c>
      <c r="V569" t="s">
        <v>42</v>
      </c>
      <c r="W569" t="s">
        <v>43</v>
      </c>
      <c r="X569">
        <v>22</v>
      </c>
      <c r="Y569">
        <v>4</v>
      </c>
      <c r="Z569">
        <v>3</v>
      </c>
      <c r="AA569">
        <v>80</v>
      </c>
      <c r="AB569">
        <v>0</v>
      </c>
      <c r="AC569">
        <v>6</v>
      </c>
      <c r="AD569">
        <v>5</v>
      </c>
      <c r="AE569">
        <v>3</v>
      </c>
      <c r="AF569">
        <v>6</v>
      </c>
      <c r="AG569">
        <v>5</v>
      </c>
      <c r="AH569">
        <v>1</v>
      </c>
      <c r="AI569">
        <v>4</v>
      </c>
      <c r="AJ569" s="2">
        <f>IF(tblHR[[#This Row],[Attrition]]="Yes",1,0)</f>
        <v>0</v>
      </c>
      <c r="AK569" t="str">
        <f>IF(tblHR[[#This Row],[Age]]&lt;26,"18-25",IF(tblHR[[#This Row],[Age]]&lt;36,"26-35",IF(tblHR[[#This Row],[Age]]&lt;46,"36-45",IF(tblHR[[#This Row],[Age]]&lt;56,"46-55","56+"))))</f>
        <v>26-35</v>
      </c>
    </row>
    <row r="570" spans="1:37"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s="1">
        <v>19859</v>
      </c>
      <c r="T570">
        <v>21199</v>
      </c>
      <c r="U570">
        <v>5</v>
      </c>
      <c r="V570" t="s">
        <v>42</v>
      </c>
      <c r="W570" t="s">
        <v>35</v>
      </c>
      <c r="X570">
        <v>13</v>
      </c>
      <c r="Y570">
        <v>3</v>
      </c>
      <c r="Z570">
        <v>4</v>
      </c>
      <c r="AA570">
        <v>80</v>
      </c>
      <c r="AB570">
        <v>1</v>
      </c>
      <c r="AC570">
        <v>24</v>
      </c>
      <c r="AD570">
        <v>2</v>
      </c>
      <c r="AE570">
        <v>3</v>
      </c>
      <c r="AF570">
        <v>5</v>
      </c>
      <c r="AG570">
        <v>2</v>
      </c>
      <c r="AH570">
        <v>1</v>
      </c>
      <c r="AI570">
        <v>4</v>
      </c>
      <c r="AJ570" s="2">
        <f>IF(tblHR[[#This Row],[Attrition]]="Yes",1,0)</f>
        <v>1</v>
      </c>
      <c r="AK570" t="str">
        <f>IF(tblHR[[#This Row],[Age]]&lt;26,"18-25",IF(tblHR[[#This Row],[Age]]&lt;36,"26-35",IF(tblHR[[#This Row],[Age]]&lt;46,"36-45",IF(tblHR[[#This Row],[Age]]&lt;56,"46-55","56+"))))</f>
        <v>46-55</v>
      </c>
    </row>
    <row r="571" spans="1:37"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s="1">
        <v>7587</v>
      </c>
      <c r="T571">
        <v>14229</v>
      </c>
      <c r="U571">
        <v>1</v>
      </c>
      <c r="V571" t="s">
        <v>42</v>
      </c>
      <c r="W571" t="s">
        <v>43</v>
      </c>
      <c r="X571">
        <v>15</v>
      </c>
      <c r="Y571">
        <v>3</v>
      </c>
      <c r="Z571">
        <v>2</v>
      </c>
      <c r="AA571">
        <v>80</v>
      </c>
      <c r="AB571">
        <v>0</v>
      </c>
      <c r="AC571">
        <v>10</v>
      </c>
      <c r="AD571">
        <v>1</v>
      </c>
      <c r="AE571">
        <v>3</v>
      </c>
      <c r="AF571">
        <v>10</v>
      </c>
      <c r="AG571">
        <v>7</v>
      </c>
      <c r="AH571">
        <v>0</v>
      </c>
      <c r="AI571">
        <v>9</v>
      </c>
      <c r="AJ571" s="2">
        <f>IF(tblHR[[#This Row],[Attrition]]="Yes",1,0)</f>
        <v>0</v>
      </c>
      <c r="AK571" t="str">
        <f>IF(tblHR[[#This Row],[Age]]&lt;26,"18-25",IF(tblHR[[#This Row],[Age]]&lt;36,"26-35",IF(tblHR[[#This Row],[Age]]&lt;46,"36-45",IF(tblHR[[#This Row],[Age]]&lt;56,"46-55","56+"))))</f>
        <v>36-45</v>
      </c>
    </row>
    <row r="572" spans="1:37"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s="1">
        <v>4258</v>
      </c>
      <c r="T572">
        <v>26589</v>
      </c>
      <c r="U572">
        <v>0</v>
      </c>
      <c r="V572" t="s">
        <v>42</v>
      </c>
      <c r="W572" t="s">
        <v>43</v>
      </c>
      <c r="X572">
        <v>18</v>
      </c>
      <c r="Y572">
        <v>3</v>
      </c>
      <c r="Z572">
        <v>1</v>
      </c>
      <c r="AA572">
        <v>80</v>
      </c>
      <c r="AB572">
        <v>1</v>
      </c>
      <c r="AC572">
        <v>5</v>
      </c>
      <c r="AD572">
        <v>3</v>
      </c>
      <c r="AE572">
        <v>3</v>
      </c>
      <c r="AF572">
        <v>4</v>
      </c>
      <c r="AG572">
        <v>3</v>
      </c>
      <c r="AH572">
        <v>1</v>
      </c>
      <c r="AI572">
        <v>2</v>
      </c>
      <c r="AJ572" s="2">
        <f>IF(tblHR[[#This Row],[Attrition]]="Yes",1,0)</f>
        <v>0</v>
      </c>
      <c r="AK572" t="str">
        <f>IF(tblHR[[#This Row],[Age]]&lt;26,"18-25",IF(tblHR[[#This Row],[Age]]&lt;36,"26-35",IF(tblHR[[#This Row],[Age]]&lt;46,"36-45",IF(tblHR[[#This Row],[Age]]&lt;56,"46-55","56+"))))</f>
        <v>46-55</v>
      </c>
    </row>
    <row r="573" spans="1:37"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s="1">
        <v>4364</v>
      </c>
      <c r="T573">
        <v>5288</v>
      </c>
      <c r="U573">
        <v>3</v>
      </c>
      <c r="V573" t="s">
        <v>42</v>
      </c>
      <c r="W573" t="s">
        <v>43</v>
      </c>
      <c r="X573">
        <v>14</v>
      </c>
      <c r="Y573">
        <v>3</v>
      </c>
      <c r="Z573">
        <v>1</v>
      </c>
      <c r="AA573">
        <v>80</v>
      </c>
      <c r="AB573">
        <v>1</v>
      </c>
      <c r="AC573">
        <v>5</v>
      </c>
      <c r="AD573">
        <v>2</v>
      </c>
      <c r="AE573">
        <v>3</v>
      </c>
      <c r="AF573">
        <v>2</v>
      </c>
      <c r="AG573">
        <v>2</v>
      </c>
      <c r="AH573">
        <v>2</v>
      </c>
      <c r="AI573">
        <v>0</v>
      </c>
      <c r="AJ573" s="2">
        <f>IF(tblHR[[#This Row],[Attrition]]="Yes",1,0)</f>
        <v>0</v>
      </c>
      <c r="AK573" t="str">
        <f>IF(tblHR[[#This Row],[Age]]&lt;26,"18-25",IF(tblHR[[#This Row],[Age]]&lt;36,"26-35",IF(tblHR[[#This Row],[Age]]&lt;46,"36-45",IF(tblHR[[#This Row],[Age]]&lt;56,"46-55","56+"))))</f>
        <v>26-35</v>
      </c>
    </row>
    <row r="574" spans="1:37"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s="1">
        <v>4335</v>
      </c>
      <c r="T574">
        <v>25549</v>
      </c>
      <c r="U574">
        <v>4</v>
      </c>
      <c r="V574" t="s">
        <v>42</v>
      </c>
      <c r="W574" t="s">
        <v>43</v>
      </c>
      <c r="X574">
        <v>12</v>
      </c>
      <c r="Y574">
        <v>3</v>
      </c>
      <c r="Z574">
        <v>1</v>
      </c>
      <c r="AA574">
        <v>80</v>
      </c>
      <c r="AB574">
        <v>1</v>
      </c>
      <c r="AC574">
        <v>11</v>
      </c>
      <c r="AD574">
        <v>3</v>
      </c>
      <c r="AE574">
        <v>2</v>
      </c>
      <c r="AF574">
        <v>8</v>
      </c>
      <c r="AG574">
        <v>7</v>
      </c>
      <c r="AH574">
        <v>1</v>
      </c>
      <c r="AI574">
        <v>1</v>
      </c>
      <c r="AJ574" s="2">
        <f>IF(tblHR[[#This Row],[Attrition]]="Yes",1,0)</f>
        <v>0</v>
      </c>
      <c r="AK574" t="str">
        <f>IF(tblHR[[#This Row],[Age]]&lt;26,"18-25",IF(tblHR[[#This Row],[Age]]&lt;36,"26-35",IF(tblHR[[#This Row],[Age]]&lt;46,"36-45",IF(tblHR[[#This Row],[Age]]&lt;56,"46-55","56+"))))</f>
        <v>26-35</v>
      </c>
    </row>
    <row r="575" spans="1:37"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s="1">
        <v>5326</v>
      </c>
      <c r="T575">
        <v>3064</v>
      </c>
      <c r="U575">
        <v>6</v>
      </c>
      <c r="V575" t="s">
        <v>42</v>
      </c>
      <c r="W575" t="s">
        <v>43</v>
      </c>
      <c r="X575">
        <v>17</v>
      </c>
      <c r="Y575">
        <v>3</v>
      </c>
      <c r="Z575">
        <v>3</v>
      </c>
      <c r="AA575">
        <v>80</v>
      </c>
      <c r="AB575">
        <v>0</v>
      </c>
      <c r="AC575">
        <v>6</v>
      </c>
      <c r="AD575">
        <v>2</v>
      </c>
      <c r="AE575">
        <v>2</v>
      </c>
      <c r="AF575">
        <v>4</v>
      </c>
      <c r="AG575">
        <v>3</v>
      </c>
      <c r="AH575">
        <v>1</v>
      </c>
      <c r="AI575">
        <v>2</v>
      </c>
      <c r="AJ575" s="2">
        <f>IF(tblHR[[#This Row],[Attrition]]="Yes",1,0)</f>
        <v>1</v>
      </c>
      <c r="AK575" t="str">
        <f>IF(tblHR[[#This Row],[Age]]&lt;26,"18-25",IF(tblHR[[#This Row],[Age]]&lt;36,"26-35",IF(tblHR[[#This Row],[Age]]&lt;46,"36-45",IF(tblHR[[#This Row],[Age]]&lt;56,"46-55","56+"))))</f>
        <v>26-35</v>
      </c>
    </row>
    <row r="576" spans="1:37"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s="1">
        <v>3280</v>
      </c>
      <c r="T576">
        <v>13551</v>
      </c>
      <c r="U576">
        <v>2</v>
      </c>
      <c r="V576" t="s">
        <v>42</v>
      </c>
      <c r="W576" t="s">
        <v>43</v>
      </c>
      <c r="X576">
        <v>16</v>
      </c>
      <c r="Y576">
        <v>3</v>
      </c>
      <c r="Z576">
        <v>3</v>
      </c>
      <c r="AA576">
        <v>80</v>
      </c>
      <c r="AB576">
        <v>0</v>
      </c>
      <c r="AC576">
        <v>10</v>
      </c>
      <c r="AD576">
        <v>2</v>
      </c>
      <c r="AE576">
        <v>3</v>
      </c>
      <c r="AF576">
        <v>4</v>
      </c>
      <c r="AG576">
        <v>2</v>
      </c>
      <c r="AH576">
        <v>1</v>
      </c>
      <c r="AI576">
        <v>3</v>
      </c>
      <c r="AJ576" s="2">
        <f>IF(tblHR[[#This Row],[Attrition]]="Yes",1,0)</f>
        <v>0</v>
      </c>
      <c r="AK576" t="str">
        <f>IF(tblHR[[#This Row],[Age]]&lt;26,"18-25",IF(tblHR[[#This Row],[Age]]&lt;36,"26-35",IF(tblHR[[#This Row],[Age]]&lt;46,"36-45",IF(tblHR[[#This Row],[Age]]&lt;56,"46-55","56+"))))</f>
        <v>26-35</v>
      </c>
    </row>
    <row r="577" spans="1:37"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s="1">
        <v>5485</v>
      </c>
      <c r="T577">
        <v>22670</v>
      </c>
      <c r="U577">
        <v>9</v>
      </c>
      <c r="V577" t="s">
        <v>42</v>
      </c>
      <c r="W577" t="s">
        <v>35</v>
      </c>
      <c r="X577">
        <v>11</v>
      </c>
      <c r="Y577">
        <v>3</v>
      </c>
      <c r="Z577">
        <v>2</v>
      </c>
      <c r="AA577">
        <v>80</v>
      </c>
      <c r="AB577">
        <v>2</v>
      </c>
      <c r="AC577">
        <v>9</v>
      </c>
      <c r="AD577">
        <v>4</v>
      </c>
      <c r="AE577">
        <v>3</v>
      </c>
      <c r="AF577">
        <v>5</v>
      </c>
      <c r="AG577">
        <v>3</v>
      </c>
      <c r="AH577">
        <v>1</v>
      </c>
      <c r="AI577">
        <v>4</v>
      </c>
      <c r="AJ577" s="2">
        <f>IF(tblHR[[#This Row],[Attrition]]="Yes",1,0)</f>
        <v>0</v>
      </c>
      <c r="AK577" t="str">
        <f>IF(tblHR[[#This Row],[Age]]&lt;26,"18-25",IF(tblHR[[#This Row],[Age]]&lt;36,"26-35",IF(tblHR[[#This Row],[Age]]&lt;46,"36-45",IF(tblHR[[#This Row],[Age]]&lt;56,"46-55","56+"))))</f>
        <v>46-55</v>
      </c>
    </row>
    <row r="578" spans="1:37"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s="1">
        <v>4342</v>
      </c>
      <c r="T578">
        <v>24008</v>
      </c>
      <c r="U578">
        <v>0</v>
      </c>
      <c r="V578" t="s">
        <v>42</v>
      </c>
      <c r="W578" t="s">
        <v>43</v>
      </c>
      <c r="X578">
        <v>19</v>
      </c>
      <c r="Y578">
        <v>3</v>
      </c>
      <c r="Z578">
        <v>2</v>
      </c>
      <c r="AA578">
        <v>80</v>
      </c>
      <c r="AB578">
        <v>1</v>
      </c>
      <c r="AC578">
        <v>5</v>
      </c>
      <c r="AD578">
        <v>3</v>
      </c>
      <c r="AE578">
        <v>3</v>
      </c>
      <c r="AF578">
        <v>4</v>
      </c>
      <c r="AG578">
        <v>2</v>
      </c>
      <c r="AH578">
        <v>1</v>
      </c>
      <c r="AI578">
        <v>1</v>
      </c>
      <c r="AJ578" s="2">
        <f>IF(tblHR[[#This Row],[Attrition]]="Yes",1,0)</f>
        <v>0</v>
      </c>
      <c r="AK578" t="str">
        <f>IF(tblHR[[#This Row],[Age]]&lt;26,"18-25",IF(tblHR[[#This Row],[Age]]&lt;36,"26-35",IF(tblHR[[#This Row],[Age]]&lt;46,"36-45",IF(tblHR[[#This Row],[Age]]&lt;56,"46-55","56+"))))</f>
        <v>26-35</v>
      </c>
    </row>
    <row r="579" spans="1:37"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s="1">
        <v>2782</v>
      </c>
      <c r="T579">
        <v>19905</v>
      </c>
      <c r="U579">
        <v>0</v>
      </c>
      <c r="V579" t="s">
        <v>42</v>
      </c>
      <c r="W579" t="s">
        <v>35</v>
      </c>
      <c r="X579">
        <v>13</v>
      </c>
      <c r="Y579">
        <v>3</v>
      </c>
      <c r="Z579">
        <v>2</v>
      </c>
      <c r="AA579">
        <v>80</v>
      </c>
      <c r="AB579">
        <v>2</v>
      </c>
      <c r="AC579">
        <v>6</v>
      </c>
      <c r="AD579">
        <v>3</v>
      </c>
      <c r="AE579">
        <v>2</v>
      </c>
      <c r="AF579">
        <v>5</v>
      </c>
      <c r="AG579">
        <v>3</v>
      </c>
      <c r="AH579">
        <v>4</v>
      </c>
      <c r="AI579">
        <v>3</v>
      </c>
      <c r="AJ579" s="2">
        <f>IF(tblHR[[#This Row],[Attrition]]="Yes",1,0)</f>
        <v>0</v>
      </c>
      <c r="AK579" t="str">
        <f>IF(tblHR[[#This Row],[Age]]&lt;26,"18-25",IF(tblHR[[#This Row],[Age]]&lt;36,"26-35",IF(tblHR[[#This Row],[Age]]&lt;46,"36-45",IF(tblHR[[#This Row],[Age]]&lt;56,"46-55","56+"))))</f>
        <v>36-45</v>
      </c>
    </row>
    <row r="580" spans="1:37"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s="1">
        <v>5980</v>
      </c>
      <c r="T580">
        <v>26085</v>
      </c>
      <c r="U580">
        <v>6</v>
      </c>
      <c r="V580" t="s">
        <v>42</v>
      </c>
      <c r="W580" t="s">
        <v>35</v>
      </c>
      <c r="X580">
        <v>12</v>
      </c>
      <c r="Y580">
        <v>3</v>
      </c>
      <c r="Z580">
        <v>4</v>
      </c>
      <c r="AA580">
        <v>80</v>
      </c>
      <c r="AB580">
        <v>0</v>
      </c>
      <c r="AC580">
        <v>17</v>
      </c>
      <c r="AD580">
        <v>2</v>
      </c>
      <c r="AE580">
        <v>3</v>
      </c>
      <c r="AF580">
        <v>15</v>
      </c>
      <c r="AG580">
        <v>7</v>
      </c>
      <c r="AH580">
        <v>4</v>
      </c>
      <c r="AI580">
        <v>12</v>
      </c>
      <c r="AJ580" s="2">
        <f>IF(tblHR[[#This Row],[Attrition]]="Yes",1,0)</f>
        <v>0</v>
      </c>
      <c r="AK580" t="str">
        <f>IF(tblHR[[#This Row],[Age]]&lt;26,"18-25",IF(tblHR[[#This Row],[Age]]&lt;36,"26-35",IF(tblHR[[#This Row],[Age]]&lt;46,"36-45",IF(tblHR[[#This Row],[Age]]&lt;56,"46-55","56+"))))</f>
        <v>36-45</v>
      </c>
    </row>
    <row r="581" spans="1:37"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s="1">
        <v>4381</v>
      </c>
      <c r="T581">
        <v>7530</v>
      </c>
      <c r="U581">
        <v>1</v>
      </c>
      <c r="V581" t="s">
        <v>42</v>
      </c>
      <c r="W581" t="s">
        <v>43</v>
      </c>
      <c r="X581">
        <v>11</v>
      </c>
      <c r="Y581">
        <v>3</v>
      </c>
      <c r="Z581">
        <v>3</v>
      </c>
      <c r="AA581">
        <v>80</v>
      </c>
      <c r="AB581">
        <v>0</v>
      </c>
      <c r="AC581">
        <v>6</v>
      </c>
      <c r="AD581">
        <v>3</v>
      </c>
      <c r="AE581">
        <v>3</v>
      </c>
      <c r="AF581">
        <v>6</v>
      </c>
      <c r="AG581">
        <v>5</v>
      </c>
      <c r="AH581">
        <v>1</v>
      </c>
      <c r="AI581">
        <v>3</v>
      </c>
      <c r="AJ581" s="2">
        <f>IF(tblHR[[#This Row],[Attrition]]="Yes",1,0)</f>
        <v>0</v>
      </c>
      <c r="AK581" t="str">
        <f>IF(tblHR[[#This Row],[Age]]&lt;26,"18-25",IF(tblHR[[#This Row],[Age]]&lt;36,"26-35",IF(tblHR[[#This Row],[Age]]&lt;46,"36-45",IF(tblHR[[#This Row],[Age]]&lt;56,"46-55","56+"))))</f>
        <v>26-35</v>
      </c>
    </row>
    <row r="582" spans="1:37"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s="1">
        <v>2572</v>
      </c>
      <c r="T582">
        <v>20317</v>
      </c>
      <c r="U582">
        <v>1</v>
      </c>
      <c r="V582" t="s">
        <v>42</v>
      </c>
      <c r="W582" t="s">
        <v>43</v>
      </c>
      <c r="X582">
        <v>16</v>
      </c>
      <c r="Y582">
        <v>3</v>
      </c>
      <c r="Z582">
        <v>2</v>
      </c>
      <c r="AA582">
        <v>80</v>
      </c>
      <c r="AB582">
        <v>1</v>
      </c>
      <c r="AC582">
        <v>3</v>
      </c>
      <c r="AD582">
        <v>1</v>
      </c>
      <c r="AE582">
        <v>2</v>
      </c>
      <c r="AF582">
        <v>3</v>
      </c>
      <c r="AG582">
        <v>2</v>
      </c>
      <c r="AH582">
        <v>0</v>
      </c>
      <c r="AI582">
        <v>2</v>
      </c>
      <c r="AJ582" s="2">
        <f>IF(tblHR[[#This Row],[Attrition]]="Yes",1,0)</f>
        <v>0</v>
      </c>
      <c r="AK582" t="str">
        <f>IF(tblHR[[#This Row],[Age]]&lt;26,"18-25",IF(tblHR[[#This Row],[Age]]&lt;36,"26-35",IF(tblHR[[#This Row],[Age]]&lt;46,"36-45",IF(tblHR[[#This Row],[Age]]&lt;56,"46-55","56+"))))</f>
        <v>26-35</v>
      </c>
    </row>
    <row r="583" spans="1:37"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s="1">
        <v>3833</v>
      </c>
      <c r="T583">
        <v>24375</v>
      </c>
      <c r="U583">
        <v>3</v>
      </c>
      <c r="V583" t="s">
        <v>42</v>
      </c>
      <c r="W583" t="s">
        <v>43</v>
      </c>
      <c r="X583">
        <v>21</v>
      </c>
      <c r="Y583">
        <v>4</v>
      </c>
      <c r="Z583">
        <v>3</v>
      </c>
      <c r="AA583">
        <v>80</v>
      </c>
      <c r="AB583">
        <v>2</v>
      </c>
      <c r="AC583">
        <v>7</v>
      </c>
      <c r="AD583">
        <v>2</v>
      </c>
      <c r="AE583">
        <v>3</v>
      </c>
      <c r="AF583">
        <v>2</v>
      </c>
      <c r="AG583">
        <v>2</v>
      </c>
      <c r="AH583">
        <v>0</v>
      </c>
      <c r="AI583">
        <v>2</v>
      </c>
      <c r="AJ583" s="2">
        <f>IF(tblHR[[#This Row],[Attrition]]="Yes",1,0)</f>
        <v>0</v>
      </c>
      <c r="AK583" t="str">
        <f>IF(tblHR[[#This Row],[Age]]&lt;26,"18-25",IF(tblHR[[#This Row],[Age]]&lt;36,"26-35",IF(tblHR[[#This Row],[Age]]&lt;46,"36-45",IF(tblHR[[#This Row],[Age]]&lt;56,"46-55","56+"))))</f>
        <v>26-35</v>
      </c>
    </row>
    <row r="584" spans="1:37"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s="1">
        <v>4244</v>
      </c>
      <c r="T584">
        <v>9931</v>
      </c>
      <c r="U584">
        <v>1</v>
      </c>
      <c r="V584" t="s">
        <v>42</v>
      </c>
      <c r="W584" t="s">
        <v>43</v>
      </c>
      <c r="X584">
        <v>24</v>
      </c>
      <c r="Y584">
        <v>4</v>
      </c>
      <c r="Z584">
        <v>4</v>
      </c>
      <c r="AA584">
        <v>80</v>
      </c>
      <c r="AB584">
        <v>1</v>
      </c>
      <c r="AC584">
        <v>8</v>
      </c>
      <c r="AD584">
        <v>2</v>
      </c>
      <c r="AE584">
        <v>3</v>
      </c>
      <c r="AF584">
        <v>8</v>
      </c>
      <c r="AG584">
        <v>7</v>
      </c>
      <c r="AH584">
        <v>3</v>
      </c>
      <c r="AI584">
        <v>7</v>
      </c>
      <c r="AJ584" s="2">
        <f>IF(tblHR[[#This Row],[Attrition]]="Yes",1,0)</f>
        <v>0</v>
      </c>
      <c r="AK584" t="str">
        <f>IF(tblHR[[#This Row],[Age]]&lt;26,"18-25",IF(tblHR[[#This Row],[Age]]&lt;36,"26-35",IF(tblHR[[#This Row],[Age]]&lt;46,"36-45",IF(tblHR[[#This Row],[Age]]&lt;56,"46-55","56+"))))</f>
        <v>36-45</v>
      </c>
    </row>
    <row r="585" spans="1:37"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s="1">
        <v>6500</v>
      </c>
      <c r="T585">
        <v>13305</v>
      </c>
      <c r="U585">
        <v>5</v>
      </c>
      <c r="V585" t="s">
        <v>42</v>
      </c>
      <c r="W585" t="s">
        <v>43</v>
      </c>
      <c r="X585">
        <v>17</v>
      </c>
      <c r="Y585">
        <v>3</v>
      </c>
      <c r="Z585">
        <v>2</v>
      </c>
      <c r="AA585">
        <v>80</v>
      </c>
      <c r="AB585">
        <v>1</v>
      </c>
      <c r="AC585">
        <v>6</v>
      </c>
      <c r="AD585">
        <v>1</v>
      </c>
      <c r="AE585">
        <v>3</v>
      </c>
      <c r="AF585">
        <v>3</v>
      </c>
      <c r="AG585">
        <v>2</v>
      </c>
      <c r="AH585">
        <v>1</v>
      </c>
      <c r="AI585">
        <v>2</v>
      </c>
      <c r="AJ585" s="2">
        <f>IF(tblHR[[#This Row],[Attrition]]="Yes",1,0)</f>
        <v>0</v>
      </c>
      <c r="AK585" t="str">
        <f>IF(tblHR[[#This Row],[Age]]&lt;26,"18-25",IF(tblHR[[#This Row],[Age]]&lt;36,"26-35",IF(tblHR[[#This Row],[Age]]&lt;46,"36-45",IF(tblHR[[#This Row],[Age]]&lt;56,"46-55","56+"))))</f>
        <v>26-35</v>
      </c>
    </row>
    <row r="586" spans="1:37"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s="1">
        <v>18430</v>
      </c>
      <c r="T586">
        <v>16225</v>
      </c>
      <c r="U586">
        <v>1</v>
      </c>
      <c r="V586" t="s">
        <v>42</v>
      </c>
      <c r="W586" t="s">
        <v>43</v>
      </c>
      <c r="X586">
        <v>13</v>
      </c>
      <c r="Y586">
        <v>3</v>
      </c>
      <c r="Z586">
        <v>2</v>
      </c>
      <c r="AA586">
        <v>80</v>
      </c>
      <c r="AB586">
        <v>1</v>
      </c>
      <c r="AC586">
        <v>24</v>
      </c>
      <c r="AD586">
        <v>4</v>
      </c>
      <c r="AE586">
        <v>2</v>
      </c>
      <c r="AF586">
        <v>24</v>
      </c>
      <c r="AG586">
        <v>7</v>
      </c>
      <c r="AH586">
        <v>14</v>
      </c>
      <c r="AI586">
        <v>9</v>
      </c>
      <c r="AJ586" s="2">
        <f>IF(tblHR[[#This Row],[Attrition]]="Yes",1,0)</f>
        <v>0</v>
      </c>
      <c r="AK586" t="str">
        <f>IF(tblHR[[#This Row],[Age]]&lt;26,"18-25",IF(tblHR[[#This Row],[Age]]&lt;36,"26-35",IF(tblHR[[#This Row],[Age]]&lt;46,"36-45",IF(tblHR[[#This Row],[Age]]&lt;56,"46-55","56+"))))</f>
        <v>36-45</v>
      </c>
    </row>
    <row r="587" spans="1:37"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s="1">
        <v>1601</v>
      </c>
      <c r="T587">
        <v>3445</v>
      </c>
      <c r="U587">
        <v>1</v>
      </c>
      <c r="V587" t="s">
        <v>42</v>
      </c>
      <c r="W587" t="s">
        <v>35</v>
      </c>
      <c r="X587">
        <v>21</v>
      </c>
      <c r="Y587">
        <v>4</v>
      </c>
      <c r="Z587">
        <v>3</v>
      </c>
      <c r="AA587">
        <v>80</v>
      </c>
      <c r="AB587">
        <v>2</v>
      </c>
      <c r="AC587">
        <v>1</v>
      </c>
      <c r="AD587">
        <v>2</v>
      </c>
      <c r="AE587">
        <v>3</v>
      </c>
      <c r="AF587">
        <v>0</v>
      </c>
      <c r="AG587">
        <v>0</v>
      </c>
      <c r="AH587">
        <v>0</v>
      </c>
      <c r="AI587">
        <v>0</v>
      </c>
      <c r="AJ587" s="2">
        <f>IF(tblHR[[#This Row],[Attrition]]="Yes",1,0)</f>
        <v>1</v>
      </c>
      <c r="AK587" t="str">
        <f>IF(tblHR[[#This Row],[Age]]&lt;26,"18-25",IF(tblHR[[#This Row],[Age]]&lt;36,"26-35",IF(tblHR[[#This Row],[Age]]&lt;46,"36-45",IF(tblHR[[#This Row],[Age]]&lt;56,"46-55","56+"))))</f>
        <v>18-25</v>
      </c>
    </row>
    <row r="588" spans="1:37"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s="1">
        <v>2694</v>
      </c>
      <c r="T588">
        <v>26551</v>
      </c>
      <c r="U588">
        <v>1</v>
      </c>
      <c r="V588" t="s">
        <v>42</v>
      </c>
      <c r="W588" t="s">
        <v>43</v>
      </c>
      <c r="X588">
        <v>11</v>
      </c>
      <c r="Y588">
        <v>3</v>
      </c>
      <c r="Z588">
        <v>3</v>
      </c>
      <c r="AA588">
        <v>80</v>
      </c>
      <c r="AB588">
        <v>3</v>
      </c>
      <c r="AC588">
        <v>1</v>
      </c>
      <c r="AD588">
        <v>4</v>
      </c>
      <c r="AE588">
        <v>3</v>
      </c>
      <c r="AF588">
        <v>1</v>
      </c>
      <c r="AG588">
        <v>0</v>
      </c>
      <c r="AH588">
        <v>0</v>
      </c>
      <c r="AI588">
        <v>0</v>
      </c>
      <c r="AJ588" s="2">
        <f>IF(tblHR[[#This Row],[Attrition]]="Yes",1,0)</f>
        <v>0</v>
      </c>
      <c r="AK588" t="str">
        <f>IF(tblHR[[#This Row],[Age]]&lt;26,"18-25",IF(tblHR[[#This Row],[Age]]&lt;36,"26-35",IF(tblHR[[#This Row],[Age]]&lt;46,"36-45",IF(tblHR[[#This Row],[Age]]&lt;56,"46-55","56+"))))</f>
        <v>18-25</v>
      </c>
    </row>
    <row r="589" spans="1:37"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s="1">
        <v>3149</v>
      </c>
      <c r="T589">
        <v>21821</v>
      </c>
      <c r="U589">
        <v>8</v>
      </c>
      <c r="V589" t="s">
        <v>42</v>
      </c>
      <c r="W589" t="s">
        <v>43</v>
      </c>
      <c r="X589">
        <v>20</v>
      </c>
      <c r="Y589">
        <v>4</v>
      </c>
      <c r="Z589">
        <v>2</v>
      </c>
      <c r="AA589">
        <v>80</v>
      </c>
      <c r="AB589">
        <v>1</v>
      </c>
      <c r="AC589">
        <v>9</v>
      </c>
      <c r="AD589">
        <v>3</v>
      </c>
      <c r="AE589">
        <v>3</v>
      </c>
      <c r="AF589">
        <v>5</v>
      </c>
      <c r="AG589">
        <v>2</v>
      </c>
      <c r="AH589">
        <v>1</v>
      </c>
      <c r="AI589">
        <v>4</v>
      </c>
      <c r="AJ589" s="2">
        <f>IF(tblHR[[#This Row],[Attrition]]="Yes",1,0)</f>
        <v>0</v>
      </c>
      <c r="AK589" t="str">
        <f>IF(tblHR[[#This Row],[Age]]&lt;26,"18-25",IF(tblHR[[#This Row],[Age]]&lt;36,"26-35",IF(tblHR[[#This Row],[Age]]&lt;46,"36-45",IF(tblHR[[#This Row],[Age]]&lt;56,"46-55","56+"))))</f>
        <v>46-55</v>
      </c>
    </row>
    <row r="590" spans="1:37"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s="1">
        <v>17639</v>
      </c>
      <c r="T590">
        <v>6881</v>
      </c>
      <c r="U590">
        <v>5</v>
      </c>
      <c r="V590" t="s">
        <v>42</v>
      </c>
      <c r="W590" t="s">
        <v>43</v>
      </c>
      <c r="X590">
        <v>16</v>
      </c>
      <c r="Y590">
        <v>3</v>
      </c>
      <c r="Z590">
        <v>4</v>
      </c>
      <c r="AA590">
        <v>80</v>
      </c>
      <c r="AB590">
        <v>0</v>
      </c>
      <c r="AC590">
        <v>30</v>
      </c>
      <c r="AD590">
        <v>3</v>
      </c>
      <c r="AE590">
        <v>3</v>
      </c>
      <c r="AF590">
        <v>4</v>
      </c>
      <c r="AG590">
        <v>3</v>
      </c>
      <c r="AH590">
        <v>0</v>
      </c>
      <c r="AI590">
        <v>3</v>
      </c>
      <c r="AJ590" s="2">
        <f>IF(tblHR[[#This Row],[Attrition]]="Yes",1,0)</f>
        <v>0</v>
      </c>
      <c r="AK590" t="str">
        <f>IF(tblHR[[#This Row],[Age]]&lt;26,"18-25",IF(tblHR[[#This Row],[Age]]&lt;36,"26-35",IF(tblHR[[#This Row],[Age]]&lt;46,"36-45",IF(tblHR[[#This Row],[Age]]&lt;56,"46-55","56+"))))</f>
        <v>46-55</v>
      </c>
    </row>
    <row r="591" spans="1:37"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s="1">
        <v>2319</v>
      </c>
      <c r="T591">
        <v>6689</v>
      </c>
      <c r="U591">
        <v>1</v>
      </c>
      <c r="V591" t="s">
        <v>42</v>
      </c>
      <c r="W591" t="s">
        <v>35</v>
      </c>
      <c r="X591">
        <v>11</v>
      </c>
      <c r="Y591">
        <v>3</v>
      </c>
      <c r="Z591">
        <v>4</v>
      </c>
      <c r="AA591">
        <v>80</v>
      </c>
      <c r="AB591">
        <v>1</v>
      </c>
      <c r="AC591">
        <v>1</v>
      </c>
      <c r="AD591">
        <v>1</v>
      </c>
      <c r="AE591">
        <v>3</v>
      </c>
      <c r="AF591">
        <v>1</v>
      </c>
      <c r="AG591">
        <v>0</v>
      </c>
      <c r="AH591">
        <v>0</v>
      </c>
      <c r="AI591">
        <v>0</v>
      </c>
      <c r="AJ591" s="2">
        <f>IF(tblHR[[#This Row],[Attrition]]="Yes",1,0)</f>
        <v>1</v>
      </c>
      <c r="AK591" t="str">
        <f>IF(tblHR[[#This Row],[Age]]&lt;26,"18-25",IF(tblHR[[#This Row],[Age]]&lt;36,"26-35",IF(tblHR[[#This Row],[Age]]&lt;46,"36-45",IF(tblHR[[#This Row],[Age]]&lt;56,"46-55","56+"))))</f>
        <v>26-35</v>
      </c>
    </row>
    <row r="592" spans="1:37"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s="1">
        <v>11691</v>
      </c>
      <c r="T592">
        <v>25995</v>
      </c>
      <c r="U592">
        <v>0</v>
      </c>
      <c r="V592" t="s">
        <v>42</v>
      </c>
      <c r="W592" t="s">
        <v>43</v>
      </c>
      <c r="X592">
        <v>11</v>
      </c>
      <c r="Y592">
        <v>3</v>
      </c>
      <c r="Z592">
        <v>4</v>
      </c>
      <c r="AA592">
        <v>80</v>
      </c>
      <c r="AB592">
        <v>0</v>
      </c>
      <c r="AC592">
        <v>14</v>
      </c>
      <c r="AD592">
        <v>3</v>
      </c>
      <c r="AE592">
        <v>4</v>
      </c>
      <c r="AF592">
        <v>13</v>
      </c>
      <c r="AG592">
        <v>9</v>
      </c>
      <c r="AH592">
        <v>3</v>
      </c>
      <c r="AI592">
        <v>7</v>
      </c>
      <c r="AJ592" s="2">
        <f>IF(tblHR[[#This Row],[Attrition]]="Yes",1,0)</f>
        <v>0</v>
      </c>
      <c r="AK592" t="str">
        <f>IF(tblHR[[#This Row],[Age]]&lt;26,"18-25",IF(tblHR[[#This Row],[Age]]&lt;36,"26-35",IF(tblHR[[#This Row],[Age]]&lt;46,"36-45",IF(tblHR[[#This Row],[Age]]&lt;56,"46-55","56+"))))</f>
        <v>26-35</v>
      </c>
    </row>
    <row r="593" spans="1:37"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s="1">
        <v>5324</v>
      </c>
      <c r="T593">
        <v>26507</v>
      </c>
      <c r="U593">
        <v>5</v>
      </c>
      <c r="V593" t="s">
        <v>42</v>
      </c>
      <c r="W593" t="s">
        <v>43</v>
      </c>
      <c r="X593">
        <v>15</v>
      </c>
      <c r="Y593">
        <v>3</v>
      </c>
      <c r="Z593">
        <v>3</v>
      </c>
      <c r="AA593">
        <v>80</v>
      </c>
      <c r="AB593">
        <v>0</v>
      </c>
      <c r="AC593">
        <v>6</v>
      </c>
      <c r="AD593">
        <v>3</v>
      </c>
      <c r="AE593">
        <v>3</v>
      </c>
      <c r="AF593">
        <v>3</v>
      </c>
      <c r="AG593">
        <v>2</v>
      </c>
      <c r="AH593">
        <v>0</v>
      </c>
      <c r="AI593">
        <v>2</v>
      </c>
      <c r="AJ593" s="2">
        <f>IF(tblHR[[#This Row],[Attrition]]="Yes",1,0)</f>
        <v>1</v>
      </c>
      <c r="AK593" t="str">
        <f>IF(tblHR[[#This Row],[Age]]&lt;26,"18-25",IF(tblHR[[#This Row],[Age]]&lt;36,"26-35",IF(tblHR[[#This Row],[Age]]&lt;46,"36-45",IF(tblHR[[#This Row],[Age]]&lt;56,"46-55","56+"))))</f>
        <v>26-35</v>
      </c>
    </row>
    <row r="594" spans="1:37"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s="1">
        <v>16752</v>
      </c>
      <c r="T594">
        <v>12982</v>
      </c>
      <c r="U594">
        <v>1</v>
      </c>
      <c r="V594" t="s">
        <v>42</v>
      </c>
      <c r="W594" t="s">
        <v>35</v>
      </c>
      <c r="X594">
        <v>11</v>
      </c>
      <c r="Y594">
        <v>3</v>
      </c>
      <c r="Z594">
        <v>3</v>
      </c>
      <c r="AA594">
        <v>80</v>
      </c>
      <c r="AB594">
        <v>1</v>
      </c>
      <c r="AC594">
        <v>26</v>
      </c>
      <c r="AD594">
        <v>3</v>
      </c>
      <c r="AE594">
        <v>2</v>
      </c>
      <c r="AF594">
        <v>26</v>
      </c>
      <c r="AG594">
        <v>14</v>
      </c>
      <c r="AH594">
        <v>3</v>
      </c>
      <c r="AI594">
        <v>0</v>
      </c>
      <c r="AJ594" s="2">
        <f>IF(tblHR[[#This Row],[Attrition]]="Yes",1,0)</f>
        <v>0</v>
      </c>
      <c r="AK594" t="str">
        <f>IF(tblHR[[#This Row],[Age]]&lt;26,"18-25",IF(tblHR[[#This Row],[Age]]&lt;36,"26-35",IF(tblHR[[#This Row],[Age]]&lt;46,"36-45",IF(tblHR[[#This Row],[Age]]&lt;56,"46-55","56+"))))</f>
        <v>46-55</v>
      </c>
    </row>
    <row r="595" spans="1:37"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s="1">
        <v>5228</v>
      </c>
      <c r="T595">
        <v>23361</v>
      </c>
      <c r="U595">
        <v>0</v>
      </c>
      <c r="V595" t="s">
        <v>42</v>
      </c>
      <c r="W595" t="s">
        <v>43</v>
      </c>
      <c r="X595">
        <v>15</v>
      </c>
      <c r="Y595">
        <v>3</v>
      </c>
      <c r="Z595">
        <v>1</v>
      </c>
      <c r="AA595">
        <v>80</v>
      </c>
      <c r="AB595">
        <v>1</v>
      </c>
      <c r="AC595">
        <v>10</v>
      </c>
      <c r="AD595">
        <v>2</v>
      </c>
      <c r="AE595">
        <v>3</v>
      </c>
      <c r="AF595">
        <v>9</v>
      </c>
      <c r="AG595">
        <v>7</v>
      </c>
      <c r="AH595">
        <v>0</v>
      </c>
      <c r="AI595">
        <v>5</v>
      </c>
      <c r="AJ595" s="2">
        <f>IF(tblHR[[#This Row],[Attrition]]="Yes",1,0)</f>
        <v>0</v>
      </c>
      <c r="AK595" t="str">
        <f>IF(tblHR[[#This Row],[Age]]&lt;26,"18-25",IF(tblHR[[#This Row],[Age]]&lt;36,"26-35",IF(tblHR[[#This Row],[Age]]&lt;46,"36-45",IF(tblHR[[#This Row],[Age]]&lt;56,"46-55","56+"))))</f>
        <v>36-45</v>
      </c>
    </row>
    <row r="596" spans="1:37"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s="1">
        <v>2700</v>
      </c>
      <c r="T596">
        <v>23779</v>
      </c>
      <c r="U596">
        <v>1</v>
      </c>
      <c r="V596" t="s">
        <v>42</v>
      </c>
      <c r="W596" t="s">
        <v>43</v>
      </c>
      <c r="X596">
        <v>24</v>
      </c>
      <c r="Y596">
        <v>4</v>
      </c>
      <c r="Z596">
        <v>3</v>
      </c>
      <c r="AA596">
        <v>80</v>
      </c>
      <c r="AB596">
        <v>1</v>
      </c>
      <c r="AC596">
        <v>10</v>
      </c>
      <c r="AD596">
        <v>3</v>
      </c>
      <c r="AE596">
        <v>3</v>
      </c>
      <c r="AF596">
        <v>10</v>
      </c>
      <c r="AG596">
        <v>7</v>
      </c>
      <c r="AH596">
        <v>0</v>
      </c>
      <c r="AI596">
        <v>7</v>
      </c>
      <c r="AJ596" s="2">
        <f>IF(tblHR[[#This Row],[Attrition]]="Yes",1,0)</f>
        <v>0</v>
      </c>
      <c r="AK596" t="str">
        <f>IF(tblHR[[#This Row],[Age]]&lt;26,"18-25",IF(tblHR[[#This Row],[Age]]&lt;36,"26-35",IF(tblHR[[#This Row],[Age]]&lt;46,"36-45",IF(tblHR[[#This Row],[Age]]&lt;56,"46-55","56+"))))</f>
        <v>26-35</v>
      </c>
    </row>
    <row r="597" spans="1:37"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s="1">
        <v>19246</v>
      </c>
      <c r="T597">
        <v>25761</v>
      </c>
      <c r="U597">
        <v>7</v>
      </c>
      <c r="V597" t="s">
        <v>42</v>
      </c>
      <c r="W597" t="s">
        <v>35</v>
      </c>
      <c r="X597">
        <v>12</v>
      </c>
      <c r="Y597">
        <v>3</v>
      </c>
      <c r="Z597">
        <v>4</v>
      </c>
      <c r="AA597">
        <v>80</v>
      </c>
      <c r="AB597">
        <v>0</v>
      </c>
      <c r="AC597">
        <v>40</v>
      </c>
      <c r="AD597">
        <v>2</v>
      </c>
      <c r="AE597">
        <v>3</v>
      </c>
      <c r="AF597">
        <v>31</v>
      </c>
      <c r="AG597">
        <v>15</v>
      </c>
      <c r="AH597">
        <v>13</v>
      </c>
      <c r="AI597">
        <v>8</v>
      </c>
      <c r="AJ597" s="2">
        <f>IF(tblHR[[#This Row],[Attrition]]="Yes",1,0)</f>
        <v>1</v>
      </c>
      <c r="AK597" t="str">
        <f>IF(tblHR[[#This Row],[Age]]&lt;26,"18-25",IF(tblHR[[#This Row],[Age]]&lt;36,"26-35",IF(tblHR[[#This Row],[Age]]&lt;46,"36-45",IF(tblHR[[#This Row],[Age]]&lt;56,"46-55","56+"))))</f>
        <v>56+</v>
      </c>
    </row>
    <row r="598" spans="1:37"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s="1">
        <v>2506</v>
      </c>
      <c r="T598">
        <v>13301</v>
      </c>
      <c r="U598">
        <v>3</v>
      </c>
      <c r="V598" t="s">
        <v>42</v>
      </c>
      <c r="W598" t="s">
        <v>43</v>
      </c>
      <c r="X598">
        <v>13</v>
      </c>
      <c r="Y598">
        <v>3</v>
      </c>
      <c r="Z598">
        <v>3</v>
      </c>
      <c r="AA598">
        <v>80</v>
      </c>
      <c r="AB598">
        <v>0</v>
      </c>
      <c r="AC598">
        <v>7</v>
      </c>
      <c r="AD598">
        <v>0</v>
      </c>
      <c r="AE598">
        <v>3</v>
      </c>
      <c r="AF598">
        <v>2</v>
      </c>
      <c r="AG598">
        <v>2</v>
      </c>
      <c r="AH598">
        <v>2</v>
      </c>
      <c r="AI598">
        <v>2</v>
      </c>
      <c r="AJ598" s="2">
        <f>IF(tblHR[[#This Row],[Attrition]]="Yes",1,0)</f>
        <v>0</v>
      </c>
      <c r="AK598" t="str">
        <f>IF(tblHR[[#This Row],[Age]]&lt;26,"18-25",IF(tblHR[[#This Row],[Age]]&lt;36,"26-35",IF(tblHR[[#This Row],[Age]]&lt;46,"36-45",IF(tblHR[[#This Row],[Age]]&lt;56,"46-55","56+"))))</f>
        <v>26-35</v>
      </c>
    </row>
    <row r="599" spans="1:37"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s="1">
        <v>6062</v>
      </c>
      <c r="T599">
        <v>4051</v>
      </c>
      <c r="U599">
        <v>9</v>
      </c>
      <c r="V599" t="s">
        <v>42</v>
      </c>
      <c r="W599" t="s">
        <v>35</v>
      </c>
      <c r="X599">
        <v>13</v>
      </c>
      <c r="Y599">
        <v>3</v>
      </c>
      <c r="Z599">
        <v>4</v>
      </c>
      <c r="AA599">
        <v>80</v>
      </c>
      <c r="AB599">
        <v>1</v>
      </c>
      <c r="AC599">
        <v>8</v>
      </c>
      <c r="AD599">
        <v>4</v>
      </c>
      <c r="AE599">
        <v>3</v>
      </c>
      <c r="AF599">
        <v>4</v>
      </c>
      <c r="AG599">
        <v>3</v>
      </c>
      <c r="AH599">
        <v>0</v>
      </c>
      <c r="AI599">
        <v>2</v>
      </c>
      <c r="AJ599" s="2">
        <f>IF(tblHR[[#This Row],[Attrition]]="Yes",1,0)</f>
        <v>0</v>
      </c>
      <c r="AK599" t="str">
        <f>IF(tblHR[[#This Row],[Age]]&lt;26,"18-25",IF(tblHR[[#This Row],[Age]]&lt;36,"26-35",IF(tblHR[[#This Row],[Age]]&lt;46,"36-45",IF(tblHR[[#This Row],[Age]]&lt;56,"46-55","56+"))))</f>
        <v>36-45</v>
      </c>
    </row>
    <row r="600" spans="1:37"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s="1">
        <v>4382</v>
      </c>
      <c r="T600">
        <v>16374</v>
      </c>
      <c r="U600">
        <v>6</v>
      </c>
      <c r="V600" t="s">
        <v>42</v>
      </c>
      <c r="W600" t="s">
        <v>43</v>
      </c>
      <c r="X600">
        <v>17</v>
      </c>
      <c r="Y600">
        <v>3</v>
      </c>
      <c r="Z600">
        <v>4</v>
      </c>
      <c r="AA600">
        <v>80</v>
      </c>
      <c r="AB600">
        <v>0</v>
      </c>
      <c r="AC600">
        <v>5</v>
      </c>
      <c r="AD600">
        <v>3</v>
      </c>
      <c r="AE600">
        <v>2</v>
      </c>
      <c r="AF600">
        <v>2</v>
      </c>
      <c r="AG600">
        <v>2</v>
      </c>
      <c r="AH600">
        <v>2</v>
      </c>
      <c r="AI600">
        <v>1</v>
      </c>
      <c r="AJ600" s="2">
        <f>IF(tblHR[[#This Row],[Attrition]]="Yes",1,0)</f>
        <v>1</v>
      </c>
      <c r="AK600" t="str">
        <f>IF(tblHR[[#This Row],[Age]]&lt;26,"18-25",IF(tblHR[[#This Row],[Age]]&lt;36,"26-35",IF(tblHR[[#This Row],[Age]]&lt;46,"36-45",IF(tblHR[[#This Row],[Age]]&lt;56,"46-55","56+"))))</f>
        <v>26-35</v>
      </c>
    </row>
    <row r="601" spans="1:37"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s="1">
        <v>2143</v>
      </c>
      <c r="T601">
        <v>25527</v>
      </c>
      <c r="U601">
        <v>4</v>
      </c>
      <c r="V601" t="s">
        <v>42</v>
      </c>
      <c r="W601" t="s">
        <v>43</v>
      </c>
      <c r="X601">
        <v>13</v>
      </c>
      <c r="Y601">
        <v>3</v>
      </c>
      <c r="Z601">
        <v>2</v>
      </c>
      <c r="AA601">
        <v>80</v>
      </c>
      <c r="AB601">
        <v>1</v>
      </c>
      <c r="AC601">
        <v>8</v>
      </c>
      <c r="AD601">
        <v>2</v>
      </c>
      <c r="AE601">
        <v>3</v>
      </c>
      <c r="AF601">
        <v>5</v>
      </c>
      <c r="AG601">
        <v>2</v>
      </c>
      <c r="AH601">
        <v>0</v>
      </c>
      <c r="AI601">
        <v>4</v>
      </c>
      <c r="AJ601" s="2">
        <f>IF(tblHR[[#This Row],[Attrition]]="Yes",1,0)</f>
        <v>0</v>
      </c>
      <c r="AK601" t="str">
        <f>IF(tblHR[[#This Row],[Age]]&lt;26,"18-25",IF(tblHR[[#This Row],[Age]]&lt;36,"26-35",IF(tblHR[[#This Row],[Age]]&lt;46,"36-45",IF(tblHR[[#This Row],[Age]]&lt;56,"46-55","56+"))))</f>
        <v>36-45</v>
      </c>
    </row>
    <row r="602" spans="1:37"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s="1">
        <v>6162</v>
      </c>
      <c r="T602">
        <v>19124</v>
      </c>
      <c r="U602">
        <v>1</v>
      </c>
      <c r="V602" t="s">
        <v>42</v>
      </c>
      <c r="W602" t="s">
        <v>43</v>
      </c>
      <c r="X602">
        <v>12</v>
      </c>
      <c r="Y602">
        <v>3</v>
      </c>
      <c r="Z602">
        <v>3</v>
      </c>
      <c r="AA602">
        <v>80</v>
      </c>
      <c r="AB602">
        <v>1</v>
      </c>
      <c r="AC602">
        <v>14</v>
      </c>
      <c r="AD602">
        <v>3</v>
      </c>
      <c r="AE602">
        <v>3</v>
      </c>
      <c r="AF602">
        <v>14</v>
      </c>
      <c r="AG602">
        <v>13</v>
      </c>
      <c r="AH602">
        <v>6</v>
      </c>
      <c r="AI602">
        <v>8</v>
      </c>
      <c r="AJ602" s="2">
        <f>IF(tblHR[[#This Row],[Attrition]]="Yes",1,0)</f>
        <v>0</v>
      </c>
      <c r="AK602" t="str">
        <f>IF(tblHR[[#This Row],[Age]]&lt;26,"18-25",IF(tblHR[[#This Row],[Age]]&lt;36,"26-35",IF(tblHR[[#This Row],[Age]]&lt;46,"36-45",IF(tblHR[[#This Row],[Age]]&lt;56,"46-55","56+"))))</f>
        <v>26-35</v>
      </c>
    </row>
    <row r="603" spans="1:37"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s="1">
        <v>5094</v>
      </c>
      <c r="T603">
        <v>11983</v>
      </c>
      <c r="U603">
        <v>6</v>
      </c>
      <c r="V603" t="s">
        <v>42</v>
      </c>
      <c r="W603" t="s">
        <v>43</v>
      </c>
      <c r="X603">
        <v>14</v>
      </c>
      <c r="Y603">
        <v>3</v>
      </c>
      <c r="Z603">
        <v>4</v>
      </c>
      <c r="AA603">
        <v>80</v>
      </c>
      <c r="AB603">
        <v>0</v>
      </c>
      <c r="AC603">
        <v>10</v>
      </c>
      <c r="AD603">
        <v>6</v>
      </c>
      <c r="AE603">
        <v>3</v>
      </c>
      <c r="AF603">
        <v>1</v>
      </c>
      <c r="AG603">
        <v>0</v>
      </c>
      <c r="AH603">
        <v>0</v>
      </c>
      <c r="AI603">
        <v>0</v>
      </c>
      <c r="AJ603" s="2">
        <f>IF(tblHR[[#This Row],[Attrition]]="Yes",1,0)</f>
        <v>0</v>
      </c>
      <c r="AK603" t="str">
        <f>IF(tblHR[[#This Row],[Age]]&lt;26,"18-25",IF(tblHR[[#This Row],[Age]]&lt;36,"26-35",IF(tblHR[[#This Row],[Age]]&lt;46,"36-45",IF(tblHR[[#This Row],[Age]]&lt;56,"46-55","56+"))))</f>
        <v>36-45</v>
      </c>
    </row>
    <row r="604" spans="1:37"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s="1">
        <v>6877</v>
      </c>
      <c r="T604">
        <v>20234</v>
      </c>
      <c r="U604">
        <v>5</v>
      </c>
      <c r="V604" t="s">
        <v>42</v>
      </c>
      <c r="W604" t="s">
        <v>35</v>
      </c>
      <c r="X604">
        <v>24</v>
      </c>
      <c r="Y604">
        <v>4</v>
      </c>
      <c r="Z604">
        <v>2</v>
      </c>
      <c r="AA604">
        <v>80</v>
      </c>
      <c r="AB604">
        <v>0</v>
      </c>
      <c r="AC604">
        <v>12</v>
      </c>
      <c r="AD604">
        <v>4</v>
      </c>
      <c r="AE604">
        <v>2</v>
      </c>
      <c r="AF604">
        <v>0</v>
      </c>
      <c r="AG604">
        <v>0</v>
      </c>
      <c r="AH604">
        <v>0</v>
      </c>
      <c r="AI604">
        <v>0</v>
      </c>
      <c r="AJ604" s="2">
        <f>IF(tblHR[[#This Row],[Attrition]]="Yes",1,0)</f>
        <v>0</v>
      </c>
      <c r="AK604" t="str">
        <f>IF(tblHR[[#This Row],[Age]]&lt;26,"18-25",IF(tblHR[[#This Row],[Age]]&lt;36,"26-35",IF(tblHR[[#This Row],[Age]]&lt;46,"36-45",IF(tblHR[[#This Row],[Age]]&lt;56,"46-55","56+"))))</f>
        <v>26-35</v>
      </c>
    </row>
    <row r="605" spans="1:37"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s="1">
        <v>2274</v>
      </c>
      <c r="T605">
        <v>6153</v>
      </c>
      <c r="U605">
        <v>1</v>
      </c>
      <c r="V605" t="s">
        <v>42</v>
      </c>
      <c r="W605" t="s">
        <v>43</v>
      </c>
      <c r="X605">
        <v>14</v>
      </c>
      <c r="Y605">
        <v>3</v>
      </c>
      <c r="Z605">
        <v>4</v>
      </c>
      <c r="AA605">
        <v>80</v>
      </c>
      <c r="AB605">
        <v>0</v>
      </c>
      <c r="AC605">
        <v>1</v>
      </c>
      <c r="AD605">
        <v>3</v>
      </c>
      <c r="AE605">
        <v>3</v>
      </c>
      <c r="AF605">
        <v>1</v>
      </c>
      <c r="AG605">
        <v>0</v>
      </c>
      <c r="AH605">
        <v>0</v>
      </c>
      <c r="AI605">
        <v>0</v>
      </c>
      <c r="AJ605" s="2">
        <f>IF(tblHR[[#This Row],[Attrition]]="Yes",1,0)</f>
        <v>0</v>
      </c>
      <c r="AK605" t="str">
        <f>IF(tblHR[[#This Row],[Age]]&lt;26,"18-25",IF(tblHR[[#This Row],[Age]]&lt;36,"26-35",IF(tblHR[[#This Row],[Age]]&lt;46,"36-45",IF(tblHR[[#This Row],[Age]]&lt;56,"46-55","56+"))))</f>
        <v>36-45</v>
      </c>
    </row>
    <row r="606" spans="1:37"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s="1">
        <v>4434</v>
      </c>
      <c r="T606">
        <v>11806</v>
      </c>
      <c r="U606">
        <v>1</v>
      </c>
      <c r="V606" t="s">
        <v>42</v>
      </c>
      <c r="W606" t="s">
        <v>43</v>
      </c>
      <c r="X606">
        <v>13</v>
      </c>
      <c r="Y606">
        <v>3</v>
      </c>
      <c r="Z606">
        <v>4</v>
      </c>
      <c r="AA606">
        <v>80</v>
      </c>
      <c r="AB606">
        <v>1</v>
      </c>
      <c r="AC606">
        <v>10</v>
      </c>
      <c r="AD606">
        <v>3</v>
      </c>
      <c r="AE606">
        <v>2</v>
      </c>
      <c r="AF606">
        <v>9</v>
      </c>
      <c r="AG606">
        <v>8</v>
      </c>
      <c r="AH606">
        <v>7</v>
      </c>
      <c r="AI606">
        <v>8</v>
      </c>
      <c r="AJ606" s="2">
        <f>IF(tblHR[[#This Row],[Attrition]]="Yes",1,0)</f>
        <v>0</v>
      </c>
      <c r="AK606" t="str">
        <f>IF(tblHR[[#This Row],[Age]]&lt;26,"18-25",IF(tblHR[[#This Row],[Age]]&lt;36,"26-35",IF(tblHR[[#This Row],[Age]]&lt;46,"36-45",IF(tblHR[[#This Row],[Age]]&lt;56,"46-55","56+"))))</f>
        <v>36-45</v>
      </c>
    </row>
    <row r="607" spans="1:37"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s="1">
        <v>6288</v>
      </c>
      <c r="T607">
        <v>4284</v>
      </c>
      <c r="U607">
        <v>2</v>
      </c>
      <c r="V607" t="s">
        <v>42</v>
      </c>
      <c r="W607" t="s">
        <v>43</v>
      </c>
      <c r="X607">
        <v>15</v>
      </c>
      <c r="Y607">
        <v>3</v>
      </c>
      <c r="Z607">
        <v>3</v>
      </c>
      <c r="AA607">
        <v>80</v>
      </c>
      <c r="AB607">
        <v>1</v>
      </c>
      <c r="AC607">
        <v>13</v>
      </c>
      <c r="AD607">
        <v>3</v>
      </c>
      <c r="AE607">
        <v>2</v>
      </c>
      <c r="AF607">
        <v>4</v>
      </c>
      <c r="AG607">
        <v>3</v>
      </c>
      <c r="AH607">
        <v>1</v>
      </c>
      <c r="AI607">
        <v>2</v>
      </c>
      <c r="AJ607" s="2">
        <f>IF(tblHR[[#This Row],[Attrition]]="Yes",1,0)</f>
        <v>0</v>
      </c>
      <c r="AK607" t="str">
        <f>IF(tblHR[[#This Row],[Age]]&lt;26,"18-25",IF(tblHR[[#This Row],[Age]]&lt;36,"26-35",IF(tblHR[[#This Row],[Age]]&lt;46,"36-45",IF(tblHR[[#This Row],[Age]]&lt;56,"46-55","56+"))))</f>
        <v>36-45</v>
      </c>
    </row>
    <row r="608" spans="1:37"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s="1">
        <v>2553</v>
      </c>
      <c r="T608">
        <v>8306</v>
      </c>
      <c r="U608">
        <v>1</v>
      </c>
      <c r="V608" t="s">
        <v>42</v>
      </c>
      <c r="W608" t="s">
        <v>43</v>
      </c>
      <c r="X608">
        <v>16</v>
      </c>
      <c r="Y608">
        <v>3</v>
      </c>
      <c r="Z608">
        <v>3</v>
      </c>
      <c r="AA608">
        <v>80</v>
      </c>
      <c r="AB608">
        <v>0</v>
      </c>
      <c r="AC608">
        <v>6</v>
      </c>
      <c r="AD608">
        <v>3</v>
      </c>
      <c r="AE608">
        <v>3</v>
      </c>
      <c r="AF608">
        <v>5</v>
      </c>
      <c r="AG608">
        <v>2</v>
      </c>
      <c r="AH608">
        <v>1</v>
      </c>
      <c r="AI608">
        <v>3</v>
      </c>
      <c r="AJ608" s="2">
        <f>IF(tblHR[[#This Row],[Attrition]]="Yes",1,0)</f>
        <v>0</v>
      </c>
      <c r="AK608" t="str">
        <f>IF(tblHR[[#This Row],[Age]]&lt;26,"18-25",IF(tblHR[[#This Row],[Age]]&lt;36,"26-35",IF(tblHR[[#This Row],[Age]]&lt;46,"36-45",IF(tblHR[[#This Row],[Age]]&lt;56,"46-55","56+"))))</f>
        <v>26-35</v>
      </c>
    </row>
    <row r="609" spans="1:37"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s="1">
        <v>7654</v>
      </c>
      <c r="T609">
        <v>5860</v>
      </c>
      <c r="U609">
        <v>1</v>
      </c>
      <c r="V609" t="s">
        <v>42</v>
      </c>
      <c r="W609" t="s">
        <v>43</v>
      </c>
      <c r="X609">
        <v>18</v>
      </c>
      <c r="Y609">
        <v>3</v>
      </c>
      <c r="Z609">
        <v>1</v>
      </c>
      <c r="AA609">
        <v>80</v>
      </c>
      <c r="AB609">
        <v>2</v>
      </c>
      <c r="AC609">
        <v>9</v>
      </c>
      <c r="AD609">
        <v>3</v>
      </c>
      <c r="AE609">
        <v>4</v>
      </c>
      <c r="AF609">
        <v>9</v>
      </c>
      <c r="AG609">
        <v>8</v>
      </c>
      <c r="AH609">
        <v>7</v>
      </c>
      <c r="AI609">
        <v>7</v>
      </c>
      <c r="AJ609" s="2">
        <f>IF(tblHR[[#This Row],[Attrition]]="Yes",1,0)</f>
        <v>1</v>
      </c>
      <c r="AK609" t="str">
        <f>IF(tblHR[[#This Row],[Age]]&lt;26,"18-25",IF(tblHR[[#This Row],[Age]]&lt;36,"26-35",IF(tblHR[[#This Row],[Age]]&lt;46,"36-45",IF(tblHR[[#This Row],[Age]]&lt;56,"46-55","56+"))))</f>
        <v>46-55</v>
      </c>
    </row>
    <row r="610" spans="1:37"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s="1">
        <v>5160</v>
      </c>
      <c r="T610">
        <v>21519</v>
      </c>
      <c r="U610">
        <v>4</v>
      </c>
      <c r="V610" t="s">
        <v>42</v>
      </c>
      <c r="W610" t="s">
        <v>43</v>
      </c>
      <c r="X610">
        <v>16</v>
      </c>
      <c r="Y610">
        <v>3</v>
      </c>
      <c r="Z610">
        <v>3</v>
      </c>
      <c r="AA610">
        <v>80</v>
      </c>
      <c r="AB610">
        <v>0</v>
      </c>
      <c r="AC610">
        <v>12</v>
      </c>
      <c r="AD610">
        <v>3</v>
      </c>
      <c r="AE610">
        <v>2</v>
      </c>
      <c r="AF610">
        <v>9</v>
      </c>
      <c r="AG610">
        <v>7</v>
      </c>
      <c r="AH610">
        <v>7</v>
      </c>
      <c r="AI610">
        <v>3</v>
      </c>
      <c r="AJ610" s="2">
        <f>IF(tblHR[[#This Row],[Attrition]]="Yes",1,0)</f>
        <v>1</v>
      </c>
      <c r="AK610" t="str">
        <f>IF(tblHR[[#This Row],[Age]]&lt;26,"18-25",IF(tblHR[[#This Row],[Age]]&lt;36,"26-35",IF(tblHR[[#This Row],[Age]]&lt;46,"36-45",IF(tblHR[[#This Row],[Age]]&lt;56,"46-55","56+"))))</f>
        <v>46-55</v>
      </c>
    </row>
    <row r="611" spans="1:37"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s="1">
        <v>17159</v>
      </c>
      <c r="T611">
        <v>5200</v>
      </c>
      <c r="U611">
        <v>6</v>
      </c>
      <c r="V611" t="s">
        <v>42</v>
      </c>
      <c r="W611" t="s">
        <v>43</v>
      </c>
      <c r="X611">
        <v>24</v>
      </c>
      <c r="Y611">
        <v>4</v>
      </c>
      <c r="Z611">
        <v>3</v>
      </c>
      <c r="AA611">
        <v>80</v>
      </c>
      <c r="AB611">
        <v>1</v>
      </c>
      <c r="AC611">
        <v>22</v>
      </c>
      <c r="AD611">
        <v>3</v>
      </c>
      <c r="AE611">
        <v>3</v>
      </c>
      <c r="AF611">
        <v>4</v>
      </c>
      <c r="AG611">
        <v>1</v>
      </c>
      <c r="AH611">
        <v>1</v>
      </c>
      <c r="AI611">
        <v>0</v>
      </c>
      <c r="AJ611" s="2">
        <f>IF(tblHR[[#This Row],[Attrition]]="Yes",1,0)</f>
        <v>0</v>
      </c>
      <c r="AK611" t="str">
        <f>IF(tblHR[[#This Row],[Age]]&lt;26,"18-25",IF(tblHR[[#This Row],[Age]]&lt;36,"26-35",IF(tblHR[[#This Row],[Age]]&lt;46,"36-45",IF(tblHR[[#This Row],[Age]]&lt;56,"46-55","56+"))))</f>
        <v>36-45</v>
      </c>
    </row>
    <row r="612" spans="1:37"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s="1">
        <v>12808</v>
      </c>
      <c r="T612">
        <v>8842</v>
      </c>
      <c r="U612">
        <v>1</v>
      </c>
      <c r="V612" t="s">
        <v>42</v>
      </c>
      <c r="W612" t="s">
        <v>35</v>
      </c>
      <c r="X612">
        <v>16</v>
      </c>
      <c r="Y612">
        <v>3</v>
      </c>
      <c r="Z612">
        <v>2</v>
      </c>
      <c r="AA612">
        <v>80</v>
      </c>
      <c r="AB612">
        <v>1</v>
      </c>
      <c r="AC612">
        <v>9</v>
      </c>
      <c r="AD612">
        <v>3</v>
      </c>
      <c r="AE612">
        <v>3</v>
      </c>
      <c r="AF612">
        <v>9</v>
      </c>
      <c r="AG612">
        <v>8</v>
      </c>
      <c r="AH612">
        <v>0</v>
      </c>
      <c r="AI612">
        <v>8</v>
      </c>
      <c r="AJ612" s="2">
        <f>IF(tblHR[[#This Row],[Attrition]]="Yes",1,0)</f>
        <v>0</v>
      </c>
      <c r="AK612" t="str">
        <f>IF(tblHR[[#This Row],[Age]]&lt;26,"18-25",IF(tblHR[[#This Row],[Age]]&lt;36,"26-35",IF(tblHR[[#This Row],[Age]]&lt;46,"36-45",IF(tblHR[[#This Row],[Age]]&lt;56,"46-55","56+"))))</f>
        <v>26-35</v>
      </c>
    </row>
    <row r="613" spans="1:37"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s="1">
        <v>10221</v>
      </c>
      <c r="T613">
        <v>18869</v>
      </c>
      <c r="U613">
        <v>3</v>
      </c>
      <c r="V613" t="s">
        <v>42</v>
      </c>
      <c r="W613" t="s">
        <v>43</v>
      </c>
      <c r="X613">
        <v>21</v>
      </c>
      <c r="Y613">
        <v>4</v>
      </c>
      <c r="Z613">
        <v>2</v>
      </c>
      <c r="AA613">
        <v>80</v>
      </c>
      <c r="AB613">
        <v>0</v>
      </c>
      <c r="AC613">
        <v>17</v>
      </c>
      <c r="AD613">
        <v>3</v>
      </c>
      <c r="AE613">
        <v>4</v>
      </c>
      <c r="AF613">
        <v>8</v>
      </c>
      <c r="AG613">
        <v>5</v>
      </c>
      <c r="AH613">
        <v>1</v>
      </c>
      <c r="AI613">
        <v>6</v>
      </c>
      <c r="AJ613" s="2">
        <f>IF(tblHR[[#This Row],[Attrition]]="Yes",1,0)</f>
        <v>0</v>
      </c>
      <c r="AK613" t="str">
        <f>IF(tblHR[[#This Row],[Age]]&lt;26,"18-25",IF(tblHR[[#This Row],[Age]]&lt;36,"26-35",IF(tblHR[[#This Row],[Age]]&lt;46,"36-45",IF(tblHR[[#This Row],[Age]]&lt;56,"46-55","56+"))))</f>
        <v>26-35</v>
      </c>
    </row>
    <row r="614" spans="1:37"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s="1">
        <v>4779</v>
      </c>
      <c r="T614">
        <v>3698</v>
      </c>
      <c r="U614">
        <v>1</v>
      </c>
      <c r="V614" t="s">
        <v>42</v>
      </c>
      <c r="W614" t="s">
        <v>35</v>
      </c>
      <c r="X614">
        <v>20</v>
      </c>
      <c r="Y614">
        <v>4</v>
      </c>
      <c r="Z614">
        <v>1</v>
      </c>
      <c r="AA614">
        <v>80</v>
      </c>
      <c r="AB614">
        <v>0</v>
      </c>
      <c r="AC614">
        <v>8</v>
      </c>
      <c r="AD614">
        <v>2</v>
      </c>
      <c r="AE614">
        <v>3</v>
      </c>
      <c r="AF614">
        <v>8</v>
      </c>
      <c r="AG614">
        <v>7</v>
      </c>
      <c r="AH614">
        <v>7</v>
      </c>
      <c r="AI614">
        <v>5</v>
      </c>
      <c r="AJ614" s="2">
        <f>IF(tblHR[[#This Row],[Attrition]]="Yes",1,0)</f>
        <v>0</v>
      </c>
      <c r="AK614" t="str">
        <f>IF(tblHR[[#This Row],[Age]]&lt;26,"18-25",IF(tblHR[[#This Row],[Age]]&lt;36,"26-35",IF(tblHR[[#This Row],[Age]]&lt;46,"36-45",IF(tblHR[[#This Row],[Age]]&lt;56,"46-55","56+"))))</f>
        <v>26-35</v>
      </c>
    </row>
    <row r="615" spans="1:37"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s="1">
        <v>3737</v>
      </c>
      <c r="T615">
        <v>2243</v>
      </c>
      <c r="U615">
        <v>0</v>
      </c>
      <c r="V615" t="s">
        <v>42</v>
      </c>
      <c r="W615" t="s">
        <v>43</v>
      </c>
      <c r="X615">
        <v>19</v>
      </c>
      <c r="Y615">
        <v>3</v>
      </c>
      <c r="Z615">
        <v>3</v>
      </c>
      <c r="AA615">
        <v>80</v>
      </c>
      <c r="AB615">
        <v>1</v>
      </c>
      <c r="AC615">
        <v>4</v>
      </c>
      <c r="AD615">
        <v>1</v>
      </c>
      <c r="AE615">
        <v>1</v>
      </c>
      <c r="AF615">
        <v>3</v>
      </c>
      <c r="AG615">
        <v>2</v>
      </c>
      <c r="AH615">
        <v>0</v>
      </c>
      <c r="AI615">
        <v>2</v>
      </c>
      <c r="AJ615" s="2">
        <f>IF(tblHR[[#This Row],[Attrition]]="Yes",1,0)</f>
        <v>0</v>
      </c>
      <c r="AK615" t="str">
        <f>IF(tblHR[[#This Row],[Age]]&lt;26,"18-25",IF(tblHR[[#This Row],[Age]]&lt;36,"26-35",IF(tblHR[[#This Row],[Age]]&lt;46,"36-45",IF(tblHR[[#This Row],[Age]]&lt;56,"46-55","56+"))))</f>
        <v>26-35</v>
      </c>
    </row>
    <row r="616" spans="1:37"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s="1">
        <v>2366</v>
      </c>
      <c r="T616">
        <v>20898</v>
      </c>
      <c r="U616">
        <v>1</v>
      </c>
      <c r="V616" t="s">
        <v>42</v>
      </c>
      <c r="W616" t="s">
        <v>35</v>
      </c>
      <c r="X616">
        <v>14</v>
      </c>
      <c r="Y616">
        <v>3</v>
      </c>
      <c r="Z616">
        <v>1</v>
      </c>
      <c r="AA616">
        <v>80</v>
      </c>
      <c r="AB616">
        <v>1</v>
      </c>
      <c r="AC616">
        <v>8</v>
      </c>
      <c r="AD616">
        <v>2</v>
      </c>
      <c r="AE616">
        <v>3</v>
      </c>
      <c r="AF616">
        <v>8</v>
      </c>
      <c r="AG616">
        <v>7</v>
      </c>
      <c r="AH616">
        <v>1</v>
      </c>
      <c r="AI616">
        <v>7</v>
      </c>
      <c r="AJ616" s="2">
        <f>IF(tblHR[[#This Row],[Attrition]]="Yes",1,0)</f>
        <v>1</v>
      </c>
      <c r="AK616" t="str">
        <f>IF(tblHR[[#This Row],[Age]]&lt;26,"18-25",IF(tblHR[[#This Row],[Age]]&lt;36,"26-35",IF(tblHR[[#This Row],[Age]]&lt;46,"36-45",IF(tblHR[[#This Row],[Age]]&lt;56,"46-55","56+"))))</f>
        <v>26-35</v>
      </c>
    </row>
    <row r="617" spans="1:37"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s="1">
        <v>1706</v>
      </c>
      <c r="T617">
        <v>16571</v>
      </c>
      <c r="U617">
        <v>1</v>
      </c>
      <c r="V617" t="s">
        <v>42</v>
      </c>
      <c r="W617" t="s">
        <v>43</v>
      </c>
      <c r="X617">
        <v>11</v>
      </c>
      <c r="Y617">
        <v>3</v>
      </c>
      <c r="Z617">
        <v>3</v>
      </c>
      <c r="AA617">
        <v>80</v>
      </c>
      <c r="AB617">
        <v>3</v>
      </c>
      <c r="AC617">
        <v>0</v>
      </c>
      <c r="AD617">
        <v>6</v>
      </c>
      <c r="AE617">
        <v>2</v>
      </c>
      <c r="AF617">
        <v>0</v>
      </c>
      <c r="AG617">
        <v>0</v>
      </c>
      <c r="AH617">
        <v>0</v>
      </c>
      <c r="AI617">
        <v>0</v>
      </c>
      <c r="AJ617" s="2">
        <f>IF(tblHR[[#This Row],[Attrition]]="Yes",1,0)</f>
        <v>0</v>
      </c>
      <c r="AK617" t="str">
        <f>IF(tblHR[[#This Row],[Age]]&lt;26,"18-25",IF(tblHR[[#This Row],[Age]]&lt;36,"26-35",IF(tblHR[[#This Row],[Age]]&lt;46,"36-45",IF(tblHR[[#This Row],[Age]]&lt;56,"46-55","56+"))))</f>
        <v>26-35</v>
      </c>
    </row>
    <row r="618" spans="1:37"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s="1">
        <v>16307</v>
      </c>
      <c r="T618">
        <v>5594</v>
      </c>
      <c r="U618">
        <v>2</v>
      </c>
      <c r="V618" t="s">
        <v>42</v>
      </c>
      <c r="W618" t="s">
        <v>43</v>
      </c>
      <c r="X618">
        <v>14</v>
      </c>
      <c r="Y618">
        <v>3</v>
      </c>
      <c r="Z618">
        <v>3</v>
      </c>
      <c r="AA618">
        <v>80</v>
      </c>
      <c r="AB618">
        <v>1</v>
      </c>
      <c r="AC618">
        <v>29</v>
      </c>
      <c r="AD618">
        <v>2</v>
      </c>
      <c r="AE618">
        <v>2</v>
      </c>
      <c r="AF618">
        <v>20</v>
      </c>
      <c r="AG618">
        <v>6</v>
      </c>
      <c r="AH618">
        <v>4</v>
      </c>
      <c r="AI618">
        <v>17</v>
      </c>
      <c r="AJ618" s="2">
        <f>IF(tblHR[[#This Row],[Attrition]]="Yes",1,0)</f>
        <v>0</v>
      </c>
      <c r="AK618" t="str">
        <f>IF(tblHR[[#This Row],[Age]]&lt;26,"18-25",IF(tblHR[[#This Row],[Age]]&lt;36,"26-35",IF(tblHR[[#This Row],[Age]]&lt;46,"36-45",IF(tblHR[[#This Row],[Age]]&lt;56,"46-55","56+"))))</f>
        <v>46-55</v>
      </c>
    </row>
    <row r="619" spans="1:37"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s="1">
        <v>5933</v>
      </c>
      <c r="T619">
        <v>5197</v>
      </c>
      <c r="U619">
        <v>9</v>
      </c>
      <c r="V619" t="s">
        <v>42</v>
      </c>
      <c r="W619" t="s">
        <v>43</v>
      </c>
      <c r="X619">
        <v>12</v>
      </c>
      <c r="Y619">
        <v>3</v>
      </c>
      <c r="Z619">
        <v>4</v>
      </c>
      <c r="AA619">
        <v>80</v>
      </c>
      <c r="AB619">
        <v>0</v>
      </c>
      <c r="AC619">
        <v>10</v>
      </c>
      <c r="AD619">
        <v>2</v>
      </c>
      <c r="AE619">
        <v>2</v>
      </c>
      <c r="AF619">
        <v>5</v>
      </c>
      <c r="AG619">
        <v>2</v>
      </c>
      <c r="AH619">
        <v>2</v>
      </c>
      <c r="AI619">
        <v>3</v>
      </c>
      <c r="AJ619" s="2">
        <f>IF(tblHR[[#This Row],[Attrition]]="Yes",1,0)</f>
        <v>0</v>
      </c>
      <c r="AK619" t="str">
        <f>IF(tblHR[[#This Row],[Age]]&lt;26,"18-25",IF(tblHR[[#This Row],[Age]]&lt;36,"26-35",IF(tblHR[[#This Row],[Age]]&lt;46,"36-45",IF(tblHR[[#This Row],[Age]]&lt;56,"46-55","56+"))))</f>
        <v>36-45</v>
      </c>
    </row>
    <row r="620" spans="1:37"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s="1">
        <v>3424</v>
      </c>
      <c r="T620">
        <v>21632</v>
      </c>
      <c r="U620">
        <v>7</v>
      </c>
      <c r="V620" t="s">
        <v>42</v>
      </c>
      <c r="W620" t="s">
        <v>43</v>
      </c>
      <c r="X620">
        <v>13</v>
      </c>
      <c r="Y620">
        <v>3</v>
      </c>
      <c r="Z620">
        <v>3</v>
      </c>
      <c r="AA620">
        <v>80</v>
      </c>
      <c r="AB620">
        <v>0</v>
      </c>
      <c r="AC620">
        <v>6</v>
      </c>
      <c r="AD620">
        <v>3</v>
      </c>
      <c r="AE620">
        <v>2</v>
      </c>
      <c r="AF620">
        <v>4</v>
      </c>
      <c r="AG620">
        <v>3</v>
      </c>
      <c r="AH620">
        <v>0</v>
      </c>
      <c r="AI620">
        <v>1</v>
      </c>
      <c r="AJ620" s="2">
        <f>IF(tblHR[[#This Row],[Attrition]]="Yes",1,0)</f>
        <v>0</v>
      </c>
      <c r="AK620" t="str">
        <f>IF(tblHR[[#This Row],[Age]]&lt;26,"18-25",IF(tblHR[[#This Row],[Age]]&lt;36,"26-35",IF(tblHR[[#This Row],[Age]]&lt;46,"36-45",IF(tblHR[[#This Row],[Age]]&lt;56,"46-55","56+"))))</f>
        <v>18-25</v>
      </c>
    </row>
    <row r="621" spans="1:37"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s="1">
        <v>4037</v>
      </c>
      <c r="T621">
        <v>21816</v>
      </c>
      <c r="U621">
        <v>1</v>
      </c>
      <c r="V621" t="s">
        <v>42</v>
      </c>
      <c r="W621" t="s">
        <v>43</v>
      </c>
      <c r="X621">
        <v>22</v>
      </c>
      <c r="Y621">
        <v>4</v>
      </c>
      <c r="Z621">
        <v>1</v>
      </c>
      <c r="AA621">
        <v>80</v>
      </c>
      <c r="AB621">
        <v>1</v>
      </c>
      <c r="AC621">
        <v>9</v>
      </c>
      <c r="AD621">
        <v>5</v>
      </c>
      <c r="AE621">
        <v>3</v>
      </c>
      <c r="AF621">
        <v>9</v>
      </c>
      <c r="AG621">
        <v>8</v>
      </c>
      <c r="AH621">
        <v>0</v>
      </c>
      <c r="AI621">
        <v>8</v>
      </c>
      <c r="AJ621" s="2">
        <f>IF(tblHR[[#This Row],[Attrition]]="Yes",1,0)</f>
        <v>0</v>
      </c>
      <c r="AK621" t="str">
        <f>IF(tblHR[[#This Row],[Age]]&lt;26,"18-25",IF(tblHR[[#This Row],[Age]]&lt;36,"26-35",IF(tblHR[[#This Row],[Age]]&lt;46,"36-45",IF(tblHR[[#This Row],[Age]]&lt;56,"46-55","56+"))))</f>
        <v>26-35</v>
      </c>
    </row>
    <row r="622" spans="1:37"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s="1">
        <v>2559</v>
      </c>
      <c r="T622">
        <v>17852</v>
      </c>
      <c r="U622">
        <v>1</v>
      </c>
      <c r="V622" t="s">
        <v>42</v>
      </c>
      <c r="W622" t="s">
        <v>43</v>
      </c>
      <c r="X622">
        <v>11</v>
      </c>
      <c r="Y622">
        <v>3</v>
      </c>
      <c r="Z622">
        <v>4</v>
      </c>
      <c r="AA622">
        <v>80</v>
      </c>
      <c r="AB622">
        <v>0</v>
      </c>
      <c r="AC622">
        <v>6</v>
      </c>
      <c r="AD622">
        <v>3</v>
      </c>
      <c r="AE622">
        <v>2</v>
      </c>
      <c r="AF622">
        <v>6</v>
      </c>
      <c r="AG622">
        <v>5</v>
      </c>
      <c r="AH622">
        <v>1</v>
      </c>
      <c r="AI622">
        <v>1</v>
      </c>
      <c r="AJ622" s="2">
        <f>IF(tblHR[[#This Row],[Attrition]]="Yes",1,0)</f>
        <v>0</v>
      </c>
      <c r="AK622" t="str">
        <f>IF(tblHR[[#This Row],[Age]]&lt;26,"18-25",IF(tblHR[[#This Row],[Age]]&lt;36,"26-35",IF(tblHR[[#This Row],[Age]]&lt;46,"36-45",IF(tblHR[[#This Row],[Age]]&lt;56,"46-55","56+"))))</f>
        <v>26-35</v>
      </c>
    </row>
    <row r="623" spans="1:37"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s="1">
        <v>6201</v>
      </c>
      <c r="T623">
        <v>2823</v>
      </c>
      <c r="U623">
        <v>1</v>
      </c>
      <c r="V623" t="s">
        <v>42</v>
      </c>
      <c r="W623" t="s">
        <v>35</v>
      </c>
      <c r="X623">
        <v>14</v>
      </c>
      <c r="Y623">
        <v>3</v>
      </c>
      <c r="Z623">
        <v>4</v>
      </c>
      <c r="AA623">
        <v>80</v>
      </c>
      <c r="AB623">
        <v>1</v>
      </c>
      <c r="AC623">
        <v>18</v>
      </c>
      <c r="AD623">
        <v>1</v>
      </c>
      <c r="AE623">
        <v>2</v>
      </c>
      <c r="AF623">
        <v>18</v>
      </c>
      <c r="AG623">
        <v>14</v>
      </c>
      <c r="AH623">
        <v>4</v>
      </c>
      <c r="AI623">
        <v>11</v>
      </c>
      <c r="AJ623" s="2">
        <f>IF(tblHR[[#This Row],[Attrition]]="Yes",1,0)</f>
        <v>0</v>
      </c>
      <c r="AK623" t="str">
        <f>IF(tblHR[[#This Row],[Age]]&lt;26,"18-25",IF(tblHR[[#This Row],[Age]]&lt;36,"26-35",IF(tblHR[[#This Row],[Age]]&lt;46,"36-45",IF(tblHR[[#This Row],[Age]]&lt;56,"46-55","56+"))))</f>
        <v>36-45</v>
      </c>
    </row>
    <row r="624" spans="1:37"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s="1">
        <v>4403</v>
      </c>
      <c r="T624">
        <v>9250</v>
      </c>
      <c r="U624">
        <v>2</v>
      </c>
      <c r="V624" t="s">
        <v>42</v>
      </c>
      <c r="W624" t="s">
        <v>43</v>
      </c>
      <c r="X624">
        <v>11</v>
      </c>
      <c r="Y624">
        <v>3</v>
      </c>
      <c r="Z624">
        <v>3</v>
      </c>
      <c r="AA624">
        <v>80</v>
      </c>
      <c r="AB624">
        <v>1</v>
      </c>
      <c r="AC624">
        <v>8</v>
      </c>
      <c r="AD624">
        <v>3</v>
      </c>
      <c r="AE624">
        <v>2</v>
      </c>
      <c r="AF624">
        <v>5</v>
      </c>
      <c r="AG624">
        <v>2</v>
      </c>
      <c r="AH624">
        <v>0</v>
      </c>
      <c r="AI624">
        <v>3</v>
      </c>
      <c r="AJ624" s="2">
        <f>IF(tblHR[[#This Row],[Attrition]]="Yes",1,0)</f>
        <v>0</v>
      </c>
      <c r="AK624" t="str">
        <f>IF(tblHR[[#This Row],[Age]]&lt;26,"18-25",IF(tblHR[[#This Row],[Age]]&lt;36,"26-35",IF(tblHR[[#This Row],[Age]]&lt;46,"36-45",IF(tblHR[[#This Row],[Age]]&lt;56,"46-55","56+"))))</f>
        <v>26-35</v>
      </c>
    </row>
    <row r="625" spans="1:37"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s="1">
        <v>3761</v>
      </c>
      <c r="T625">
        <v>2373</v>
      </c>
      <c r="U625">
        <v>9</v>
      </c>
      <c r="V625" t="s">
        <v>42</v>
      </c>
      <c r="W625" t="s">
        <v>43</v>
      </c>
      <c r="X625">
        <v>12</v>
      </c>
      <c r="Y625">
        <v>3</v>
      </c>
      <c r="Z625">
        <v>2</v>
      </c>
      <c r="AA625">
        <v>80</v>
      </c>
      <c r="AB625">
        <v>1</v>
      </c>
      <c r="AC625">
        <v>10</v>
      </c>
      <c r="AD625">
        <v>3</v>
      </c>
      <c r="AE625">
        <v>2</v>
      </c>
      <c r="AF625">
        <v>5</v>
      </c>
      <c r="AG625">
        <v>4</v>
      </c>
      <c r="AH625">
        <v>0</v>
      </c>
      <c r="AI625">
        <v>3</v>
      </c>
      <c r="AJ625" s="2">
        <f>IF(tblHR[[#This Row],[Attrition]]="Yes",1,0)</f>
        <v>0</v>
      </c>
      <c r="AK625" t="str">
        <f>IF(tblHR[[#This Row],[Age]]&lt;26,"18-25",IF(tblHR[[#This Row],[Age]]&lt;36,"26-35",IF(tblHR[[#This Row],[Age]]&lt;46,"36-45",IF(tblHR[[#This Row],[Age]]&lt;56,"46-55","56+"))))</f>
        <v>26-35</v>
      </c>
    </row>
    <row r="626" spans="1:37"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s="1">
        <v>10934</v>
      </c>
      <c r="T626">
        <v>20715</v>
      </c>
      <c r="U626">
        <v>7</v>
      </c>
      <c r="V626" t="s">
        <v>42</v>
      </c>
      <c r="W626" t="s">
        <v>35</v>
      </c>
      <c r="X626">
        <v>18</v>
      </c>
      <c r="Y626">
        <v>3</v>
      </c>
      <c r="Z626">
        <v>4</v>
      </c>
      <c r="AA626">
        <v>80</v>
      </c>
      <c r="AB626">
        <v>1</v>
      </c>
      <c r="AC626">
        <v>35</v>
      </c>
      <c r="AD626">
        <v>3</v>
      </c>
      <c r="AE626">
        <v>3</v>
      </c>
      <c r="AF626">
        <v>5</v>
      </c>
      <c r="AG626">
        <v>2</v>
      </c>
      <c r="AH626">
        <v>0</v>
      </c>
      <c r="AI626">
        <v>4</v>
      </c>
      <c r="AJ626" s="2">
        <f>IF(tblHR[[#This Row],[Attrition]]="Yes",1,0)</f>
        <v>0</v>
      </c>
      <c r="AK626" t="str">
        <f>IF(tblHR[[#This Row],[Age]]&lt;26,"18-25",IF(tblHR[[#This Row],[Age]]&lt;36,"26-35",IF(tblHR[[#This Row],[Age]]&lt;46,"36-45",IF(tblHR[[#This Row],[Age]]&lt;56,"46-55","56+"))))</f>
        <v>46-55</v>
      </c>
    </row>
    <row r="627" spans="1:37"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s="1">
        <v>10761</v>
      </c>
      <c r="T627">
        <v>19239</v>
      </c>
      <c r="U627">
        <v>4</v>
      </c>
      <c r="V627" t="s">
        <v>42</v>
      </c>
      <c r="W627" t="s">
        <v>35</v>
      </c>
      <c r="X627">
        <v>12</v>
      </c>
      <c r="Y627">
        <v>3</v>
      </c>
      <c r="Z627">
        <v>3</v>
      </c>
      <c r="AA627">
        <v>80</v>
      </c>
      <c r="AB627">
        <v>1</v>
      </c>
      <c r="AC627">
        <v>18</v>
      </c>
      <c r="AD627">
        <v>2</v>
      </c>
      <c r="AE627">
        <v>3</v>
      </c>
      <c r="AF627">
        <v>5</v>
      </c>
      <c r="AG627">
        <v>4</v>
      </c>
      <c r="AH627">
        <v>0</v>
      </c>
      <c r="AI627">
        <v>2</v>
      </c>
      <c r="AJ627" s="2">
        <f>IF(tblHR[[#This Row],[Attrition]]="Yes",1,0)</f>
        <v>0</v>
      </c>
      <c r="AK627" t="str">
        <f>IF(tblHR[[#This Row],[Age]]&lt;26,"18-25",IF(tblHR[[#This Row],[Age]]&lt;36,"26-35",IF(tblHR[[#This Row],[Age]]&lt;46,"36-45",IF(tblHR[[#This Row],[Age]]&lt;56,"46-55","56+"))))</f>
        <v>36-45</v>
      </c>
    </row>
    <row r="628" spans="1:37"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s="1">
        <v>5175</v>
      </c>
      <c r="T628">
        <v>22162</v>
      </c>
      <c r="U628">
        <v>5</v>
      </c>
      <c r="V628" t="s">
        <v>42</v>
      </c>
      <c r="W628" t="s">
        <v>43</v>
      </c>
      <c r="X628">
        <v>12</v>
      </c>
      <c r="Y628">
        <v>3</v>
      </c>
      <c r="Z628">
        <v>3</v>
      </c>
      <c r="AA628">
        <v>80</v>
      </c>
      <c r="AB628">
        <v>1</v>
      </c>
      <c r="AC628">
        <v>9</v>
      </c>
      <c r="AD628">
        <v>3</v>
      </c>
      <c r="AE628">
        <v>2</v>
      </c>
      <c r="AF628">
        <v>5</v>
      </c>
      <c r="AG628">
        <v>3</v>
      </c>
      <c r="AH628">
        <v>1</v>
      </c>
      <c r="AI628">
        <v>3</v>
      </c>
      <c r="AJ628" s="2">
        <f>IF(tblHR[[#This Row],[Attrition]]="Yes",1,0)</f>
        <v>0</v>
      </c>
      <c r="AK628" t="str">
        <f>IF(tblHR[[#This Row],[Age]]&lt;26,"18-25",IF(tblHR[[#This Row],[Age]]&lt;36,"26-35",IF(tblHR[[#This Row],[Age]]&lt;46,"36-45",IF(tblHR[[#This Row],[Age]]&lt;56,"46-55","56+"))))</f>
        <v>26-35</v>
      </c>
    </row>
    <row r="629" spans="1:37"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s="1">
        <v>13826</v>
      </c>
      <c r="T629">
        <v>19028</v>
      </c>
      <c r="U629">
        <v>3</v>
      </c>
      <c r="V629" t="s">
        <v>42</v>
      </c>
      <c r="W629" t="s">
        <v>43</v>
      </c>
      <c r="X629">
        <v>22</v>
      </c>
      <c r="Y629">
        <v>4</v>
      </c>
      <c r="Z629">
        <v>3</v>
      </c>
      <c r="AA629">
        <v>80</v>
      </c>
      <c r="AB629">
        <v>0</v>
      </c>
      <c r="AC629">
        <v>31</v>
      </c>
      <c r="AD629">
        <v>3</v>
      </c>
      <c r="AE629">
        <v>3</v>
      </c>
      <c r="AF629">
        <v>9</v>
      </c>
      <c r="AG629">
        <v>8</v>
      </c>
      <c r="AH629">
        <v>0</v>
      </c>
      <c r="AI629">
        <v>0</v>
      </c>
      <c r="AJ629" s="2">
        <f>IF(tblHR[[#This Row],[Attrition]]="Yes",1,0)</f>
        <v>0</v>
      </c>
      <c r="AK629" t="str">
        <f>IF(tblHR[[#This Row],[Age]]&lt;26,"18-25",IF(tblHR[[#This Row],[Age]]&lt;36,"26-35",IF(tblHR[[#This Row],[Age]]&lt;46,"36-45",IF(tblHR[[#This Row],[Age]]&lt;56,"46-55","56+"))))</f>
        <v>46-55</v>
      </c>
    </row>
    <row r="630" spans="1:37"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s="1">
        <v>6334</v>
      </c>
      <c r="T630">
        <v>24558</v>
      </c>
      <c r="U630">
        <v>4</v>
      </c>
      <c r="V630" t="s">
        <v>42</v>
      </c>
      <c r="W630" t="s">
        <v>43</v>
      </c>
      <c r="X630">
        <v>19</v>
      </c>
      <c r="Y630">
        <v>3</v>
      </c>
      <c r="Z630">
        <v>4</v>
      </c>
      <c r="AA630">
        <v>80</v>
      </c>
      <c r="AB630">
        <v>2</v>
      </c>
      <c r="AC630">
        <v>9</v>
      </c>
      <c r="AD630">
        <v>2</v>
      </c>
      <c r="AE630">
        <v>3</v>
      </c>
      <c r="AF630">
        <v>1</v>
      </c>
      <c r="AG630">
        <v>0</v>
      </c>
      <c r="AH630">
        <v>0</v>
      </c>
      <c r="AI630">
        <v>0</v>
      </c>
      <c r="AJ630" s="2">
        <f>IF(tblHR[[#This Row],[Attrition]]="Yes",1,0)</f>
        <v>0</v>
      </c>
      <c r="AK630" t="str">
        <f>IF(tblHR[[#This Row],[Age]]&lt;26,"18-25",IF(tblHR[[#This Row],[Age]]&lt;36,"26-35",IF(tblHR[[#This Row],[Age]]&lt;46,"36-45",IF(tblHR[[#This Row],[Age]]&lt;56,"46-55","56+"))))</f>
        <v>36-45</v>
      </c>
    </row>
    <row r="631" spans="1:37"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s="1">
        <v>4936</v>
      </c>
      <c r="T631">
        <v>23965</v>
      </c>
      <c r="U631">
        <v>1</v>
      </c>
      <c r="V631" t="s">
        <v>42</v>
      </c>
      <c r="W631" t="s">
        <v>43</v>
      </c>
      <c r="X631">
        <v>13</v>
      </c>
      <c r="Y631">
        <v>3</v>
      </c>
      <c r="Z631">
        <v>4</v>
      </c>
      <c r="AA631">
        <v>80</v>
      </c>
      <c r="AB631">
        <v>1</v>
      </c>
      <c r="AC631">
        <v>6</v>
      </c>
      <c r="AD631">
        <v>6</v>
      </c>
      <c r="AE631">
        <v>3</v>
      </c>
      <c r="AF631">
        <v>5</v>
      </c>
      <c r="AG631">
        <v>1</v>
      </c>
      <c r="AH631">
        <v>0</v>
      </c>
      <c r="AI631">
        <v>4</v>
      </c>
      <c r="AJ631" s="2">
        <f>IF(tblHR[[#This Row],[Attrition]]="Yes",1,0)</f>
        <v>0</v>
      </c>
      <c r="AK631" t="str">
        <f>IF(tblHR[[#This Row],[Age]]&lt;26,"18-25",IF(tblHR[[#This Row],[Age]]&lt;36,"26-35",IF(tblHR[[#This Row],[Age]]&lt;46,"36-45",IF(tblHR[[#This Row],[Age]]&lt;56,"46-55","56+"))))</f>
        <v>26-35</v>
      </c>
    </row>
    <row r="632" spans="1:37"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s="1">
        <v>4775</v>
      </c>
      <c r="T632">
        <v>19146</v>
      </c>
      <c r="U632">
        <v>6</v>
      </c>
      <c r="V632" t="s">
        <v>42</v>
      </c>
      <c r="W632" t="s">
        <v>43</v>
      </c>
      <c r="X632">
        <v>22</v>
      </c>
      <c r="Y632">
        <v>4</v>
      </c>
      <c r="Z632">
        <v>1</v>
      </c>
      <c r="AA632">
        <v>80</v>
      </c>
      <c r="AB632">
        <v>2</v>
      </c>
      <c r="AC632">
        <v>4</v>
      </c>
      <c r="AD632">
        <v>2</v>
      </c>
      <c r="AE632">
        <v>1</v>
      </c>
      <c r="AF632">
        <v>2</v>
      </c>
      <c r="AG632">
        <v>2</v>
      </c>
      <c r="AH632">
        <v>2</v>
      </c>
      <c r="AI632">
        <v>2</v>
      </c>
      <c r="AJ632" s="2">
        <f>IF(tblHR[[#This Row],[Attrition]]="Yes",1,0)</f>
        <v>0</v>
      </c>
      <c r="AK632" t="str">
        <f>IF(tblHR[[#This Row],[Age]]&lt;26,"18-25",IF(tblHR[[#This Row],[Age]]&lt;36,"26-35",IF(tblHR[[#This Row],[Age]]&lt;46,"36-45",IF(tblHR[[#This Row],[Age]]&lt;56,"46-55","56+"))))</f>
        <v>18-25</v>
      </c>
    </row>
    <row r="633" spans="1:37"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s="1">
        <v>2818</v>
      </c>
      <c r="T633">
        <v>5044</v>
      </c>
      <c r="U633">
        <v>2</v>
      </c>
      <c r="V633" t="s">
        <v>42</v>
      </c>
      <c r="W633" t="s">
        <v>35</v>
      </c>
      <c r="X633">
        <v>24</v>
      </c>
      <c r="Y633">
        <v>4</v>
      </c>
      <c r="Z633">
        <v>3</v>
      </c>
      <c r="AA633">
        <v>80</v>
      </c>
      <c r="AB633">
        <v>1</v>
      </c>
      <c r="AC633">
        <v>10</v>
      </c>
      <c r="AD633">
        <v>2</v>
      </c>
      <c r="AE633">
        <v>2</v>
      </c>
      <c r="AF633">
        <v>3</v>
      </c>
      <c r="AG633">
        <v>2</v>
      </c>
      <c r="AH633">
        <v>0</v>
      </c>
      <c r="AI633">
        <v>2</v>
      </c>
      <c r="AJ633" s="2">
        <f>IF(tblHR[[#This Row],[Attrition]]="Yes",1,0)</f>
        <v>0</v>
      </c>
      <c r="AK633" t="str">
        <f>IF(tblHR[[#This Row],[Age]]&lt;26,"18-25",IF(tblHR[[#This Row],[Age]]&lt;36,"26-35",IF(tblHR[[#This Row],[Age]]&lt;46,"36-45",IF(tblHR[[#This Row],[Age]]&lt;56,"46-55","56+"))))</f>
        <v>36-45</v>
      </c>
    </row>
    <row r="634" spans="1:37"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s="1">
        <v>2515</v>
      </c>
      <c r="T634">
        <v>9068</v>
      </c>
      <c r="U634">
        <v>5</v>
      </c>
      <c r="V634" t="s">
        <v>42</v>
      </c>
      <c r="W634" t="s">
        <v>35</v>
      </c>
      <c r="X634">
        <v>14</v>
      </c>
      <c r="Y634">
        <v>3</v>
      </c>
      <c r="Z634">
        <v>4</v>
      </c>
      <c r="AA634">
        <v>80</v>
      </c>
      <c r="AB634">
        <v>0</v>
      </c>
      <c r="AC634">
        <v>8</v>
      </c>
      <c r="AD634">
        <v>2</v>
      </c>
      <c r="AE634">
        <v>3</v>
      </c>
      <c r="AF634">
        <v>2</v>
      </c>
      <c r="AG634">
        <v>1</v>
      </c>
      <c r="AH634">
        <v>2</v>
      </c>
      <c r="AI634">
        <v>2</v>
      </c>
      <c r="AJ634" s="2">
        <f>IF(tblHR[[#This Row],[Attrition]]="Yes",1,0)</f>
        <v>0</v>
      </c>
      <c r="AK634" t="str">
        <f>IF(tblHR[[#This Row],[Age]]&lt;26,"18-25",IF(tblHR[[#This Row],[Age]]&lt;36,"26-35",IF(tblHR[[#This Row],[Age]]&lt;46,"36-45",IF(tblHR[[#This Row],[Age]]&lt;56,"46-55","56+"))))</f>
        <v>36-45</v>
      </c>
    </row>
    <row r="635" spans="1:37"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s="1">
        <v>2342</v>
      </c>
      <c r="T635">
        <v>8635</v>
      </c>
      <c r="U635">
        <v>0</v>
      </c>
      <c r="V635" t="s">
        <v>42</v>
      </c>
      <c r="W635" t="s">
        <v>43</v>
      </c>
      <c r="X635">
        <v>21</v>
      </c>
      <c r="Y635">
        <v>4</v>
      </c>
      <c r="Z635">
        <v>3</v>
      </c>
      <c r="AA635">
        <v>80</v>
      </c>
      <c r="AB635">
        <v>0</v>
      </c>
      <c r="AC635">
        <v>6</v>
      </c>
      <c r="AD635">
        <v>3</v>
      </c>
      <c r="AE635">
        <v>3</v>
      </c>
      <c r="AF635">
        <v>5</v>
      </c>
      <c r="AG635">
        <v>4</v>
      </c>
      <c r="AH635">
        <v>0</v>
      </c>
      <c r="AI635">
        <v>3</v>
      </c>
      <c r="AJ635" s="2">
        <f>IF(tblHR[[#This Row],[Attrition]]="Yes",1,0)</f>
        <v>0</v>
      </c>
      <c r="AK635" t="str">
        <f>IF(tblHR[[#This Row],[Age]]&lt;26,"18-25",IF(tblHR[[#This Row],[Age]]&lt;36,"26-35",IF(tblHR[[#This Row],[Age]]&lt;46,"36-45",IF(tblHR[[#This Row],[Age]]&lt;56,"46-55","56+"))))</f>
        <v>36-45</v>
      </c>
    </row>
    <row r="636" spans="1:37"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s="1">
        <v>4194</v>
      </c>
      <c r="T636">
        <v>14363</v>
      </c>
      <c r="U636">
        <v>1</v>
      </c>
      <c r="V636" t="s">
        <v>42</v>
      </c>
      <c r="W636" t="s">
        <v>35</v>
      </c>
      <c r="X636">
        <v>18</v>
      </c>
      <c r="Y636">
        <v>3</v>
      </c>
      <c r="Z636">
        <v>4</v>
      </c>
      <c r="AA636">
        <v>80</v>
      </c>
      <c r="AB636">
        <v>0</v>
      </c>
      <c r="AC636">
        <v>5</v>
      </c>
      <c r="AD636">
        <v>3</v>
      </c>
      <c r="AE636">
        <v>3</v>
      </c>
      <c r="AF636">
        <v>5</v>
      </c>
      <c r="AG636">
        <v>3</v>
      </c>
      <c r="AH636">
        <v>0</v>
      </c>
      <c r="AI636">
        <v>3</v>
      </c>
      <c r="AJ636" s="2">
        <f>IF(tblHR[[#This Row],[Attrition]]="Yes",1,0)</f>
        <v>0</v>
      </c>
      <c r="AK636" t="str">
        <f>IF(tblHR[[#This Row],[Age]]&lt;26,"18-25",IF(tblHR[[#This Row],[Age]]&lt;36,"26-35",IF(tblHR[[#This Row],[Age]]&lt;46,"36-45",IF(tblHR[[#This Row],[Age]]&lt;56,"46-55","56+"))))</f>
        <v>18-25</v>
      </c>
    </row>
    <row r="637" spans="1:37"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s="1">
        <v>10685</v>
      </c>
      <c r="T637">
        <v>23457</v>
      </c>
      <c r="U637">
        <v>1</v>
      </c>
      <c r="V637" t="s">
        <v>42</v>
      </c>
      <c r="W637" t="s">
        <v>35</v>
      </c>
      <c r="X637">
        <v>20</v>
      </c>
      <c r="Y637">
        <v>4</v>
      </c>
      <c r="Z637">
        <v>2</v>
      </c>
      <c r="AA637">
        <v>80</v>
      </c>
      <c r="AB637">
        <v>1</v>
      </c>
      <c r="AC637">
        <v>17</v>
      </c>
      <c r="AD637">
        <v>2</v>
      </c>
      <c r="AE637">
        <v>3</v>
      </c>
      <c r="AF637">
        <v>17</v>
      </c>
      <c r="AG637">
        <v>14</v>
      </c>
      <c r="AH637">
        <v>5</v>
      </c>
      <c r="AI637">
        <v>15</v>
      </c>
      <c r="AJ637" s="2">
        <f>IF(tblHR[[#This Row],[Attrition]]="Yes",1,0)</f>
        <v>0</v>
      </c>
      <c r="AK637" t="str">
        <f>IF(tblHR[[#This Row],[Age]]&lt;26,"18-25",IF(tblHR[[#This Row],[Age]]&lt;36,"26-35",IF(tblHR[[#This Row],[Age]]&lt;46,"36-45",IF(tblHR[[#This Row],[Age]]&lt;56,"46-55","56+"))))</f>
        <v>26-35</v>
      </c>
    </row>
    <row r="638" spans="1:37"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s="1">
        <v>2022</v>
      </c>
      <c r="T638">
        <v>16612</v>
      </c>
      <c r="U638">
        <v>1</v>
      </c>
      <c r="V638" t="s">
        <v>42</v>
      </c>
      <c r="W638" t="s">
        <v>35</v>
      </c>
      <c r="X638">
        <v>19</v>
      </c>
      <c r="Y638">
        <v>3</v>
      </c>
      <c r="Z638">
        <v>1</v>
      </c>
      <c r="AA638">
        <v>80</v>
      </c>
      <c r="AB638">
        <v>1</v>
      </c>
      <c r="AC638">
        <v>10</v>
      </c>
      <c r="AD638">
        <v>3</v>
      </c>
      <c r="AE638">
        <v>2</v>
      </c>
      <c r="AF638">
        <v>10</v>
      </c>
      <c r="AG638">
        <v>2</v>
      </c>
      <c r="AH638">
        <v>7</v>
      </c>
      <c r="AI638">
        <v>8</v>
      </c>
      <c r="AJ638" s="2">
        <f>IF(tblHR[[#This Row],[Attrition]]="Yes",1,0)</f>
        <v>1</v>
      </c>
      <c r="AK638" t="str">
        <f>IF(tblHR[[#This Row],[Age]]&lt;26,"18-25",IF(tblHR[[#This Row],[Age]]&lt;36,"26-35",IF(tblHR[[#This Row],[Age]]&lt;46,"36-45",IF(tblHR[[#This Row],[Age]]&lt;56,"46-55","56+"))))</f>
        <v>26-35</v>
      </c>
    </row>
    <row r="639" spans="1:37"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s="1">
        <v>2314</v>
      </c>
      <c r="T639">
        <v>9148</v>
      </c>
      <c r="U639">
        <v>0</v>
      </c>
      <c r="V639" t="s">
        <v>42</v>
      </c>
      <c r="W639" t="s">
        <v>43</v>
      </c>
      <c r="X639">
        <v>12</v>
      </c>
      <c r="Y639">
        <v>3</v>
      </c>
      <c r="Z639">
        <v>2</v>
      </c>
      <c r="AA639">
        <v>80</v>
      </c>
      <c r="AB639">
        <v>1</v>
      </c>
      <c r="AC639">
        <v>4</v>
      </c>
      <c r="AD639">
        <v>2</v>
      </c>
      <c r="AE639">
        <v>3</v>
      </c>
      <c r="AF639">
        <v>3</v>
      </c>
      <c r="AG639">
        <v>0</v>
      </c>
      <c r="AH639">
        <v>0</v>
      </c>
      <c r="AI639">
        <v>2</v>
      </c>
      <c r="AJ639" s="2">
        <f>IF(tblHR[[#This Row],[Attrition]]="Yes",1,0)</f>
        <v>0</v>
      </c>
      <c r="AK639" t="str">
        <f>IF(tblHR[[#This Row],[Age]]&lt;26,"18-25",IF(tblHR[[#This Row],[Age]]&lt;36,"26-35",IF(tblHR[[#This Row],[Age]]&lt;46,"36-45",IF(tblHR[[#This Row],[Age]]&lt;56,"46-55","56+"))))</f>
        <v>26-35</v>
      </c>
    </row>
    <row r="640" spans="1:37"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s="1">
        <v>4256</v>
      </c>
      <c r="T640">
        <v>18154</v>
      </c>
      <c r="U640">
        <v>1</v>
      </c>
      <c r="V640" t="s">
        <v>42</v>
      </c>
      <c r="W640" t="s">
        <v>43</v>
      </c>
      <c r="X640">
        <v>12</v>
      </c>
      <c r="Y640">
        <v>3</v>
      </c>
      <c r="Z640">
        <v>1</v>
      </c>
      <c r="AA640">
        <v>80</v>
      </c>
      <c r="AB640">
        <v>0</v>
      </c>
      <c r="AC640">
        <v>5</v>
      </c>
      <c r="AD640">
        <v>1</v>
      </c>
      <c r="AE640">
        <v>4</v>
      </c>
      <c r="AF640">
        <v>5</v>
      </c>
      <c r="AG640">
        <v>2</v>
      </c>
      <c r="AH640">
        <v>0</v>
      </c>
      <c r="AI640">
        <v>3</v>
      </c>
      <c r="AJ640" s="2">
        <f>IF(tblHR[[#This Row],[Attrition]]="Yes",1,0)</f>
        <v>0</v>
      </c>
      <c r="AK640" t="str">
        <f>IF(tblHR[[#This Row],[Age]]&lt;26,"18-25",IF(tblHR[[#This Row],[Age]]&lt;36,"26-35",IF(tblHR[[#This Row],[Age]]&lt;46,"36-45",IF(tblHR[[#This Row],[Age]]&lt;56,"46-55","56+"))))</f>
        <v>18-25</v>
      </c>
    </row>
    <row r="641" spans="1:37"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s="1">
        <v>3580</v>
      </c>
      <c r="T641">
        <v>10554</v>
      </c>
      <c r="U641">
        <v>2</v>
      </c>
      <c r="V641" t="s">
        <v>42</v>
      </c>
      <c r="W641" t="s">
        <v>43</v>
      </c>
      <c r="X641">
        <v>16</v>
      </c>
      <c r="Y641">
        <v>3</v>
      </c>
      <c r="Z641">
        <v>2</v>
      </c>
      <c r="AA641">
        <v>80</v>
      </c>
      <c r="AB641">
        <v>1</v>
      </c>
      <c r="AC641">
        <v>7</v>
      </c>
      <c r="AD641">
        <v>2</v>
      </c>
      <c r="AE641">
        <v>3</v>
      </c>
      <c r="AF641">
        <v>4</v>
      </c>
      <c r="AG641">
        <v>2</v>
      </c>
      <c r="AH641">
        <v>0</v>
      </c>
      <c r="AI641">
        <v>2</v>
      </c>
      <c r="AJ641" s="2">
        <f>IF(tblHR[[#This Row],[Attrition]]="Yes",1,0)</f>
        <v>0</v>
      </c>
      <c r="AK641" t="str">
        <f>IF(tblHR[[#This Row],[Age]]&lt;26,"18-25",IF(tblHR[[#This Row],[Age]]&lt;36,"26-35",IF(tblHR[[#This Row],[Age]]&lt;46,"36-45",IF(tblHR[[#This Row],[Age]]&lt;56,"46-55","56+"))))</f>
        <v>46-55</v>
      </c>
    </row>
    <row r="642" spans="1:37"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s="1">
        <v>3162</v>
      </c>
      <c r="T642">
        <v>10778</v>
      </c>
      <c r="U642">
        <v>0</v>
      </c>
      <c r="V642" t="s">
        <v>42</v>
      </c>
      <c r="W642" t="s">
        <v>43</v>
      </c>
      <c r="X642">
        <v>17</v>
      </c>
      <c r="Y642">
        <v>3</v>
      </c>
      <c r="Z642">
        <v>4</v>
      </c>
      <c r="AA642">
        <v>80</v>
      </c>
      <c r="AB642">
        <v>0</v>
      </c>
      <c r="AC642">
        <v>6</v>
      </c>
      <c r="AD642">
        <v>2</v>
      </c>
      <c r="AE642">
        <v>2</v>
      </c>
      <c r="AF642">
        <v>5</v>
      </c>
      <c r="AG642">
        <v>2</v>
      </c>
      <c r="AH642">
        <v>3</v>
      </c>
      <c r="AI642">
        <v>4</v>
      </c>
      <c r="AJ642" s="2">
        <f>IF(tblHR[[#This Row],[Attrition]]="Yes",1,0)</f>
        <v>0</v>
      </c>
      <c r="AK642" t="str">
        <f>IF(tblHR[[#This Row],[Age]]&lt;26,"18-25",IF(tblHR[[#This Row],[Age]]&lt;36,"26-35",IF(tblHR[[#This Row],[Age]]&lt;46,"36-45",IF(tblHR[[#This Row],[Age]]&lt;56,"46-55","56+"))))</f>
        <v>18-25</v>
      </c>
    </row>
    <row r="643" spans="1:37"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s="1">
        <v>6524</v>
      </c>
      <c r="T643">
        <v>8891</v>
      </c>
      <c r="U643">
        <v>1</v>
      </c>
      <c r="V643" t="s">
        <v>42</v>
      </c>
      <c r="W643" t="s">
        <v>43</v>
      </c>
      <c r="X643">
        <v>14</v>
      </c>
      <c r="Y643">
        <v>3</v>
      </c>
      <c r="Z643">
        <v>4</v>
      </c>
      <c r="AA643">
        <v>80</v>
      </c>
      <c r="AB643">
        <v>1</v>
      </c>
      <c r="AC643">
        <v>10</v>
      </c>
      <c r="AD643">
        <v>3</v>
      </c>
      <c r="AE643">
        <v>3</v>
      </c>
      <c r="AF643">
        <v>10</v>
      </c>
      <c r="AG643">
        <v>8</v>
      </c>
      <c r="AH643">
        <v>5</v>
      </c>
      <c r="AI643">
        <v>3</v>
      </c>
      <c r="AJ643" s="2">
        <f>IF(tblHR[[#This Row],[Attrition]]="Yes",1,0)</f>
        <v>0</v>
      </c>
      <c r="AK643" t="str">
        <f>IF(tblHR[[#This Row],[Age]]&lt;26,"18-25",IF(tblHR[[#This Row],[Age]]&lt;36,"26-35",IF(tblHR[[#This Row],[Age]]&lt;46,"36-45",IF(tblHR[[#This Row],[Age]]&lt;56,"46-55","56+"))))</f>
        <v>26-35</v>
      </c>
    </row>
    <row r="644" spans="1:37"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s="1">
        <v>2899</v>
      </c>
      <c r="T644">
        <v>12102</v>
      </c>
      <c r="U644">
        <v>0</v>
      </c>
      <c r="V644" t="s">
        <v>42</v>
      </c>
      <c r="W644" t="s">
        <v>43</v>
      </c>
      <c r="X644">
        <v>19</v>
      </c>
      <c r="Y644">
        <v>3</v>
      </c>
      <c r="Z644">
        <v>4</v>
      </c>
      <c r="AA644">
        <v>80</v>
      </c>
      <c r="AB644">
        <v>1</v>
      </c>
      <c r="AC644">
        <v>3</v>
      </c>
      <c r="AD644">
        <v>3</v>
      </c>
      <c r="AE644">
        <v>3</v>
      </c>
      <c r="AF644">
        <v>2</v>
      </c>
      <c r="AG644">
        <v>2</v>
      </c>
      <c r="AH644">
        <v>1</v>
      </c>
      <c r="AI644">
        <v>2</v>
      </c>
      <c r="AJ644" s="2">
        <f>IF(tblHR[[#This Row],[Attrition]]="Yes",1,0)</f>
        <v>0</v>
      </c>
      <c r="AK644" t="str">
        <f>IF(tblHR[[#This Row],[Age]]&lt;26,"18-25",IF(tblHR[[#This Row],[Age]]&lt;36,"26-35",IF(tblHR[[#This Row],[Age]]&lt;46,"36-45",IF(tblHR[[#This Row],[Age]]&lt;56,"46-55","56+"))))</f>
        <v>36-45</v>
      </c>
    </row>
    <row r="645" spans="1:37"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s="1">
        <v>5231</v>
      </c>
      <c r="T645">
        <v>23726</v>
      </c>
      <c r="U645">
        <v>2</v>
      </c>
      <c r="V645" t="s">
        <v>42</v>
      </c>
      <c r="W645" t="s">
        <v>35</v>
      </c>
      <c r="X645">
        <v>13</v>
      </c>
      <c r="Y645">
        <v>3</v>
      </c>
      <c r="Z645">
        <v>2</v>
      </c>
      <c r="AA645">
        <v>80</v>
      </c>
      <c r="AB645">
        <v>1</v>
      </c>
      <c r="AC645">
        <v>17</v>
      </c>
      <c r="AD645">
        <v>1</v>
      </c>
      <c r="AE645">
        <v>2</v>
      </c>
      <c r="AF645">
        <v>5</v>
      </c>
      <c r="AG645">
        <v>3</v>
      </c>
      <c r="AH645">
        <v>1</v>
      </c>
      <c r="AI645">
        <v>3</v>
      </c>
      <c r="AJ645" s="2">
        <f>IF(tblHR[[#This Row],[Attrition]]="Yes",1,0)</f>
        <v>0</v>
      </c>
      <c r="AK645" t="str">
        <f>IF(tblHR[[#This Row],[Age]]&lt;26,"18-25",IF(tblHR[[#This Row],[Age]]&lt;36,"26-35",IF(tblHR[[#This Row],[Age]]&lt;46,"36-45",IF(tblHR[[#This Row],[Age]]&lt;56,"46-55","56+"))))</f>
        <v>36-45</v>
      </c>
    </row>
    <row r="646" spans="1:37"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s="1">
        <v>2356</v>
      </c>
      <c r="T646">
        <v>14871</v>
      </c>
      <c r="U646">
        <v>3</v>
      </c>
      <c r="V646" t="s">
        <v>42</v>
      </c>
      <c r="W646" t="s">
        <v>35</v>
      </c>
      <c r="X646">
        <v>19</v>
      </c>
      <c r="Y646">
        <v>3</v>
      </c>
      <c r="Z646">
        <v>2</v>
      </c>
      <c r="AA646">
        <v>80</v>
      </c>
      <c r="AB646">
        <v>1</v>
      </c>
      <c r="AC646">
        <v>8</v>
      </c>
      <c r="AD646">
        <v>2</v>
      </c>
      <c r="AE646">
        <v>3</v>
      </c>
      <c r="AF646">
        <v>6</v>
      </c>
      <c r="AG646">
        <v>4</v>
      </c>
      <c r="AH646">
        <v>0</v>
      </c>
      <c r="AI646">
        <v>2</v>
      </c>
      <c r="AJ646" s="2">
        <f>IF(tblHR[[#This Row],[Attrition]]="Yes",1,0)</f>
        <v>0</v>
      </c>
      <c r="AK646" t="str">
        <f>IF(tblHR[[#This Row],[Age]]&lt;26,"18-25",IF(tblHR[[#This Row],[Age]]&lt;36,"26-35",IF(tblHR[[#This Row],[Age]]&lt;46,"36-45",IF(tblHR[[#This Row],[Age]]&lt;56,"46-55","56+"))))</f>
        <v>26-35</v>
      </c>
    </row>
    <row r="647" spans="1:37"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s="1">
        <v>2800</v>
      </c>
      <c r="T647">
        <v>23522</v>
      </c>
      <c r="U647">
        <v>6</v>
      </c>
      <c r="V647" t="s">
        <v>42</v>
      </c>
      <c r="W647" t="s">
        <v>35</v>
      </c>
      <c r="X647">
        <v>19</v>
      </c>
      <c r="Y647">
        <v>3</v>
      </c>
      <c r="Z647">
        <v>3</v>
      </c>
      <c r="AA647">
        <v>80</v>
      </c>
      <c r="AB647">
        <v>3</v>
      </c>
      <c r="AC647">
        <v>5</v>
      </c>
      <c r="AD647">
        <v>3</v>
      </c>
      <c r="AE647">
        <v>3</v>
      </c>
      <c r="AF647">
        <v>3</v>
      </c>
      <c r="AG647">
        <v>2</v>
      </c>
      <c r="AH647">
        <v>0</v>
      </c>
      <c r="AI647">
        <v>2</v>
      </c>
      <c r="AJ647" s="2">
        <f>IF(tblHR[[#This Row],[Attrition]]="Yes",1,0)</f>
        <v>1</v>
      </c>
      <c r="AK647" t="str">
        <f>IF(tblHR[[#This Row],[Age]]&lt;26,"18-25",IF(tblHR[[#This Row],[Age]]&lt;36,"26-35",IF(tblHR[[#This Row],[Age]]&lt;46,"36-45",IF(tblHR[[#This Row],[Age]]&lt;56,"46-55","56+"))))</f>
        <v>26-35</v>
      </c>
    </row>
    <row r="648" spans="1:37"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s="1">
        <v>11836</v>
      </c>
      <c r="T648">
        <v>22789</v>
      </c>
      <c r="U648">
        <v>5</v>
      </c>
      <c r="V648" t="s">
        <v>42</v>
      </c>
      <c r="W648" t="s">
        <v>43</v>
      </c>
      <c r="X648">
        <v>14</v>
      </c>
      <c r="Y648">
        <v>3</v>
      </c>
      <c r="Z648">
        <v>3</v>
      </c>
      <c r="AA648">
        <v>80</v>
      </c>
      <c r="AB648">
        <v>1</v>
      </c>
      <c r="AC648">
        <v>28</v>
      </c>
      <c r="AD648">
        <v>3</v>
      </c>
      <c r="AE648">
        <v>3</v>
      </c>
      <c r="AF648">
        <v>2</v>
      </c>
      <c r="AG648">
        <v>0</v>
      </c>
      <c r="AH648">
        <v>2</v>
      </c>
      <c r="AI648">
        <v>2</v>
      </c>
      <c r="AJ648" s="2">
        <f>IF(tblHR[[#This Row],[Attrition]]="Yes",1,0)</f>
        <v>0</v>
      </c>
      <c r="AK648" t="str">
        <f>IF(tblHR[[#This Row],[Age]]&lt;26,"18-25",IF(tblHR[[#This Row],[Age]]&lt;36,"26-35",IF(tblHR[[#This Row],[Age]]&lt;46,"36-45",IF(tblHR[[#This Row],[Age]]&lt;56,"46-55","56+"))))</f>
        <v>46-55</v>
      </c>
    </row>
    <row r="649" spans="1:37"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s="1">
        <v>10903</v>
      </c>
      <c r="T649">
        <v>9129</v>
      </c>
      <c r="U649">
        <v>3</v>
      </c>
      <c r="V649" t="s">
        <v>42</v>
      </c>
      <c r="W649" t="s">
        <v>43</v>
      </c>
      <c r="X649">
        <v>16</v>
      </c>
      <c r="Y649">
        <v>3</v>
      </c>
      <c r="Z649">
        <v>1</v>
      </c>
      <c r="AA649">
        <v>80</v>
      </c>
      <c r="AB649">
        <v>0</v>
      </c>
      <c r="AC649">
        <v>16</v>
      </c>
      <c r="AD649">
        <v>2</v>
      </c>
      <c r="AE649">
        <v>3</v>
      </c>
      <c r="AF649">
        <v>13</v>
      </c>
      <c r="AG649">
        <v>10</v>
      </c>
      <c r="AH649">
        <v>4</v>
      </c>
      <c r="AI649">
        <v>8</v>
      </c>
      <c r="AJ649" s="2">
        <f>IF(tblHR[[#This Row],[Attrition]]="Yes",1,0)</f>
        <v>0</v>
      </c>
      <c r="AK649" t="str">
        <f>IF(tblHR[[#This Row],[Age]]&lt;26,"18-25",IF(tblHR[[#This Row],[Age]]&lt;36,"26-35",IF(tblHR[[#This Row],[Age]]&lt;46,"36-45",IF(tblHR[[#This Row],[Age]]&lt;56,"46-55","56+"))))</f>
        <v>26-35</v>
      </c>
    </row>
    <row r="650" spans="1:37"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s="1">
        <v>2973</v>
      </c>
      <c r="T650">
        <v>21222</v>
      </c>
      <c r="U650">
        <v>5</v>
      </c>
      <c r="V650" t="s">
        <v>42</v>
      </c>
      <c r="W650" t="s">
        <v>43</v>
      </c>
      <c r="X650">
        <v>15</v>
      </c>
      <c r="Y650">
        <v>3</v>
      </c>
      <c r="Z650">
        <v>2</v>
      </c>
      <c r="AA650">
        <v>80</v>
      </c>
      <c r="AB650">
        <v>1</v>
      </c>
      <c r="AC650">
        <v>10</v>
      </c>
      <c r="AD650">
        <v>3</v>
      </c>
      <c r="AE650">
        <v>3</v>
      </c>
      <c r="AF650">
        <v>5</v>
      </c>
      <c r="AG650">
        <v>4</v>
      </c>
      <c r="AH650">
        <v>0</v>
      </c>
      <c r="AI650">
        <v>0</v>
      </c>
      <c r="AJ650" s="2">
        <f>IF(tblHR[[#This Row],[Attrition]]="Yes",1,0)</f>
        <v>0</v>
      </c>
      <c r="AK650" t="str">
        <f>IF(tblHR[[#This Row],[Age]]&lt;26,"18-25",IF(tblHR[[#This Row],[Age]]&lt;36,"26-35",IF(tblHR[[#This Row],[Age]]&lt;46,"36-45",IF(tblHR[[#This Row],[Age]]&lt;56,"46-55","56+"))))</f>
        <v>36-45</v>
      </c>
    </row>
    <row r="651" spans="1:37"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s="1">
        <v>14275</v>
      </c>
      <c r="T651">
        <v>20206</v>
      </c>
      <c r="U651">
        <v>6</v>
      </c>
      <c r="V651" t="s">
        <v>42</v>
      </c>
      <c r="W651" t="s">
        <v>43</v>
      </c>
      <c r="X651">
        <v>18</v>
      </c>
      <c r="Y651">
        <v>3</v>
      </c>
      <c r="Z651">
        <v>3</v>
      </c>
      <c r="AA651">
        <v>80</v>
      </c>
      <c r="AB651">
        <v>0</v>
      </c>
      <c r="AC651">
        <v>33</v>
      </c>
      <c r="AD651">
        <v>0</v>
      </c>
      <c r="AE651">
        <v>3</v>
      </c>
      <c r="AF651">
        <v>12</v>
      </c>
      <c r="AG651">
        <v>9</v>
      </c>
      <c r="AH651">
        <v>3</v>
      </c>
      <c r="AI651">
        <v>8</v>
      </c>
      <c r="AJ651" s="2">
        <f>IF(tblHR[[#This Row],[Attrition]]="Yes",1,0)</f>
        <v>0</v>
      </c>
      <c r="AK651" t="str">
        <f>IF(tblHR[[#This Row],[Age]]&lt;26,"18-25",IF(tblHR[[#This Row],[Age]]&lt;36,"26-35",IF(tblHR[[#This Row],[Age]]&lt;46,"36-45",IF(tblHR[[#This Row],[Age]]&lt;56,"46-55","56+"))))</f>
        <v>46-55</v>
      </c>
    </row>
    <row r="652" spans="1:37"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s="1">
        <v>5562</v>
      </c>
      <c r="T652">
        <v>21782</v>
      </c>
      <c r="U652">
        <v>4</v>
      </c>
      <c r="V652" t="s">
        <v>42</v>
      </c>
      <c r="W652" t="s">
        <v>43</v>
      </c>
      <c r="X652">
        <v>13</v>
      </c>
      <c r="Y652">
        <v>3</v>
      </c>
      <c r="Z652">
        <v>2</v>
      </c>
      <c r="AA652">
        <v>80</v>
      </c>
      <c r="AB652">
        <v>1</v>
      </c>
      <c r="AC652">
        <v>12</v>
      </c>
      <c r="AD652">
        <v>2</v>
      </c>
      <c r="AE652">
        <v>2</v>
      </c>
      <c r="AF652">
        <v>5</v>
      </c>
      <c r="AG652">
        <v>2</v>
      </c>
      <c r="AH652">
        <v>2</v>
      </c>
      <c r="AI652">
        <v>2</v>
      </c>
      <c r="AJ652" s="2">
        <f>IF(tblHR[[#This Row],[Attrition]]="Yes",1,0)</f>
        <v>0</v>
      </c>
      <c r="AK652" t="str">
        <f>IF(tblHR[[#This Row],[Age]]&lt;26,"18-25",IF(tblHR[[#This Row],[Age]]&lt;36,"26-35",IF(tblHR[[#This Row],[Age]]&lt;46,"36-45",IF(tblHR[[#This Row],[Age]]&lt;56,"46-55","56+"))))</f>
        <v>36-45</v>
      </c>
    </row>
    <row r="653" spans="1:37"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s="1">
        <v>4537</v>
      </c>
      <c r="T653">
        <v>17783</v>
      </c>
      <c r="U653">
        <v>0</v>
      </c>
      <c r="V653" t="s">
        <v>42</v>
      </c>
      <c r="W653" t="s">
        <v>35</v>
      </c>
      <c r="X653">
        <v>22</v>
      </c>
      <c r="Y653">
        <v>4</v>
      </c>
      <c r="Z653">
        <v>1</v>
      </c>
      <c r="AA653">
        <v>80</v>
      </c>
      <c r="AB653">
        <v>1</v>
      </c>
      <c r="AC653">
        <v>8</v>
      </c>
      <c r="AD653">
        <v>2</v>
      </c>
      <c r="AE653">
        <v>3</v>
      </c>
      <c r="AF653">
        <v>7</v>
      </c>
      <c r="AG653">
        <v>6</v>
      </c>
      <c r="AH653">
        <v>7</v>
      </c>
      <c r="AI653">
        <v>7</v>
      </c>
      <c r="AJ653" s="2">
        <f>IF(tblHR[[#This Row],[Attrition]]="Yes",1,0)</f>
        <v>0</v>
      </c>
      <c r="AK653" t="str">
        <f>IF(tblHR[[#This Row],[Age]]&lt;26,"18-25",IF(tblHR[[#This Row],[Age]]&lt;36,"26-35",IF(tblHR[[#This Row],[Age]]&lt;46,"36-45",IF(tblHR[[#This Row],[Age]]&lt;56,"46-55","56+"))))</f>
        <v>46-55</v>
      </c>
    </row>
    <row r="654" spans="1:37"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s="1">
        <v>7642</v>
      </c>
      <c r="T654">
        <v>4814</v>
      </c>
      <c r="U654">
        <v>1</v>
      </c>
      <c r="V654" t="s">
        <v>42</v>
      </c>
      <c r="W654" t="s">
        <v>35</v>
      </c>
      <c r="X654">
        <v>13</v>
      </c>
      <c r="Y654">
        <v>3</v>
      </c>
      <c r="Z654">
        <v>4</v>
      </c>
      <c r="AA654">
        <v>80</v>
      </c>
      <c r="AB654">
        <v>0</v>
      </c>
      <c r="AC654">
        <v>10</v>
      </c>
      <c r="AD654">
        <v>2</v>
      </c>
      <c r="AE654">
        <v>3</v>
      </c>
      <c r="AF654">
        <v>10</v>
      </c>
      <c r="AG654">
        <v>0</v>
      </c>
      <c r="AH654">
        <v>0</v>
      </c>
      <c r="AI654">
        <v>9</v>
      </c>
      <c r="AJ654" s="2">
        <f>IF(tblHR[[#This Row],[Attrition]]="Yes",1,0)</f>
        <v>0</v>
      </c>
      <c r="AK654" t="str">
        <f>IF(tblHR[[#This Row],[Age]]&lt;26,"18-25",IF(tblHR[[#This Row],[Age]]&lt;36,"26-35",IF(tblHR[[#This Row],[Age]]&lt;46,"36-45",IF(tblHR[[#This Row],[Age]]&lt;56,"46-55","56+"))))</f>
        <v>36-45</v>
      </c>
    </row>
    <row r="655" spans="1:37"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s="1">
        <v>17924</v>
      </c>
      <c r="T655">
        <v>4544</v>
      </c>
      <c r="U655">
        <v>1</v>
      </c>
      <c r="V655" t="s">
        <v>42</v>
      </c>
      <c r="W655" t="s">
        <v>43</v>
      </c>
      <c r="X655">
        <v>11</v>
      </c>
      <c r="Y655">
        <v>3</v>
      </c>
      <c r="Z655">
        <v>4</v>
      </c>
      <c r="AA655">
        <v>80</v>
      </c>
      <c r="AB655">
        <v>1</v>
      </c>
      <c r="AC655">
        <v>31</v>
      </c>
      <c r="AD655">
        <v>3</v>
      </c>
      <c r="AE655">
        <v>3</v>
      </c>
      <c r="AF655">
        <v>31</v>
      </c>
      <c r="AG655">
        <v>6</v>
      </c>
      <c r="AH655">
        <v>14</v>
      </c>
      <c r="AI655">
        <v>7</v>
      </c>
      <c r="AJ655" s="2">
        <f>IF(tblHR[[#This Row],[Attrition]]="Yes",1,0)</f>
        <v>0</v>
      </c>
      <c r="AK655" t="str">
        <f>IF(tblHR[[#This Row],[Age]]&lt;26,"18-25",IF(tblHR[[#This Row],[Age]]&lt;36,"26-35",IF(tblHR[[#This Row],[Age]]&lt;46,"36-45",IF(tblHR[[#This Row],[Age]]&lt;56,"46-55","56+"))))</f>
        <v>46-55</v>
      </c>
    </row>
    <row r="656" spans="1:37"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s="1">
        <v>5204</v>
      </c>
      <c r="T656">
        <v>7790</v>
      </c>
      <c r="U656">
        <v>8</v>
      </c>
      <c r="V656" t="s">
        <v>42</v>
      </c>
      <c r="W656" t="s">
        <v>43</v>
      </c>
      <c r="X656">
        <v>11</v>
      </c>
      <c r="Y656">
        <v>3</v>
      </c>
      <c r="Z656">
        <v>3</v>
      </c>
      <c r="AA656">
        <v>80</v>
      </c>
      <c r="AB656">
        <v>2</v>
      </c>
      <c r="AC656">
        <v>13</v>
      </c>
      <c r="AD656">
        <v>2</v>
      </c>
      <c r="AE656">
        <v>3</v>
      </c>
      <c r="AF656">
        <v>5</v>
      </c>
      <c r="AG656">
        <v>4</v>
      </c>
      <c r="AH656">
        <v>0</v>
      </c>
      <c r="AI656">
        <v>4</v>
      </c>
      <c r="AJ656" s="2">
        <f>IF(tblHR[[#This Row],[Attrition]]="Yes",1,0)</f>
        <v>0</v>
      </c>
      <c r="AK656" t="str">
        <f>IF(tblHR[[#This Row],[Age]]&lt;26,"18-25",IF(tblHR[[#This Row],[Age]]&lt;36,"26-35",IF(tblHR[[#This Row],[Age]]&lt;46,"36-45",IF(tblHR[[#This Row],[Age]]&lt;56,"46-55","56+"))))</f>
        <v>36-45</v>
      </c>
    </row>
    <row r="657" spans="1:37"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s="1">
        <v>2277</v>
      </c>
      <c r="T657">
        <v>22650</v>
      </c>
      <c r="U657">
        <v>3</v>
      </c>
      <c r="V657" t="s">
        <v>42</v>
      </c>
      <c r="W657" t="s">
        <v>35</v>
      </c>
      <c r="X657">
        <v>11</v>
      </c>
      <c r="Y657">
        <v>3</v>
      </c>
      <c r="Z657">
        <v>3</v>
      </c>
      <c r="AA657">
        <v>80</v>
      </c>
      <c r="AB657">
        <v>1</v>
      </c>
      <c r="AC657">
        <v>7</v>
      </c>
      <c r="AD657">
        <v>4</v>
      </c>
      <c r="AE657">
        <v>4</v>
      </c>
      <c r="AF657">
        <v>4</v>
      </c>
      <c r="AG657">
        <v>3</v>
      </c>
      <c r="AH657">
        <v>0</v>
      </c>
      <c r="AI657">
        <v>3</v>
      </c>
      <c r="AJ657" s="2">
        <f>IF(tblHR[[#This Row],[Attrition]]="Yes",1,0)</f>
        <v>0</v>
      </c>
      <c r="AK657" t="str">
        <f>IF(tblHR[[#This Row],[Age]]&lt;26,"18-25",IF(tblHR[[#This Row],[Age]]&lt;36,"26-35",IF(tblHR[[#This Row],[Age]]&lt;46,"36-45",IF(tblHR[[#This Row],[Age]]&lt;56,"46-55","56+"))))</f>
        <v>26-35</v>
      </c>
    </row>
    <row r="658" spans="1:37"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s="1">
        <v>2795</v>
      </c>
      <c r="T658">
        <v>18016</v>
      </c>
      <c r="U658">
        <v>1</v>
      </c>
      <c r="V658" t="s">
        <v>42</v>
      </c>
      <c r="W658" t="s">
        <v>35</v>
      </c>
      <c r="X658">
        <v>24</v>
      </c>
      <c r="Y658">
        <v>4</v>
      </c>
      <c r="Z658">
        <v>3</v>
      </c>
      <c r="AA658">
        <v>80</v>
      </c>
      <c r="AB658">
        <v>0</v>
      </c>
      <c r="AC658">
        <v>1</v>
      </c>
      <c r="AD658">
        <v>2</v>
      </c>
      <c r="AE658">
        <v>1</v>
      </c>
      <c r="AF658">
        <v>1</v>
      </c>
      <c r="AG658">
        <v>0</v>
      </c>
      <c r="AH658">
        <v>0</v>
      </c>
      <c r="AI658">
        <v>1</v>
      </c>
      <c r="AJ658" s="2">
        <f>IF(tblHR[[#This Row],[Attrition]]="Yes",1,0)</f>
        <v>1</v>
      </c>
      <c r="AK658" t="str">
        <f>IF(tblHR[[#This Row],[Age]]&lt;26,"18-25",IF(tblHR[[#This Row],[Age]]&lt;36,"26-35",IF(tblHR[[#This Row],[Age]]&lt;46,"36-45",IF(tblHR[[#This Row],[Age]]&lt;56,"46-55","56+"))))</f>
        <v>26-35</v>
      </c>
    </row>
    <row r="659" spans="1:37"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s="1">
        <v>2532</v>
      </c>
      <c r="T659">
        <v>6054</v>
      </c>
      <c r="U659">
        <v>6</v>
      </c>
      <c r="V659" t="s">
        <v>42</v>
      </c>
      <c r="W659" t="s">
        <v>43</v>
      </c>
      <c r="X659">
        <v>14</v>
      </c>
      <c r="Y659">
        <v>3</v>
      </c>
      <c r="Z659">
        <v>3</v>
      </c>
      <c r="AA659">
        <v>80</v>
      </c>
      <c r="AB659">
        <v>3</v>
      </c>
      <c r="AC659">
        <v>8</v>
      </c>
      <c r="AD659">
        <v>5</v>
      </c>
      <c r="AE659">
        <v>3</v>
      </c>
      <c r="AF659">
        <v>4</v>
      </c>
      <c r="AG659">
        <v>3</v>
      </c>
      <c r="AH659">
        <v>0</v>
      </c>
      <c r="AI659">
        <v>3</v>
      </c>
      <c r="AJ659" s="2">
        <f>IF(tblHR[[#This Row],[Attrition]]="Yes",1,0)</f>
        <v>0</v>
      </c>
      <c r="AK659" t="str">
        <f>IF(tblHR[[#This Row],[Age]]&lt;26,"18-25",IF(tblHR[[#This Row],[Age]]&lt;36,"26-35",IF(tblHR[[#This Row],[Age]]&lt;46,"36-45",IF(tblHR[[#This Row],[Age]]&lt;56,"46-55","56+"))))</f>
        <v>26-35</v>
      </c>
    </row>
    <row r="660" spans="1:37"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s="1">
        <v>2559</v>
      </c>
      <c r="T660">
        <v>7508</v>
      </c>
      <c r="U660">
        <v>1</v>
      </c>
      <c r="V660" t="s">
        <v>42</v>
      </c>
      <c r="W660" t="s">
        <v>35</v>
      </c>
      <c r="X660">
        <v>13</v>
      </c>
      <c r="Y660">
        <v>3</v>
      </c>
      <c r="Z660">
        <v>4</v>
      </c>
      <c r="AA660">
        <v>80</v>
      </c>
      <c r="AB660">
        <v>0</v>
      </c>
      <c r="AC660">
        <v>8</v>
      </c>
      <c r="AD660">
        <v>0</v>
      </c>
      <c r="AE660">
        <v>3</v>
      </c>
      <c r="AF660">
        <v>8</v>
      </c>
      <c r="AG660">
        <v>7</v>
      </c>
      <c r="AH660">
        <v>7</v>
      </c>
      <c r="AI660">
        <v>1</v>
      </c>
      <c r="AJ660" s="2">
        <f>IF(tblHR[[#This Row],[Attrition]]="Yes",1,0)</f>
        <v>0</v>
      </c>
      <c r="AK660" t="str">
        <f>IF(tblHR[[#This Row],[Age]]&lt;26,"18-25",IF(tblHR[[#This Row],[Age]]&lt;36,"26-35",IF(tblHR[[#This Row],[Age]]&lt;46,"36-45",IF(tblHR[[#This Row],[Age]]&lt;56,"46-55","56+"))))</f>
        <v>36-45</v>
      </c>
    </row>
    <row r="661" spans="1:37"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s="1">
        <v>4908</v>
      </c>
      <c r="T661">
        <v>24252</v>
      </c>
      <c r="U661">
        <v>1</v>
      </c>
      <c r="V661" t="s">
        <v>42</v>
      </c>
      <c r="W661" t="s">
        <v>43</v>
      </c>
      <c r="X661">
        <v>14</v>
      </c>
      <c r="Y661">
        <v>3</v>
      </c>
      <c r="Z661">
        <v>2</v>
      </c>
      <c r="AA661">
        <v>80</v>
      </c>
      <c r="AB661">
        <v>0</v>
      </c>
      <c r="AC661">
        <v>4</v>
      </c>
      <c r="AD661">
        <v>3</v>
      </c>
      <c r="AE661">
        <v>3</v>
      </c>
      <c r="AF661">
        <v>4</v>
      </c>
      <c r="AG661">
        <v>2</v>
      </c>
      <c r="AH661">
        <v>0</v>
      </c>
      <c r="AI661">
        <v>2</v>
      </c>
      <c r="AJ661" s="2">
        <f>IF(tblHR[[#This Row],[Attrition]]="Yes",1,0)</f>
        <v>0</v>
      </c>
      <c r="AK661" t="str">
        <f>IF(tblHR[[#This Row],[Age]]&lt;26,"18-25",IF(tblHR[[#This Row],[Age]]&lt;36,"26-35",IF(tblHR[[#This Row],[Age]]&lt;46,"36-45",IF(tblHR[[#This Row],[Age]]&lt;56,"46-55","56+"))))</f>
        <v>26-35</v>
      </c>
    </row>
    <row r="662" spans="1:37"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s="1">
        <v>2380</v>
      </c>
      <c r="T662">
        <v>13384</v>
      </c>
      <c r="U662">
        <v>9</v>
      </c>
      <c r="V662" t="s">
        <v>42</v>
      </c>
      <c r="W662" t="s">
        <v>35</v>
      </c>
      <c r="X662">
        <v>14</v>
      </c>
      <c r="Y662">
        <v>3</v>
      </c>
      <c r="Z662">
        <v>4</v>
      </c>
      <c r="AA662">
        <v>80</v>
      </c>
      <c r="AB662">
        <v>1</v>
      </c>
      <c r="AC662">
        <v>3</v>
      </c>
      <c r="AD662">
        <v>3</v>
      </c>
      <c r="AE662">
        <v>2</v>
      </c>
      <c r="AF662">
        <v>1</v>
      </c>
      <c r="AG662">
        <v>0</v>
      </c>
      <c r="AH662">
        <v>0</v>
      </c>
      <c r="AI662">
        <v>0</v>
      </c>
      <c r="AJ662" s="2">
        <f>IF(tblHR[[#This Row],[Attrition]]="Yes",1,0)</f>
        <v>1</v>
      </c>
      <c r="AK662" t="str">
        <f>IF(tblHR[[#This Row],[Age]]&lt;26,"18-25",IF(tblHR[[#This Row],[Age]]&lt;36,"26-35",IF(tblHR[[#This Row],[Age]]&lt;46,"36-45",IF(tblHR[[#This Row],[Age]]&lt;56,"46-55","56+"))))</f>
        <v>56+</v>
      </c>
    </row>
    <row r="663" spans="1:37"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s="1">
        <v>4765</v>
      </c>
      <c r="T663">
        <v>23814</v>
      </c>
      <c r="U663">
        <v>4</v>
      </c>
      <c r="V663" t="s">
        <v>42</v>
      </c>
      <c r="W663" t="s">
        <v>43</v>
      </c>
      <c r="X663">
        <v>21</v>
      </c>
      <c r="Y663">
        <v>4</v>
      </c>
      <c r="Z663">
        <v>3</v>
      </c>
      <c r="AA663">
        <v>80</v>
      </c>
      <c r="AB663">
        <v>1</v>
      </c>
      <c r="AC663">
        <v>4</v>
      </c>
      <c r="AD663">
        <v>2</v>
      </c>
      <c r="AE663">
        <v>4</v>
      </c>
      <c r="AF663">
        <v>1</v>
      </c>
      <c r="AG663">
        <v>0</v>
      </c>
      <c r="AH663">
        <v>0</v>
      </c>
      <c r="AI663">
        <v>0</v>
      </c>
      <c r="AJ663" s="2">
        <f>IF(tblHR[[#This Row],[Attrition]]="Yes",1,0)</f>
        <v>0</v>
      </c>
      <c r="AK663" t="str">
        <f>IF(tblHR[[#This Row],[Age]]&lt;26,"18-25",IF(tblHR[[#This Row],[Age]]&lt;36,"26-35",IF(tblHR[[#This Row],[Age]]&lt;46,"36-45",IF(tblHR[[#This Row],[Age]]&lt;56,"46-55","56+"))))</f>
        <v>36-45</v>
      </c>
    </row>
    <row r="664" spans="1:37"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s="1">
        <v>2044</v>
      </c>
      <c r="T664">
        <v>22052</v>
      </c>
      <c r="U664">
        <v>1</v>
      </c>
      <c r="V664" t="s">
        <v>42</v>
      </c>
      <c r="W664" t="s">
        <v>43</v>
      </c>
      <c r="X664">
        <v>13</v>
      </c>
      <c r="Y664">
        <v>3</v>
      </c>
      <c r="Z664">
        <v>4</v>
      </c>
      <c r="AA664">
        <v>80</v>
      </c>
      <c r="AB664">
        <v>0</v>
      </c>
      <c r="AC664">
        <v>2</v>
      </c>
      <c r="AD664">
        <v>3</v>
      </c>
      <c r="AE664">
        <v>2</v>
      </c>
      <c r="AF664">
        <v>2</v>
      </c>
      <c r="AG664">
        <v>2</v>
      </c>
      <c r="AH664">
        <v>0</v>
      </c>
      <c r="AI664">
        <v>2</v>
      </c>
      <c r="AJ664" s="2">
        <f>IF(tblHR[[#This Row],[Attrition]]="Yes",1,0)</f>
        <v>1</v>
      </c>
      <c r="AK664" t="str">
        <f>IF(tblHR[[#This Row],[Age]]&lt;26,"18-25",IF(tblHR[[#This Row],[Age]]&lt;36,"26-35",IF(tblHR[[#This Row],[Age]]&lt;46,"36-45",IF(tblHR[[#This Row],[Age]]&lt;56,"46-55","56+"))))</f>
        <v>18-25</v>
      </c>
    </row>
    <row r="665" spans="1:37"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s="1">
        <v>2693</v>
      </c>
      <c r="T665">
        <v>8870</v>
      </c>
      <c r="U665">
        <v>1</v>
      </c>
      <c r="V665" t="s">
        <v>42</v>
      </c>
      <c r="W665" t="s">
        <v>43</v>
      </c>
      <c r="X665">
        <v>19</v>
      </c>
      <c r="Y665">
        <v>3</v>
      </c>
      <c r="Z665">
        <v>1</v>
      </c>
      <c r="AA665">
        <v>80</v>
      </c>
      <c r="AB665">
        <v>0</v>
      </c>
      <c r="AC665">
        <v>1</v>
      </c>
      <c r="AD665">
        <v>3</v>
      </c>
      <c r="AE665">
        <v>2</v>
      </c>
      <c r="AF665">
        <v>1</v>
      </c>
      <c r="AG665">
        <v>0</v>
      </c>
      <c r="AH665">
        <v>0</v>
      </c>
      <c r="AI665">
        <v>0</v>
      </c>
      <c r="AJ665" s="2">
        <f>IF(tblHR[[#This Row],[Attrition]]="Yes",1,0)</f>
        <v>1</v>
      </c>
      <c r="AK665" t="str">
        <f>IF(tblHR[[#This Row],[Age]]&lt;26,"18-25",IF(tblHR[[#This Row],[Age]]&lt;36,"26-35",IF(tblHR[[#This Row],[Age]]&lt;46,"36-45",IF(tblHR[[#This Row],[Age]]&lt;56,"46-55","56+"))))</f>
        <v>18-25</v>
      </c>
    </row>
    <row r="666" spans="1:37"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s="1">
        <v>6586</v>
      </c>
      <c r="T666">
        <v>4821</v>
      </c>
      <c r="U666">
        <v>0</v>
      </c>
      <c r="V666" t="s">
        <v>42</v>
      </c>
      <c r="W666" t="s">
        <v>35</v>
      </c>
      <c r="X666">
        <v>17</v>
      </c>
      <c r="Y666">
        <v>3</v>
      </c>
      <c r="Z666">
        <v>1</v>
      </c>
      <c r="AA666">
        <v>80</v>
      </c>
      <c r="AB666">
        <v>1</v>
      </c>
      <c r="AC666">
        <v>17</v>
      </c>
      <c r="AD666">
        <v>2</v>
      </c>
      <c r="AE666">
        <v>2</v>
      </c>
      <c r="AF666">
        <v>16</v>
      </c>
      <c r="AG666">
        <v>8</v>
      </c>
      <c r="AH666">
        <v>4</v>
      </c>
      <c r="AI666">
        <v>11</v>
      </c>
      <c r="AJ666" s="2">
        <f>IF(tblHR[[#This Row],[Attrition]]="Yes",1,0)</f>
        <v>0</v>
      </c>
      <c r="AK666" t="str">
        <f>IF(tblHR[[#This Row],[Age]]&lt;26,"18-25",IF(tblHR[[#This Row],[Age]]&lt;36,"26-35",IF(tblHR[[#This Row],[Age]]&lt;46,"36-45",IF(tblHR[[#This Row],[Age]]&lt;56,"46-55","56+"))))</f>
        <v>36-45</v>
      </c>
    </row>
    <row r="667" spans="1:37"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s="1">
        <v>3294</v>
      </c>
      <c r="T667">
        <v>13137</v>
      </c>
      <c r="U667">
        <v>1</v>
      </c>
      <c r="V667" t="s">
        <v>42</v>
      </c>
      <c r="W667" t="s">
        <v>35</v>
      </c>
      <c r="X667">
        <v>18</v>
      </c>
      <c r="Y667">
        <v>3</v>
      </c>
      <c r="Z667">
        <v>1</v>
      </c>
      <c r="AA667">
        <v>80</v>
      </c>
      <c r="AB667">
        <v>0</v>
      </c>
      <c r="AC667">
        <v>3</v>
      </c>
      <c r="AD667">
        <v>3</v>
      </c>
      <c r="AE667">
        <v>2</v>
      </c>
      <c r="AF667">
        <v>3</v>
      </c>
      <c r="AG667">
        <v>2</v>
      </c>
      <c r="AH667">
        <v>1</v>
      </c>
      <c r="AI667">
        <v>2</v>
      </c>
      <c r="AJ667" s="2">
        <f>IF(tblHR[[#This Row],[Attrition]]="Yes",1,0)</f>
        <v>0</v>
      </c>
      <c r="AK667" t="str">
        <f>IF(tblHR[[#This Row],[Age]]&lt;26,"18-25",IF(tblHR[[#This Row],[Age]]&lt;36,"26-35",IF(tblHR[[#This Row],[Age]]&lt;46,"36-45",IF(tblHR[[#This Row],[Age]]&lt;56,"46-55","56+"))))</f>
        <v>46-55</v>
      </c>
    </row>
    <row r="668" spans="1:37"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s="1">
        <v>4171</v>
      </c>
      <c r="T668">
        <v>10022</v>
      </c>
      <c r="U668">
        <v>0</v>
      </c>
      <c r="V668" t="s">
        <v>42</v>
      </c>
      <c r="W668" t="s">
        <v>35</v>
      </c>
      <c r="X668">
        <v>19</v>
      </c>
      <c r="Y668">
        <v>3</v>
      </c>
      <c r="Z668">
        <v>1</v>
      </c>
      <c r="AA668">
        <v>80</v>
      </c>
      <c r="AB668">
        <v>1</v>
      </c>
      <c r="AC668">
        <v>4</v>
      </c>
      <c r="AD668">
        <v>3</v>
      </c>
      <c r="AE668">
        <v>4</v>
      </c>
      <c r="AF668">
        <v>3</v>
      </c>
      <c r="AG668">
        <v>2</v>
      </c>
      <c r="AH668">
        <v>0</v>
      </c>
      <c r="AI668">
        <v>2</v>
      </c>
      <c r="AJ668" s="2">
        <f>IF(tblHR[[#This Row],[Attrition]]="Yes",1,0)</f>
        <v>1</v>
      </c>
      <c r="AK668" t="str">
        <f>IF(tblHR[[#This Row],[Age]]&lt;26,"18-25",IF(tblHR[[#This Row],[Age]]&lt;36,"26-35",IF(tblHR[[#This Row],[Age]]&lt;46,"36-45",IF(tblHR[[#This Row],[Age]]&lt;56,"46-55","56+"))))</f>
        <v>18-25</v>
      </c>
    </row>
    <row r="669" spans="1:37"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s="1">
        <v>2778</v>
      </c>
      <c r="T669">
        <v>17725</v>
      </c>
      <c r="U669">
        <v>4</v>
      </c>
      <c r="V669" t="s">
        <v>42</v>
      </c>
      <c r="W669" t="s">
        <v>35</v>
      </c>
      <c r="X669">
        <v>13</v>
      </c>
      <c r="Y669">
        <v>3</v>
      </c>
      <c r="Z669">
        <v>3</v>
      </c>
      <c r="AA669">
        <v>80</v>
      </c>
      <c r="AB669">
        <v>1</v>
      </c>
      <c r="AC669">
        <v>10</v>
      </c>
      <c r="AD669">
        <v>1</v>
      </c>
      <c r="AE669">
        <v>2</v>
      </c>
      <c r="AF669">
        <v>7</v>
      </c>
      <c r="AG669">
        <v>7</v>
      </c>
      <c r="AH669">
        <v>1</v>
      </c>
      <c r="AI669">
        <v>0</v>
      </c>
      <c r="AJ669" s="2">
        <f>IF(tblHR[[#This Row],[Attrition]]="Yes",1,0)</f>
        <v>1</v>
      </c>
      <c r="AK669" t="str">
        <f>IF(tblHR[[#This Row],[Age]]&lt;26,"18-25",IF(tblHR[[#This Row],[Age]]&lt;36,"26-35",IF(tblHR[[#This Row],[Age]]&lt;46,"36-45",IF(tblHR[[#This Row],[Age]]&lt;56,"46-55","56+"))))</f>
        <v>36-45</v>
      </c>
    </row>
    <row r="670" spans="1:37"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s="1">
        <v>2377</v>
      </c>
      <c r="T670">
        <v>9834</v>
      </c>
      <c r="U670">
        <v>5</v>
      </c>
      <c r="V670" t="s">
        <v>42</v>
      </c>
      <c r="W670" t="s">
        <v>43</v>
      </c>
      <c r="X670">
        <v>18</v>
      </c>
      <c r="Y670">
        <v>3</v>
      </c>
      <c r="Z670">
        <v>2</v>
      </c>
      <c r="AA670">
        <v>80</v>
      </c>
      <c r="AB670">
        <v>1</v>
      </c>
      <c r="AC670">
        <v>6</v>
      </c>
      <c r="AD670">
        <v>2</v>
      </c>
      <c r="AE670">
        <v>3</v>
      </c>
      <c r="AF670">
        <v>2</v>
      </c>
      <c r="AG670">
        <v>2</v>
      </c>
      <c r="AH670">
        <v>2</v>
      </c>
      <c r="AI670">
        <v>2</v>
      </c>
      <c r="AJ670" s="2">
        <f>IF(tblHR[[#This Row],[Attrition]]="Yes",1,0)</f>
        <v>0</v>
      </c>
      <c r="AK670" t="str">
        <f>IF(tblHR[[#This Row],[Age]]&lt;26,"18-25",IF(tblHR[[#This Row],[Age]]&lt;36,"26-35",IF(tblHR[[#This Row],[Age]]&lt;46,"36-45",IF(tblHR[[#This Row],[Age]]&lt;56,"46-55","56+"))))</f>
        <v>26-35</v>
      </c>
    </row>
    <row r="671" spans="1:37"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s="1">
        <v>2404</v>
      </c>
      <c r="T671">
        <v>4303</v>
      </c>
      <c r="U671">
        <v>7</v>
      </c>
      <c r="V671" t="s">
        <v>42</v>
      </c>
      <c r="W671" t="s">
        <v>35</v>
      </c>
      <c r="X671">
        <v>21</v>
      </c>
      <c r="Y671">
        <v>4</v>
      </c>
      <c r="Z671">
        <v>4</v>
      </c>
      <c r="AA671">
        <v>80</v>
      </c>
      <c r="AB671">
        <v>0</v>
      </c>
      <c r="AC671">
        <v>8</v>
      </c>
      <c r="AD671">
        <v>2</v>
      </c>
      <c r="AE671">
        <v>1</v>
      </c>
      <c r="AF671">
        <v>2</v>
      </c>
      <c r="AG671">
        <v>2</v>
      </c>
      <c r="AH671">
        <v>2</v>
      </c>
      <c r="AI671">
        <v>2</v>
      </c>
      <c r="AJ671" s="2">
        <f>IF(tblHR[[#This Row],[Attrition]]="Yes",1,0)</f>
        <v>1</v>
      </c>
      <c r="AK671" t="str">
        <f>IF(tblHR[[#This Row],[Age]]&lt;26,"18-25",IF(tblHR[[#This Row],[Age]]&lt;36,"26-35",IF(tblHR[[#This Row],[Age]]&lt;46,"36-45",IF(tblHR[[#This Row],[Age]]&lt;56,"46-55","56+"))))</f>
        <v>36-45</v>
      </c>
    </row>
    <row r="672" spans="1:37"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s="1">
        <v>2318</v>
      </c>
      <c r="T672">
        <v>17808</v>
      </c>
      <c r="U672">
        <v>1</v>
      </c>
      <c r="V672" t="s">
        <v>42</v>
      </c>
      <c r="W672" t="s">
        <v>43</v>
      </c>
      <c r="X672">
        <v>19</v>
      </c>
      <c r="Y672">
        <v>3</v>
      </c>
      <c r="Z672">
        <v>3</v>
      </c>
      <c r="AA672">
        <v>80</v>
      </c>
      <c r="AB672">
        <v>0</v>
      </c>
      <c r="AC672">
        <v>1</v>
      </c>
      <c r="AD672">
        <v>2</v>
      </c>
      <c r="AE672">
        <v>3</v>
      </c>
      <c r="AF672">
        <v>1</v>
      </c>
      <c r="AG672">
        <v>1</v>
      </c>
      <c r="AH672">
        <v>0</v>
      </c>
      <c r="AI672">
        <v>0</v>
      </c>
      <c r="AJ672" s="2">
        <f>IF(tblHR[[#This Row],[Attrition]]="Yes",1,0)</f>
        <v>0</v>
      </c>
      <c r="AK672" t="str">
        <f>IF(tblHR[[#This Row],[Age]]&lt;26,"18-25",IF(tblHR[[#This Row],[Age]]&lt;36,"26-35",IF(tblHR[[#This Row],[Age]]&lt;46,"36-45",IF(tblHR[[#This Row],[Age]]&lt;56,"46-55","56+"))))</f>
        <v>26-35</v>
      </c>
    </row>
    <row r="673" spans="1:37"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s="1">
        <v>2008</v>
      </c>
      <c r="T673">
        <v>6896</v>
      </c>
      <c r="U673">
        <v>1</v>
      </c>
      <c r="V673" t="s">
        <v>42</v>
      </c>
      <c r="W673" t="s">
        <v>43</v>
      </c>
      <c r="X673">
        <v>14</v>
      </c>
      <c r="Y673">
        <v>3</v>
      </c>
      <c r="Z673">
        <v>2</v>
      </c>
      <c r="AA673">
        <v>80</v>
      </c>
      <c r="AB673">
        <v>2</v>
      </c>
      <c r="AC673">
        <v>1</v>
      </c>
      <c r="AD673">
        <v>3</v>
      </c>
      <c r="AE673">
        <v>3</v>
      </c>
      <c r="AF673">
        <v>1</v>
      </c>
      <c r="AG673">
        <v>0</v>
      </c>
      <c r="AH673">
        <v>1</v>
      </c>
      <c r="AI673">
        <v>0</v>
      </c>
      <c r="AJ673" s="2">
        <f>IF(tblHR[[#This Row],[Attrition]]="Yes",1,0)</f>
        <v>0</v>
      </c>
      <c r="AK673" t="str">
        <f>IF(tblHR[[#This Row],[Age]]&lt;26,"18-25",IF(tblHR[[#This Row],[Age]]&lt;36,"26-35",IF(tblHR[[#This Row],[Age]]&lt;46,"36-45",IF(tblHR[[#This Row],[Age]]&lt;56,"46-55","56+"))))</f>
        <v>26-35</v>
      </c>
    </row>
    <row r="674" spans="1:37"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s="1">
        <v>6244</v>
      </c>
      <c r="T674">
        <v>7824</v>
      </c>
      <c r="U674">
        <v>7</v>
      </c>
      <c r="V674" t="s">
        <v>42</v>
      </c>
      <c r="W674" t="s">
        <v>43</v>
      </c>
      <c r="X674">
        <v>17</v>
      </c>
      <c r="Y674">
        <v>3</v>
      </c>
      <c r="Z674">
        <v>1</v>
      </c>
      <c r="AA674">
        <v>80</v>
      </c>
      <c r="AB674">
        <v>0</v>
      </c>
      <c r="AC674">
        <v>10</v>
      </c>
      <c r="AD674">
        <v>6</v>
      </c>
      <c r="AE674">
        <v>3</v>
      </c>
      <c r="AF674">
        <v>5</v>
      </c>
      <c r="AG674">
        <v>4</v>
      </c>
      <c r="AH674">
        <v>0</v>
      </c>
      <c r="AI674">
        <v>3</v>
      </c>
      <c r="AJ674" s="2">
        <f>IF(tblHR[[#This Row],[Attrition]]="Yes",1,0)</f>
        <v>0</v>
      </c>
      <c r="AK674" t="str">
        <f>IF(tblHR[[#This Row],[Age]]&lt;26,"18-25",IF(tblHR[[#This Row],[Age]]&lt;36,"26-35",IF(tblHR[[#This Row],[Age]]&lt;46,"36-45",IF(tblHR[[#This Row],[Age]]&lt;56,"46-55","56+"))))</f>
        <v>36-45</v>
      </c>
    </row>
    <row r="675" spans="1:37"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s="1">
        <v>2799</v>
      </c>
      <c r="T675">
        <v>3339</v>
      </c>
      <c r="U675">
        <v>3</v>
      </c>
      <c r="V675" t="s">
        <v>42</v>
      </c>
      <c r="W675" t="s">
        <v>35</v>
      </c>
      <c r="X675">
        <v>11</v>
      </c>
      <c r="Y675">
        <v>3</v>
      </c>
      <c r="Z675">
        <v>2</v>
      </c>
      <c r="AA675">
        <v>80</v>
      </c>
      <c r="AB675">
        <v>0</v>
      </c>
      <c r="AC675">
        <v>6</v>
      </c>
      <c r="AD675">
        <v>1</v>
      </c>
      <c r="AE675">
        <v>3</v>
      </c>
      <c r="AF675">
        <v>3</v>
      </c>
      <c r="AG675">
        <v>2</v>
      </c>
      <c r="AH675">
        <v>0</v>
      </c>
      <c r="AI675">
        <v>2</v>
      </c>
      <c r="AJ675" s="2">
        <f>IF(tblHR[[#This Row],[Attrition]]="Yes",1,0)</f>
        <v>0</v>
      </c>
      <c r="AK675" t="str">
        <f>IF(tblHR[[#This Row],[Age]]&lt;26,"18-25",IF(tblHR[[#This Row],[Age]]&lt;36,"26-35",IF(tblHR[[#This Row],[Age]]&lt;46,"36-45",IF(tblHR[[#This Row],[Age]]&lt;56,"46-55","56+"))))</f>
        <v>26-35</v>
      </c>
    </row>
    <row r="676" spans="1:37"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s="1">
        <v>10552</v>
      </c>
      <c r="T676">
        <v>9255</v>
      </c>
      <c r="U676">
        <v>2</v>
      </c>
      <c r="V676" t="s">
        <v>42</v>
      </c>
      <c r="W676" t="s">
        <v>35</v>
      </c>
      <c r="X676">
        <v>13</v>
      </c>
      <c r="Y676">
        <v>3</v>
      </c>
      <c r="Z676">
        <v>4</v>
      </c>
      <c r="AA676">
        <v>80</v>
      </c>
      <c r="AB676">
        <v>1</v>
      </c>
      <c r="AC676">
        <v>24</v>
      </c>
      <c r="AD676">
        <v>3</v>
      </c>
      <c r="AE676">
        <v>3</v>
      </c>
      <c r="AF676">
        <v>6</v>
      </c>
      <c r="AG676">
        <v>0</v>
      </c>
      <c r="AH676">
        <v>0</v>
      </c>
      <c r="AI676">
        <v>4</v>
      </c>
      <c r="AJ676" s="2">
        <f>IF(tblHR[[#This Row],[Attrition]]="Yes",1,0)</f>
        <v>0</v>
      </c>
      <c r="AK676" t="str">
        <f>IF(tblHR[[#This Row],[Age]]&lt;26,"18-25",IF(tblHR[[#This Row],[Age]]&lt;36,"26-35",IF(tblHR[[#This Row],[Age]]&lt;46,"36-45",IF(tblHR[[#This Row],[Age]]&lt;56,"46-55","56+"))))</f>
        <v>56+</v>
      </c>
    </row>
    <row r="677" spans="1:37"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s="1">
        <v>2329</v>
      </c>
      <c r="T677">
        <v>11737</v>
      </c>
      <c r="U677">
        <v>3</v>
      </c>
      <c r="V677" t="s">
        <v>42</v>
      </c>
      <c r="W677" t="s">
        <v>43</v>
      </c>
      <c r="X677">
        <v>15</v>
      </c>
      <c r="Y677">
        <v>3</v>
      </c>
      <c r="Z677">
        <v>2</v>
      </c>
      <c r="AA677">
        <v>80</v>
      </c>
      <c r="AB677">
        <v>0</v>
      </c>
      <c r="AC677">
        <v>13</v>
      </c>
      <c r="AD677">
        <v>2</v>
      </c>
      <c r="AE677">
        <v>4</v>
      </c>
      <c r="AF677">
        <v>7</v>
      </c>
      <c r="AG677">
        <v>7</v>
      </c>
      <c r="AH677">
        <v>5</v>
      </c>
      <c r="AI677">
        <v>2</v>
      </c>
      <c r="AJ677" s="2">
        <f>IF(tblHR[[#This Row],[Attrition]]="Yes",1,0)</f>
        <v>0</v>
      </c>
      <c r="AK677" t="str">
        <f>IF(tblHR[[#This Row],[Age]]&lt;26,"18-25",IF(tblHR[[#This Row],[Age]]&lt;36,"26-35",IF(tblHR[[#This Row],[Age]]&lt;46,"36-45",IF(tblHR[[#This Row],[Age]]&lt;56,"46-55","56+"))))</f>
        <v>26-35</v>
      </c>
    </row>
    <row r="678" spans="1:37"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s="1">
        <v>4014</v>
      </c>
      <c r="T678">
        <v>19170</v>
      </c>
      <c r="U678">
        <v>1</v>
      </c>
      <c r="V678" t="s">
        <v>42</v>
      </c>
      <c r="W678" t="s">
        <v>35</v>
      </c>
      <c r="X678">
        <v>25</v>
      </c>
      <c r="Y678">
        <v>4</v>
      </c>
      <c r="Z678">
        <v>4</v>
      </c>
      <c r="AA678">
        <v>80</v>
      </c>
      <c r="AB678">
        <v>1</v>
      </c>
      <c r="AC678">
        <v>10</v>
      </c>
      <c r="AD678">
        <v>2</v>
      </c>
      <c r="AE678">
        <v>1</v>
      </c>
      <c r="AF678">
        <v>10</v>
      </c>
      <c r="AG678">
        <v>6</v>
      </c>
      <c r="AH678">
        <v>0</v>
      </c>
      <c r="AI678">
        <v>7</v>
      </c>
      <c r="AJ678" s="2">
        <f>IF(tblHR[[#This Row],[Attrition]]="Yes",1,0)</f>
        <v>0</v>
      </c>
      <c r="AK678" t="str">
        <f>IF(tblHR[[#This Row],[Age]]&lt;26,"18-25",IF(tblHR[[#This Row],[Age]]&lt;36,"26-35",IF(tblHR[[#This Row],[Age]]&lt;46,"36-45",IF(tblHR[[#This Row],[Age]]&lt;56,"46-55","56+"))))</f>
        <v>26-35</v>
      </c>
    </row>
    <row r="679" spans="1:37"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s="1">
        <v>7403</v>
      </c>
      <c r="T679">
        <v>22477</v>
      </c>
      <c r="U679">
        <v>4</v>
      </c>
      <c r="V679" t="s">
        <v>42</v>
      </c>
      <c r="W679" t="s">
        <v>43</v>
      </c>
      <c r="X679">
        <v>11</v>
      </c>
      <c r="Y679">
        <v>3</v>
      </c>
      <c r="Z679">
        <v>3</v>
      </c>
      <c r="AA679">
        <v>80</v>
      </c>
      <c r="AB679">
        <v>1</v>
      </c>
      <c r="AC679">
        <v>29</v>
      </c>
      <c r="AD679">
        <v>3</v>
      </c>
      <c r="AE679">
        <v>2</v>
      </c>
      <c r="AF679">
        <v>26</v>
      </c>
      <c r="AG679">
        <v>9</v>
      </c>
      <c r="AH679">
        <v>1</v>
      </c>
      <c r="AI679">
        <v>7</v>
      </c>
      <c r="AJ679" s="2">
        <f>IF(tblHR[[#This Row],[Attrition]]="Yes",1,0)</f>
        <v>0</v>
      </c>
      <c r="AK679" t="str">
        <f>IF(tblHR[[#This Row],[Age]]&lt;26,"18-25",IF(tblHR[[#This Row],[Age]]&lt;36,"26-35",IF(tblHR[[#This Row],[Age]]&lt;46,"36-45",IF(tblHR[[#This Row],[Age]]&lt;56,"46-55","56+"))))</f>
        <v>46-55</v>
      </c>
    </row>
    <row r="680" spans="1:37"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s="1">
        <v>2259</v>
      </c>
      <c r="T680">
        <v>5543</v>
      </c>
      <c r="U680">
        <v>4</v>
      </c>
      <c r="V680" t="s">
        <v>42</v>
      </c>
      <c r="W680" t="s">
        <v>43</v>
      </c>
      <c r="X680">
        <v>17</v>
      </c>
      <c r="Y680">
        <v>3</v>
      </c>
      <c r="Z680">
        <v>1</v>
      </c>
      <c r="AA680">
        <v>80</v>
      </c>
      <c r="AB680">
        <v>2</v>
      </c>
      <c r="AC680">
        <v>13</v>
      </c>
      <c r="AD680">
        <v>2</v>
      </c>
      <c r="AE680">
        <v>2</v>
      </c>
      <c r="AF680">
        <v>0</v>
      </c>
      <c r="AG680">
        <v>0</v>
      </c>
      <c r="AH680">
        <v>0</v>
      </c>
      <c r="AI680">
        <v>0</v>
      </c>
      <c r="AJ680" s="2">
        <f>IF(tblHR[[#This Row],[Attrition]]="Yes",1,0)</f>
        <v>0</v>
      </c>
      <c r="AK680" t="str">
        <f>IF(tblHR[[#This Row],[Age]]&lt;26,"18-25",IF(tblHR[[#This Row],[Age]]&lt;36,"26-35",IF(tblHR[[#This Row],[Age]]&lt;46,"36-45",IF(tblHR[[#This Row],[Age]]&lt;56,"46-55","56+"))))</f>
        <v>46-55</v>
      </c>
    </row>
    <row r="681" spans="1:37"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s="1">
        <v>6932</v>
      </c>
      <c r="T681">
        <v>24406</v>
      </c>
      <c r="U681">
        <v>1</v>
      </c>
      <c r="V681" t="s">
        <v>42</v>
      </c>
      <c r="W681" t="s">
        <v>43</v>
      </c>
      <c r="X681">
        <v>13</v>
      </c>
      <c r="Y681">
        <v>3</v>
      </c>
      <c r="Z681">
        <v>4</v>
      </c>
      <c r="AA681">
        <v>80</v>
      </c>
      <c r="AB681">
        <v>1</v>
      </c>
      <c r="AC681">
        <v>9</v>
      </c>
      <c r="AD681">
        <v>2</v>
      </c>
      <c r="AE681">
        <v>2</v>
      </c>
      <c r="AF681">
        <v>9</v>
      </c>
      <c r="AG681">
        <v>8</v>
      </c>
      <c r="AH681">
        <v>0</v>
      </c>
      <c r="AI681">
        <v>0</v>
      </c>
      <c r="AJ681" s="2">
        <f>IF(tblHR[[#This Row],[Attrition]]="Yes",1,0)</f>
        <v>0</v>
      </c>
      <c r="AK681" t="str">
        <f>IF(tblHR[[#This Row],[Age]]&lt;26,"18-25",IF(tblHR[[#This Row],[Age]]&lt;36,"26-35",IF(tblHR[[#This Row],[Age]]&lt;46,"36-45",IF(tblHR[[#This Row],[Age]]&lt;56,"46-55","56+"))))</f>
        <v>26-35</v>
      </c>
    </row>
    <row r="682" spans="1:37"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s="1">
        <v>4678</v>
      </c>
      <c r="T682">
        <v>23293</v>
      </c>
      <c r="U682">
        <v>2</v>
      </c>
      <c r="V682" t="s">
        <v>42</v>
      </c>
      <c r="W682" t="s">
        <v>43</v>
      </c>
      <c r="X682">
        <v>18</v>
      </c>
      <c r="Y682">
        <v>3</v>
      </c>
      <c r="Z682">
        <v>3</v>
      </c>
      <c r="AA682">
        <v>80</v>
      </c>
      <c r="AB682">
        <v>0</v>
      </c>
      <c r="AC682">
        <v>8</v>
      </c>
      <c r="AD682">
        <v>6</v>
      </c>
      <c r="AE682">
        <v>3</v>
      </c>
      <c r="AF682">
        <v>6</v>
      </c>
      <c r="AG682">
        <v>2</v>
      </c>
      <c r="AH682">
        <v>0</v>
      </c>
      <c r="AI682">
        <v>1</v>
      </c>
      <c r="AJ682" s="2">
        <f>IF(tblHR[[#This Row],[Attrition]]="Yes",1,0)</f>
        <v>0</v>
      </c>
      <c r="AK682" t="str">
        <f>IF(tblHR[[#This Row],[Age]]&lt;26,"18-25",IF(tblHR[[#This Row],[Age]]&lt;36,"26-35",IF(tblHR[[#This Row],[Age]]&lt;46,"36-45",IF(tblHR[[#This Row],[Age]]&lt;56,"46-55","56+"))))</f>
        <v>36-45</v>
      </c>
    </row>
    <row r="683" spans="1:37"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s="1">
        <v>13582</v>
      </c>
      <c r="T683">
        <v>16292</v>
      </c>
      <c r="U683">
        <v>1</v>
      </c>
      <c r="V683" t="s">
        <v>42</v>
      </c>
      <c r="W683" t="s">
        <v>43</v>
      </c>
      <c r="X683">
        <v>13</v>
      </c>
      <c r="Y683">
        <v>3</v>
      </c>
      <c r="Z683">
        <v>2</v>
      </c>
      <c r="AA683">
        <v>80</v>
      </c>
      <c r="AB683">
        <v>1</v>
      </c>
      <c r="AC683">
        <v>15</v>
      </c>
      <c r="AD683">
        <v>3</v>
      </c>
      <c r="AE683">
        <v>3</v>
      </c>
      <c r="AF683">
        <v>15</v>
      </c>
      <c r="AG683">
        <v>12</v>
      </c>
      <c r="AH683">
        <v>5</v>
      </c>
      <c r="AI683">
        <v>11</v>
      </c>
      <c r="AJ683" s="2">
        <f>IF(tblHR[[#This Row],[Attrition]]="Yes",1,0)</f>
        <v>0</v>
      </c>
      <c r="AK683" t="str">
        <f>IF(tblHR[[#This Row],[Age]]&lt;26,"18-25",IF(tblHR[[#This Row],[Age]]&lt;36,"26-35",IF(tblHR[[#This Row],[Age]]&lt;46,"36-45",IF(tblHR[[#This Row],[Age]]&lt;56,"46-55","56+"))))</f>
        <v>36-45</v>
      </c>
    </row>
    <row r="684" spans="1:37"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s="1">
        <v>2332</v>
      </c>
      <c r="T684">
        <v>3974</v>
      </c>
      <c r="U684">
        <v>6</v>
      </c>
      <c r="V684" t="s">
        <v>42</v>
      </c>
      <c r="W684" t="s">
        <v>43</v>
      </c>
      <c r="X684">
        <v>20</v>
      </c>
      <c r="Y684">
        <v>4</v>
      </c>
      <c r="Z684">
        <v>3</v>
      </c>
      <c r="AA684">
        <v>80</v>
      </c>
      <c r="AB684">
        <v>0</v>
      </c>
      <c r="AC684">
        <v>5</v>
      </c>
      <c r="AD684">
        <v>3</v>
      </c>
      <c r="AE684">
        <v>3</v>
      </c>
      <c r="AF684">
        <v>3</v>
      </c>
      <c r="AG684">
        <v>0</v>
      </c>
      <c r="AH684">
        <v>0</v>
      </c>
      <c r="AI684">
        <v>2</v>
      </c>
      <c r="AJ684" s="2">
        <f>IF(tblHR[[#This Row],[Attrition]]="Yes",1,0)</f>
        <v>0</v>
      </c>
      <c r="AK684" t="str">
        <f>IF(tblHR[[#This Row],[Age]]&lt;26,"18-25",IF(tblHR[[#This Row],[Age]]&lt;36,"26-35",IF(tblHR[[#This Row],[Age]]&lt;46,"36-45",IF(tblHR[[#This Row],[Age]]&lt;56,"46-55","56+"))))</f>
        <v>26-35</v>
      </c>
    </row>
    <row r="685" spans="1:37"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s="1">
        <v>2413</v>
      </c>
      <c r="T685">
        <v>18798</v>
      </c>
      <c r="U685">
        <v>1</v>
      </c>
      <c r="V685" t="s">
        <v>42</v>
      </c>
      <c r="W685" t="s">
        <v>35</v>
      </c>
      <c r="X685">
        <v>18</v>
      </c>
      <c r="Y685">
        <v>3</v>
      </c>
      <c r="Z685">
        <v>3</v>
      </c>
      <c r="AA685">
        <v>80</v>
      </c>
      <c r="AB685">
        <v>3</v>
      </c>
      <c r="AC685">
        <v>1</v>
      </c>
      <c r="AD685">
        <v>2</v>
      </c>
      <c r="AE685">
        <v>3</v>
      </c>
      <c r="AF685">
        <v>1</v>
      </c>
      <c r="AG685">
        <v>0</v>
      </c>
      <c r="AH685">
        <v>0</v>
      </c>
      <c r="AI685">
        <v>0</v>
      </c>
      <c r="AJ685" s="2">
        <f>IF(tblHR[[#This Row],[Attrition]]="Yes",1,0)</f>
        <v>1</v>
      </c>
      <c r="AK685" t="str">
        <f>IF(tblHR[[#This Row],[Age]]&lt;26,"18-25",IF(tblHR[[#This Row],[Age]]&lt;36,"26-35",IF(tblHR[[#This Row],[Age]]&lt;46,"36-45",IF(tblHR[[#This Row],[Age]]&lt;56,"46-55","56+"))))</f>
        <v>18-25</v>
      </c>
    </row>
    <row r="686" spans="1:37"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s="1">
        <v>9705</v>
      </c>
      <c r="T686">
        <v>20652</v>
      </c>
      <c r="U686">
        <v>2</v>
      </c>
      <c r="V686" t="s">
        <v>42</v>
      </c>
      <c r="W686" t="s">
        <v>43</v>
      </c>
      <c r="X686">
        <v>12</v>
      </c>
      <c r="Y686">
        <v>3</v>
      </c>
      <c r="Z686">
        <v>2</v>
      </c>
      <c r="AA686">
        <v>80</v>
      </c>
      <c r="AB686">
        <v>1</v>
      </c>
      <c r="AC686">
        <v>11</v>
      </c>
      <c r="AD686">
        <v>2</v>
      </c>
      <c r="AE686">
        <v>2</v>
      </c>
      <c r="AF686">
        <v>1</v>
      </c>
      <c r="AG686">
        <v>0</v>
      </c>
      <c r="AH686">
        <v>0</v>
      </c>
      <c r="AI686">
        <v>0</v>
      </c>
      <c r="AJ686" s="2">
        <f>IF(tblHR[[#This Row],[Attrition]]="Yes",1,0)</f>
        <v>0</v>
      </c>
      <c r="AK686" t="str">
        <f>IF(tblHR[[#This Row],[Age]]&lt;26,"18-25",IF(tblHR[[#This Row],[Age]]&lt;36,"26-35",IF(tblHR[[#This Row],[Age]]&lt;46,"36-45",IF(tblHR[[#This Row],[Age]]&lt;56,"46-55","56+"))))</f>
        <v>36-45</v>
      </c>
    </row>
    <row r="687" spans="1:37"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s="1">
        <v>4294</v>
      </c>
      <c r="T687">
        <v>11148</v>
      </c>
      <c r="U687">
        <v>1</v>
      </c>
      <c r="V687" t="s">
        <v>42</v>
      </c>
      <c r="W687" t="s">
        <v>43</v>
      </c>
      <c r="X687">
        <v>12</v>
      </c>
      <c r="Y687">
        <v>3</v>
      </c>
      <c r="Z687">
        <v>2</v>
      </c>
      <c r="AA687">
        <v>80</v>
      </c>
      <c r="AB687">
        <v>0</v>
      </c>
      <c r="AC687">
        <v>7</v>
      </c>
      <c r="AD687">
        <v>2</v>
      </c>
      <c r="AE687">
        <v>3</v>
      </c>
      <c r="AF687">
        <v>7</v>
      </c>
      <c r="AG687">
        <v>7</v>
      </c>
      <c r="AH687">
        <v>0</v>
      </c>
      <c r="AI687">
        <v>7</v>
      </c>
      <c r="AJ687" s="2">
        <f>IF(tblHR[[#This Row],[Attrition]]="Yes",1,0)</f>
        <v>0</v>
      </c>
      <c r="AK687" t="str">
        <f>IF(tblHR[[#This Row],[Age]]&lt;26,"18-25",IF(tblHR[[#This Row],[Age]]&lt;36,"26-35",IF(tblHR[[#This Row],[Age]]&lt;46,"36-45",IF(tblHR[[#This Row],[Age]]&lt;56,"46-55","56+"))))</f>
        <v>26-35</v>
      </c>
    </row>
    <row r="688" spans="1:37"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s="1">
        <v>4721</v>
      </c>
      <c r="T688">
        <v>3119</v>
      </c>
      <c r="U688">
        <v>2</v>
      </c>
      <c r="V688" t="s">
        <v>42</v>
      </c>
      <c r="W688" t="s">
        <v>35</v>
      </c>
      <c r="X688">
        <v>13</v>
      </c>
      <c r="Y688">
        <v>3</v>
      </c>
      <c r="Z688">
        <v>3</v>
      </c>
      <c r="AA688">
        <v>80</v>
      </c>
      <c r="AB688">
        <v>0</v>
      </c>
      <c r="AC688">
        <v>20</v>
      </c>
      <c r="AD688">
        <v>3</v>
      </c>
      <c r="AE688">
        <v>3</v>
      </c>
      <c r="AF688">
        <v>18</v>
      </c>
      <c r="AG688">
        <v>13</v>
      </c>
      <c r="AH688">
        <v>2</v>
      </c>
      <c r="AI688">
        <v>17</v>
      </c>
      <c r="AJ688" s="2">
        <f>IF(tblHR[[#This Row],[Attrition]]="Yes",1,0)</f>
        <v>0</v>
      </c>
      <c r="AK688" t="str">
        <f>IF(tblHR[[#This Row],[Age]]&lt;26,"18-25",IF(tblHR[[#This Row],[Age]]&lt;36,"26-35",IF(tblHR[[#This Row],[Age]]&lt;46,"36-45",IF(tblHR[[#This Row],[Age]]&lt;56,"46-55","56+"))))</f>
        <v>36-45</v>
      </c>
    </row>
    <row r="689" spans="1:37"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s="1">
        <v>2519</v>
      </c>
      <c r="T689">
        <v>12287</v>
      </c>
      <c r="U689">
        <v>4</v>
      </c>
      <c r="V689" t="s">
        <v>42</v>
      </c>
      <c r="W689" t="s">
        <v>43</v>
      </c>
      <c r="X689">
        <v>21</v>
      </c>
      <c r="Y689">
        <v>4</v>
      </c>
      <c r="Z689">
        <v>3</v>
      </c>
      <c r="AA689">
        <v>80</v>
      </c>
      <c r="AB689">
        <v>0</v>
      </c>
      <c r="AC689">
        <v>16</v>
      </c>
      <c r="AD689">
        <v>6</v>
      </c>
      <c r="AE689">
        <v>3</v>
      </c>
      <c r="AF689">
        <v>11</v>
      </c>
      <c r="AG689">
        <v>8</v>
      </c>
      <c r="AH689">
        <v>3</v>
      </c>
      <c r="AI689">
        <v>9</v>
      </c>
      <c r="AJ689" s="2">
        <f>IF(tblHR[[#This Row],[Attrition]]="Yes",1,0)</f>
        <v>0</v>
      </c>
      <c r="AK689" t="str">
        <f>IF(tblHR[[#This Row],[Age]]&lt;26,"18-25",IF(tblHR[[#This Row],[Age]]&lt;36,"26-35",IF(tblHR[[#This Row],[Age]]&lt;46,"36-45",IF(tblHR[[#This Row],[Age]]&lt;56,"46-55","56+"))))</f>
        <v>36-45</v>
      </c>
    </row>
    <row r="690" spans="1:37"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s="1">
        <v>2121</v>
      </c>
      <c r="T690">
        <v>9947</v>
      </c>
      <c r="U690">
        <v>1</v>
      </c>
      <c r="V690" t="s">
        <v>42</v>
      </c>
      <c r="W690" t="s">
        <v>35</v>
      </c>
      <c r="X690">
        <v>13</v>
      </c>
      <c r="Y690">
        <v>3</v>
      </c>
      <c r="Z690">
        <v>2</v>
      </c>
      <c r="AA690">
        <v>80</v>
      </c>
      <c r="AB690">
        <v>0</v>
      </c>
      <c r="AC690">
        <v>1</v>
      </c>
      <c r="AD690">
        <v>3</v>
      </c>
      <c r="AE690">
        <v>4</v>
      </c>
      <c r="AF690">
        <v>1</v>
      </c>
      <c r="AG690">
        <v>0</v>
      </c>
      <c r="AH690">
        <v>0</v>
      </c>
      <c r="AI690">
        <v>0</v>
      </c>
      <c r="AJ690" s="2">
        <f>IF(tblHR[[#This Row],[Attrition]]="Yes",1,0)</f>
        <v>1</v>
      </c>
      <c r="AK690" t="str">
        <f>IF(tblHR[[#This Row],[Age]]&lt;26,"18-25",IF(tblHR[[#This Row],[Age]]&lt;36,"26-35",IF(tblHR[[#This Row],[Age]]&lt;46,"36-45",IF(tblHR[[#This Row],[Age]]&lt;56,"46-55","56+"))))</f>
        <v>18-25</v>
      </c>
    </row>
    <row r="691" spans="1:37"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s="1">
        <v>2973</v>
      </c>
      <c r="T691">
        <v>13008</v>
      </c>
      <c r="U691">
        <v>1</v>
      </c>
      <c r="V691" t="s">
        <v>42</v>
      </c>
      <c r="W691" t="s">
        <v>43</v>
      </c>
      <c r="X691">
        <v>19</v>
      </c>
      <c r="Y691">
        <v>3</v>
      </c>
      <c r="Z691">
        <v>2</v>
      </c>
      <c r="AA691">
        <v>80</v>
      </c>
      <c r="AB691">
        <v>0</v>
      </c>
      <c r="AC691">
        <v>1</v>
      </c>
      <c r="AD691">
        <v>2</v>
      </c>
      <c r="AE691">
        <v>3</v>
      </c>
      <c r="AF691">
        <v>1</v>
      </c>
      <c r="AG691">
        <v>0</v>
      </c>
      <c r="AH691">
        <v>0</v>
      </c>
      <c r="AI691">
        <v>0</v>
      </c>
      <c r="AJ691" s="2">
        <f>IF(tblHR[[#This Row],[Attrition]]="Yes",1,0)</f>
        <v>1</v>
      </c>
      <c r="AK691" t="str">
        <f>IF(tblHR[[#This Row],[Age]]&lt;26,"18-25",IF(tblHR[[#This Row],[Age]]&lt;36,"26-35",IF(tblHR[[#This Row],[Age]]&lt;46,"36-45",IF(tblHR[[#This Row],[Age]]&lt;56,"46-55","56+"))))</f>
        <v>18-25</v>
      </c>
    </row>
    <row r="692" spans="1:37"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s="1">
        <v>5855</v>
      </c>
      <c r="T692">
        <v>17369</v>
      </c>
      <c r="U692">
        <v>0</v>
      </c>
      <c r="V692" t="s">
        <v>42</v>
      </c>
      <c r="W692" t="s">
        <v>35</v>
      </c>
      <c r="X692">
        <v>11</v>
      </c>
      <c r="Y692">
        <v>3</v>
      </c>
      <c r="Z692">
        <v>3</v>
      </c>
      <c r="AA692">
        <v>80</v>
      </c>
      <c r="AB692">
        <v>2</v>
      </c>
      <c r="AC692">
        <v>10</v>
      </c>
      <c r="AD692">
        <v>2</v>
      </c>
      <c r="AE692">
        <v>1</v>
      </c>
      <c r="AF692">
        <v>9</v>
      </c>
      <c r="AG692">
        <v>7</v>
      </c>
      <c r="AH692">
        <v>8</v>
      </c>
      <c r="AI692">
        <v>5</v>
      </c>
      <c r="AJ692" s="2">
        <f>IF(tblHR[[#This Row],[Attrition]]="Yes",1,0)</f>
        <v>0</v>
      </c>
      <c r="AK692" t="str">
        <f>IF(tblHR[[#This Row],[Age]]&lt;26,"18-25",IF(tblHR[[#This Row],[Age]]&lt;36,"26-35",IF(tblHR[[#This Row],[Age]]&lt;46,"36-45",IF(tblHR[[#This Row],[Age]]&lt;56,"46-55","56+"))))</f>
        <v>26-35</v>
      </c>
    </row>
    <row r="693" spans="1:37"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s="1">
        <v>3617</v>
      </c>
      <c r="T693">
        <v>25063</v>
      </c>
      <c r="U693">
        <v>8</v>
      </c>
      <c r="V693" t="s">
        <v>42</v>
      </c>
      <c r="W693" t="s">
        <v>35</v>
      </c>
      <c r="X693">
        <v>14</v>
      </c>
      <c r="Y693">
        <v>3</v>
      </c>
      <c r="Z693">
        <v>4</v>
      </c>
      <c r="AA693">
        <v>80</v>
      </c>
      <c r="AB693">
        <v>1</v>
      </c>
      <c r="AC693">
        <v>3</v>
      </c>
      <c r="AD693">
        <v>2</v>
      </c>
      <c r="AE693">
        <v>3</v>
      </c>
      <c r="AF693">
        <v>1</v>
      </c>
      <c r="AG693">
        <v>1</v>
      </c>
      <c r="AH693">
        <v>0</v>
      </c>
      <c r="AI693">
        <v>0</v>
      </c>
      <c r="AJ693" s="2">
        <f>IF(tblHR[[#This Row],[Attrition]]="Yes",1,0)</f>
        <v>0</v>
      </c>
      <c r="AK693" t="str">
        <f>IF(tblHR[[#This Row],[Age]]&lt;26,"18-25",IF(tblHR[[#This Row],[Age]]&lt;36,"26-35",IF(tblHR[[#This Row],[Age]]&lt;46,"36-45",IF(tblHR[[#This Row],[Age]]&lt;56,"46-55","56+"))))</f>
        <v>36-45</v>
      </c>
    </row>
    <row r="694" spans="1:37"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s="1">
        <v>6725</v>
      </c>
      <c r="T694">
        <v>13554</v>
      </c>
      <c r="U694">
        <v>1</v>
      </c>
      <c r="V694" t="s">
        <v>42</v>
      </c>
      <c r="W694" t="s">
        <v>43</v>
      </c>
      <c r="X694">
        <v>12</v>
      </c>
      <c r="Y694">
        <v>3</v>
      </c>
      <c r="Z694">
        <v>3</v>
      </c>
      <c r="AA694">
        <v>80</v>
      </c>
      <c r="AB694">
        <v>1</v>
      </c>
      <c r="AC694">
        <v>8</v>
      </c>
      <c r="AD694">
        <v>2</v>
      </c>
      <c r="AE694">
        <v>4</v>
      </c>
      <c r="AF694">
        <v>8</v>
      </c>
      <c r="AG694">
        <v>7</v>
      </c>
      <c r="AH694">
        <v>6</v>
      </c>
      <c r="AI694">
        <v>3</v>
      </c>
      <c r="AJ694" s="2">
        <f>IF(tblHR[[#This Row],[Attrition]]="Yes",1,0)</f>
        <v>0</v>
      </c>
      <c r="AK694" t="str">
        <f>IF(tblHR[[#This Row],[Age]]&lt;26,"18-25",IF(tblHR[[#This Row],[Age]]&lt;36,"26-35",IF(tblHR[[#This Row],[Age]]&lt;46,"36-45",IF(tblHR[[#This Row],[Age]]&lt;56,"46-55","56+"))))</f>
        <v>26-35</v>
      </c>
    </row>
    <row r="695" spans="1:37"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s="1">
        <v>10325</v>
      </c>
      <c r="T695">
        <v>5518</v>
      </c>
      <c r="U695">
        <v>1</v>
      </c>
      <c r="V695" t="s">
        <v>42</v>
      </c>
      <c r="W695" t="s">
        <v>35</v>
      </c>
      <c r="X695">
        <v>11</v>
      </c>
      <c r="Y695">
        <v>3</v>
      </c>
      <c r="Z695">
        <v>1</v>
      </c>
      <c r="AA695">
        <v>80</v>
      </c>
      <c r="AB695">
        <v>1</v>
      </c>
      <c r="AC695">
        <v>16</v>
      </c>
      <c r="AD695">
        <v>6</v>
      </c>
      <c r="AE695">
        <v>3</v>
      </c>
      <c r="AF695">
        <v>16</v>
      </c>
      <c r="AG695">
        <v>7</v>
      </c>
      <c r="AH695">
        <v>3</v>
      </c>
      <c r="AI695">
        <v>7</v>
      </c>
      <c r="AJ695" s="2">
        <f>IF(tblHR[[#This Row],[Attrition]]="Yes",1,0)</f>
        <v>1</v>
      </c>
      <c r="AK695" t="str">
        <f>IF(tblHR[[#This Row],[Age]]&lt;26,"18-25",IF(tblHR[[#This Row],[Age]]&lt;36,"26-35",IF(tblHR[[#This Row],[Age]]&lt;46,"36-45",IF(tblHR[[#This Row],[Age]]&lt;56,"46-55","56+"))))</f>
        <v>36-45</v>
      </c>
    </row>
    <row r="696" spans="1:37"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s="1">
        <v>6949</v>
      </c>
      <c r="T696">
        <v>12291</v>
      </c>
      <c r="U696">
        <v>0</v>
      </c>
      <c r="V696" t="s">
        <v>42</v>
      </c>
      <c r="W696" t="s">
        <v>43</v>
      </c>
      <c r="X696">
        <v>14</v>
      </c>
      <c r="Y696">
        <v>3</v>
      </c>
      <c r="Z696">
        <v>1</v>
      </c>
      <c r="AA696">
        <v>80</v>
      </c>
      <c r="AB696">
        <v>0</v>
      </c>
      <c r="AC696">
        <v>6</v>
      </c>
      <c r="AD696">
        <v>3</v>
      </c>
      <c r="AE696">
        <v>3</v>
      </c>
      <c r="AF696">
        <v>5</v>
      </c>
      <c r="AG696">
        <v>0</v>
      </c>
      <c r="AH696">
        <v>1</v>
      </c>
      <c r="AI696">
        <v>4</v>
      </c>
      <c r="AJ696" s="2">
        <f>IF(tblHR[[#This Row],[Attrition]]="Yes",1,0)</f>
        <v>0</v>
      </c>
      <c r="AK696" t="str">
        <f>IF(tblHR[[#This Row],[Age]]&lt;26,"18-25",IF(tblHR[[#This Row],[Age]]&lt;36,"26-35",IF(tblHR[[#This Row],[Age]]&lt;46,"36-45",IF(tblHR[[#This Row],[Age]]&lt;56,"46-55","56+"))))</f>
        <v>26-35</v>
      </c>
    </row>
    <row r="697" spans="1:37"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s="1">
        <v>10609</v>
      </c>
      <c r="T697">
        <v>14922</v>
      </c>
      <c r="U697">
        <v>5</v>
      </c>
      <c r="V697" t="s">
        <v>42</v>
      </c>
      <c r="W697" t="s">
        <v>43</v>
      </c>
      <c r="X697">
        <v>11</v>
      </c>
      <c r="Y697">
        <v>3</v>
      </c>
      <c r="Z697">
        <v>3</v>
      </c>
      <c r="AA697">
        <v>80</v>
      </c>
      <c r="AB697">
        <v>0</v>
      </c>
      <c r="AC697">
        <v>17</v>
      </c>
      <c r="AD697">
        <v>2</v>
      </c>
      <c r="AE697">
        <v>1</v>
      </c>
      <c r="AF697">
        <v>14</v>
      </c>
      <c r="AG697">
        <v>1</v>
      </c>
      <c r="AH697">
        <v>11</v>
      </c>
      <c r="AI697">
        <v>7</v>
      </c>
      <c r="AJ697" s="2">
        <f>IF(tblHR[[#This Row],[Attrition]]="Yes",1,0)</f>
        <v>1</v>
      </c>
      <c r="AK697" t="str">
        <f>IF(tblHR[[#This Row],[Age]]&lt;26,"18-25",IF(tblHR[[#This Row],[Age]]&lt;36,"26-35",IF(tblHR[[#This Row],[Age]]&lt;46,"36-45",IF(tblHR[[#This Row],[Age]]&lt;56,"46-55","56+"))))</f>
        <v>36-45</v>
      </c>
    </row>
    <row r="698" spans="1:37"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s="1">
        <v>4447</v>
      </c>
      <c r="T698">
        <v>23163</v>
      </c>
      <c r="U698">
        <v>1</v>
      </c>
      <c r="V698" t="s">
        <v>42</v>
      </c>
      <c r="W698" t="s">
        <v>43</v>
      </c>
      <c r="X698">
        <v>12</v>
      </c>
      <c r="Y698">
        <v>3</v>
      </c>
      <c r="Z698">
        <v>2</v>
      </c>
      <c r="AA698">
        <v>80</v>
      </c>
      <c r="AB698">
        <v>0</v>
      </c>
      <c r="AC698">
        <v>9</v>
      </c>
      <c r="AD698">
        <v>5</v>
      </c>
      <c r="AE698">
        <v>2</v>
      </c>
      <c r="AF698">
        <v>9</v>
      </c>
      <c r="AG698">
        <v>7</v>
      </c>
      <c r="AH698">
        <v>0</v>
      </c>
      <c r="AI698">
        <v>8</v>
      </c>
      <c r="AJ698" s="2">
        <f>IF(tblHR[[#This Row],[Attrition]]="Yes",1,0)</f>
        <v>0</v>
      </c>
      <c r="AK698" t="str">
        <f>IF(tblHR[[#This Row],[Age]]&lt;26,"18-25",IF(tblHR[[#This Row],[Age]]&lt;36,"26-35",IF(tblHR[[#This Row],[Age]]&lt;46,"36-45",IF(tblHR[[#This Row],[Age]]&lt;56,"46-55","56+"))))</f>
        <v>36-45</v>
      </c>
    </row>
    <row r="699" spans="1:37"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s="1">
        <v>2157</v>
      </c>
      <c r="T699">
        <v>18203</v>
      </c>
      <c r="U699">
        <v>1</v>
      </c>
      <c r="V699" t="s">
        <v>42</v>
      </c>
      <c r="W699" t="s">
        <v>43</v>
      </c>
      <c r="X699">
        <v>15</v>
      </c>
      <c r="Y699">
        <v>3</v>
      </c>
      <c r="Z699">
        <v>2</v>
      </c>
      <c r="AA699">
        <v>80</v>
      </c>
      <c r="AB699">
        <v>1</v>
      </c>
      <c r="AC699">
        <v>3</v>
      </c>
      <c r="AD699">
        <v>5</v>
      </c>
      <c r="AE699">
        <v>3</v>
      </c>
      <c r="AF699">
        <v>3</v>
      </c>
      <c r="AG699">
        <v>1</v>
      </c>
      <c r="AH699">
        <v>0</v>
      </c>
      <c r="AI699">
        <v>2</v>
      </c>
      <c r="AJ699" s="2">
        <f>IF(tblHR[[#This Row],[Attrition]]="Yes",1,0)</f>
        <v>0</v>
      </c>
      <c r="AK699" t="str">
        <f>IF(tblHR[[#This Row],[Age]]&lt;26,"18-25",IF(tblHR[[#This Row],[Age]]&lt;36,"26-35",IF(tblHR[[#This Row],[Age]]&lt;46,"36-45",IF(tblHR[[#This Row],[Age]]&lt;56,"46-55","56+"))))</f>
        <v>26-35</v>
      </c>
    </row>
    <row r="700" spans="1:37"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s="1">
        <v>4601</v>
      </c>
      <c r="T700">
        <v>6179</v>
      </c>
      <c r="U700">
        <v>1</v>
      </c>
      <c r="V700" t="s">
        <v>42</v>
      </c>
      <c r="W700" t="s">
        <v>43</v>
      </c>
      <c r="X700">
        <v>16</v>
      </c>
      <c r="Y700">
        <v>3</v>
      </c>
      <c r="Z700">
        <v>2</v>
      </c>
      <c r="AA700">
        <v>80</v>
      </c>
      <c r="AB700">
        <v>0</v>
      </c>
      <c r="AC700">
        <v>5</v>
      </c>
      <c r="AD700">
        <v>3</v>
      </c>
      <c r="AE700">
        <v>3</v>
      </c>
      <c r="AF700">
        <v>5</v>
      </c>
      <c r="AG700">
        <v>2</v>
      </c>
      <c r="AH700">
        <v>1</v>
      </c>
      <c r="AI700">
        <v>0</v>
      </c>
      <c r="AJ700" s="2">
        <f>IF(tblHR[[#This Row],[Attrition]]="Yes",1,0)</f>
        <v>0</v>
      </c>
      <c r="AK700" t="str">
        <f>IF(tblHR[[#This Row],[Age]]&lt;26,"18-25",IF(tblHR[[#This Row],[Age]]&lt;36,"26-35",IF(tblHR[[#This Row],[Age]]&lt;46,"36-45",IF(tblHR[[#This Row],[Age]]&lt;56,"46-55","56+"))))</f>
        <v>26-35</v>
      </c>
    </row>
    <row r="701" spans="1:37"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s="1">
        <v>17099</v>
      </c>
      <c r="T701">
        <v>13829</v>
      </c>
      <c r="U701">
        <v>2</v>
      </c>
      <c r="V701" t="s">
        <v>42</v>
      </c>
      <c r="W701" t="s">
        <v>43</v>
      </c>
      <c r="X701">
        <v>15</v>
      </c>
      <c r="Y701">
        <v>3</v>
      </c>
      <c r="Z701">
        <v>2</v>
      </c>
      <c r="AA701">
        <v>80</v>
      </c>
      <c r="AB701">
        <v>1</v>
      </c>
      <c r="AC701">
        <v>26</v>
      </c>
      <c r="AD701">
        <v>2</v>
      </c>
      <c r="AE701">
        <v>2</v>
      </c>
      <c r="AF701">
        <v>9</v>
      </c>
      <c r="AG701">
        <v>8</v>
      </c>
      <c r="AH701">
        <v>7</v>
      </c>
      <c r="AI701">
        <v>8</v>
      </c>
      <c r="AJ701" s="2">
        <f>IF(tblHR[[#This Row],[Attrition]]="Yes",1,0)</f>
        <v>0</v>
      </c>
      <c r="AK701" t="str">
        <f>IF(tblHR[[#This Row],[Age]]&lt;26,"18-25",IF(tblHR[[#This Row],[Age]]&lt;36,"26-35",IF(tblHR[[#This Row],[Age]]&lt;46,"36-45",IF(tblHR[[#This Row],[Age]]&lt;56,"46-55","56+"))))</f>
        <v>46-55</v>
      </c>
    </row>
    <row r="702" spans="1:37"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s="1">
        <v>2479</v>
      </c>
      <c r="T702">
        <v>26227</v>
      </c>
      <c r="U702">
        <v>4</v>
      </c>
      <c r="V702" t="s">
        <v>42</v>
      </c>
      <c r="W702" t="s">
        <v>43</v>
      </c>
      <c r="X702">
        <v>24</v>
      </c>
      <c r="Y702">
        <v>4</v>
      </c>
      <c r="Z702">
        <v>1</v>
      </c>
      <c r="AA702">
        <v>80</v>
      </c>
      <c r="AB702">
        <v>0</v>
      </c>
      <c r="AC702">
        <v>7</v>
      </c>
      <c r="AD702">
        <v>4</v>
      </c>
      <c r="AE702">
        <v>3</v>
      </c>
      <c r="AF702">
        <v>1</v>
      </c>
      <c r="AG702">
        <v>0</v>
      </c>
      <c r="AH702">
        <v>0</v>
      </c>
      <c r="AI702">
        <v>0</v>
      </c>
      <c r="AJ702" s="2">
        <f>IF(tblHR[[#This Row],[Attrition]]="Yes",1,0)</f>
        <v>1</v>
      </c>
      <c r="AK702" t="str">
        <f>IF(tblHR[[#This Row],[Age]]&lt;26,"18-25",IF(tblHR[[#This Row],[Age]]&lt;36,"26-35",IF(tblHR[[#This Row],[Age]]&lt;46,"36-45",IF(tblHR[[#This Row],[Age]]&lt;56,"46-55","56+"))))</f>
        <v>56+</v>
      </c>
    </row>
    <row r="703" spans="1:37"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s="1">
        <v>14852</v>
      </c>
      <c r="T703">
        <v>13938</v>
      </c>
      <c r="U703">
        <v>6</v>
      </c>
      <c r="V703" t="s">
        <v>42</v>
      </c>
      <c r="W703" t="s">
        <v>43</v>
      </c>
      <c r="X703">
        <v>13</v>
      </c>
      <c r="Y703">
        <v>3</v>
      </c>
      <c r="Z703">
        <v>3</v>
      </c>
      <c r="AA703">
        <v>80</v>
      </c>
      <c r="AB703">
        <v>1</v>
      </c>
      <c r="AC703">
        <v>22</v>
      </c>
      <c r="AD703">
        <v>3</v>
      </c>
      <c r="AE703">
        <v>4</v>
      </c>
      <c r="AF703">
        <v>17</v>
      </c>
      <c r="AG703">
        <v>13</v>
      </c>
      <c r="AH703">
        <v>15</v>
      </c>
      <c r="AI703">
        <v>2</v>
      </c>
      <c r="AJ703" s="2">
        <f>IF(tblHR[[#This Row],[Attrition]]="Yes",1,0)</f>
        <v>0</v>
      </c>
      <c r="AK703" t="str">
        <f>IF(tblHR[[#This Row],[Age]]&lt;26,"18-25",IF(tblHR[[#This Row],[Age]]&lt;36,"26-35",IF(tblHR[[#This Row],[Age]]&lt;46,"36-45",IF(tblHR[[#This Row],[Age]]&lt;56,"46-55","56+"))))</f>
        <v>46-55</v>
      </c>
    </row>
    <row r="704" spans="1:37"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s="1">
        <v>7264</v>
      </c>
      <c r="T704">
        <v>9977</v>
      </c>
      <c r="U704">
        <v>5</v>
      </c>
      <c r="V704" t="s">
        <v>42</v>
      </c>
      <c r="W704" t="s">
        <v>43</v>
      </c>
      <c r="X704">
        <v>11</v>
      </c>
      <c r="Y704">
        <v>3</v>
      </c>
      <c r="Z704">
        <v>1</v>
      </c>
      <c r="AA704">
        <v>80</v>
      </c>
      <c r="AB704">
        <v>1</v>
      </c>
      <c r="AC704">
        <v>10</v>
      </c>
      <c r="AD704">
        <v>2</v>
      </c>
      <c r="AE704">
        <v>4</v>
      </c>
      <c r="AF704">
        <v>8</v>
      </c>
      <c r="AG704">
        <v>4</v>
      </c>
      <c r="AH704">
        <v>7</v>
      </c>
      <c r="AI704">
        <v>7</v>
      </c>
      <c r="AJ704" s="2">
        <f>IF(tblHR[[#This Row],[Attrition]]="Yes",1,0)</f>
        <v>0</v>
      </c>
      <c r="AK704" t="str">
        <f>IF(tblHR[[#This Row],[Age]]&lt;26,"18-25",IF(tblHR[[#This Row],[Age]]&lt;36,"26-35",IF(tblHR[[#This Row],[Age]]&lt;46,"36-45",IF(tblHR[[#This Row],[Age]]&lt;56,"46-55","56+"))))</f>
        <v>26-35</v>
      </c>
    </row>
    <row r="705" spans="1:37"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s="1">
        <v>5666</v>
      </c>
      <c r="T705">
        <v>19899</v>
      </c>
      <c r="U705">
        <v>1</v>
      </c>
      <c r="V705" t="s">
        <v>42</v>
      </c>
      <c r="W705" t="s">
        <v>35</v>
      </c>
      <c r="X705">
        <v>13</v>
      </c>
      <c r="Y705">
        <v>3</v>
      </c>
      <c r="Z705">
        <v>2</v>
      </c>
      <c r="AA705">
        <v>80</v>
      </c>
      <c r="AB705">
        <v>0</v>
      </c>
      <c r="AC705">
        <v>6</v>
      </c>
      <c r="AD705">
        <v>1</v>
      </c>
      <c r="AE705">
        <v>3</v>
      </c>
      <c r="AF705">
        <v>5</v>
      </c>
      <c r="AG705">
        <v>3</v>
      </c>
      <c r="AH705">
        <v>1</v>
      </c>
      <c r="AI705">
        <v>3</v>
      </c>
      <c r="AJ705" s="2">
        <f>IF(tblHR[[#This Row],[Attrition]]="Yes",1,0)</f>
        <v>0</v>
      </c>
      <c r="AK705" t="str">
        <f>IF(tblHR[[#This Row],[Age]]&lt;26,"18-25",IF(tblHR[[#This Row],[Age]]&lt;36,"26-35",IF(tblHR[[#This Row],[Age]]&lt;46,"36-45",IF(tblHR[[#This Row],[Age]]&lt;56,"46-55","56+"))))</f>
        <v>36-45</v>
      </c>
    </row>
    <row r="706" spans="1:37"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s="1">
        <v>7823</v>
      </c>
      <c r="T706">
        <v>6812</v>
      </c>
      <c r="U706">
        <v>6</v>
      </c>
      <c r="V706" t="s">
        <v>42</v>
      </c>
      <c r="W706" t="s">
        <v>43</v>
      </c>
      <c r="X706">
        <v>13</v>
      </c>
      <c r="Y706">
        <v>3</v>
      </c>
      <c r="Z706">
        <v>2</v>
      </c>
      <c r="AA706">
        <v>80</v>
      </c>
      <c r="AB706">
        <v>1</v>
      </c>
      <c r="AC706">
        <v>12</v>
      </c>
      <c r="AD706">
        <v>2</v>
      </c>
      <c r="AE706">
        <v>3</v>
      </c>
      <c r="AF706">
        <v>10</v>
      </c>
      <c r="AG706">
        <v>9</v>
      </c>
      <c r="AH706">
        <v>0</v>
      </c>
      <c r="AI706">
        <v>8</v>
      </c>
      <c r="AJ706" s="2">
        <f>IF(tblHR[[#This Row],[Attrition]]="Yes",1,0)</f>
        <v>0</v>
      </c>
      <c r="AK706" t="str">
        <f>IF(tblHR[[#This Row],[Age]]&lt;26,"18-25",IF(tblHR[[#This Row],[Age]]&lt;36,"26-35",IF(tblHR[[#This Row],[Age]]&lt;46,"36-45",IF(tblHR[[#This Row],[Age]]&lt;56,"46-55","56+"))))</f>
        <v>26-35</v>
      </c>
    </row>
    <row r="707" spans="1:37"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s="1">
        <v>7880</v>
      </c>
      <c r="T707">
        <v>2560</v>
      </c>
      <c r="U707">
        <v>0</v>
      </c>
      <c r="V707" t="s">
        <v>42</v>
      </c>
      <c r="W707" t="s">
        <v>43</v>
      </c>
      <c r="X707">
        <v>18</v>
      </c>
      <c r="Y707">
        <v>3</v>
      </c>
      <c r="Z707">
        <v>4</v>
      </c>
      <c r="AA707">
        <v>80</v>
      </c>
      <c r="AB707">
        <v>0</v>
      </c>
      <c r="AC707">
        <v>9</v>
      </c>
      <c r="AD707">
        <v>3</v>
      </c>
      <c r="AE707">
        <v>3</v>
      </c>
      <c r="AF707">
        <v>8</v>
      </c>
      <c r="AG707">
        <v>7</v>
      </c>
      <c r="AH707">
        <v>0</v>
      </c>
      <c r="AI707">
        <v>7</v>
      </c>
      <c r="AJ707" s="2">
        <f>IF(tblHR[[#This Row],[Attrition]]="Yes",1,0)</f>
        <v>0</v>
      </c>
      <c r="AK707" t="str">
        <f>IF(tblHR[[#This Row],[Age]]&lt;26,"18-25",IF(tblHR[[#This Row],[Age]]&lt;36,"26-35",IF(tblHR[[#This Row],[Age]]&lt;46,"36-45",IF(tblHR[[#This Row],[Age]]&lt;56,"46-55","56+"))))</f>
        <v>36-45</v>
      </c>
    </row>
    <row r="708" spans="1:37"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s="1">
        <v>13194</v>
      </c>
      <c r="T708">
        <v>17071</v>
      </c>
      <c r="U708">
        <v>4</v>
      </c>
      <c r="V708" t="s">
        <v>42</v>
      </c>
      <c r="W708" t="s">
        <v>35</v>
      </c>
      <c r="X708">
        <v>16</v>
      </c>
      <c r="Y708">
        <v>3</v>
      </c>
      <c r="Z708">
        <v>4</v>
      </c>
      <c r="AA708">
        <v>80</v>
      </c>
      <c r="AB708">
        <v>0</v>
      </c>
      <c r="AC708">
        <v>22</v>
      </c>
      <c r="AD708">
        <v>2</v>
      </c>
      <c r="AE708">
        <v>2</v>
      </c>
      <c r="AF708">
        <v>1</v>
      </c>
      <c r="AG708">
        <v>0</v>
      </c>
      <c r="AH708">
        <v>0</v>
      </c>
      <c r="AI708">
        <v>0</v>
      </c>
      <c r="AJ708" s="2">
        <f>IF(tblHR[[#This Row],[Attrition]]="Yes",1,0)</f>
        <v>1</v>
      </c>
      <c r="AK708" t="str">
        <f>IF(tblHR[[#This Row],[Age]]&lt;26,"18-25",IF(tblHR[[#This Row],[Age]]&lt;36,"26-35",IF(tblHR[[#This Row],[Age]]&lt;46,"36-45",IF(tblHR[[#This Row],[Age]]&lt;56,"46-55","56+"))))</f>
        <v>36-45</v>
      </c>
    </row>
    <row r="709" spans="1:37"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s="1">
        <v>5067</v>
      </c>
      <c r="T709">
        <v>6759</v>
      </c>
      <c r="U709">
        <v>1</v>
      </c>
      <c r="V709" t="s">
        <v>42</v>
      </c>
      <c r="W709" t="s">
        <v>35</v>
      </c>
      <c r="X709">
        <v>19</v>
      </c>
      <c r="Y709">
        <v>3</v>
      </c>
      <c r="Z709">
        <v>3</v>
      </c>
      <c r="AA709">
        <v>80</v>
      </c>
      <c r="AB709">
        <v>0</v>
      </c>
      <c r="AC709">
        <v>20</v>
      </c>
      <c r="AD709">
        <v>3</v>
      </c>
      <c r="AE709">
        <v>4</v>
      </c>
      <c r="AF709">
        <v>19</v>
      </c>
      <c r="AG709">
        <v>10</v>
      </c>
      <c r="AH709">
        <v>2</v>
      </c>
      <c r="AI709">
        <v>7</v>
      </c>
      <c r="AJ709" s="2">
        <f>IF(tblHR[[#This Row],[Attrition]]="Yes",1,0)</f>
        <v>0</v>
      </c>
      <c r="AK709" t="str">
        <f>IF(tblHR[[#This Row],[Age]]&lt;26,"18-25",IF(tblHR[[#This Row],[Age]]&lt;36,"26-35",IF(tblHR[[#This Row],[Age]]&lt;46,"36-45",IF(tblHR[[#This Row],[Age]]&lt;56,"46-55","56+"))))</f>
        <v>46-55</v>
      </c>
    </row>
    <row r="710" spans="1:37"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s="1">
        <v>5079</v>
      </c>
      <c r="T710">
        <v>25952</v>
      </c>
      <c r="U710">
        <v>4</v>
      </c>
      <c r="V710" t="s">
        <v>42</v>
      </c>
      <c r="W710" t="s">
        <v>43</v>
      </c>
      <c r="X710">
        <v>13</v>
      </c>
      <c r="Y710">
        <v>3</v>
      </c>
      <c r="Z710">
        <v>4</v>
      </c>
      <c r="AA710">
        <v>80</v>
      </c>
      <c r="AB710">
        <v>2</v>
      </c>
      <c r="AC710">
        <v>12</v>
      </c>
      <c r="AD710">
        <v>3</v>
      </c>
      <c r="AE710">
        <v>3</v>
      </c>
      <c r="AF710">
        <v>7</v>
      </c>
      <c r="AG710">
        <v>7</v>
      </c>
      <c r="AH710">
        <v>0</v>
      </c>
      <c r="AI710">
        <v>7</v>
      </c>
      <c r="AJ710" s="2">
        <f>IF(tblHR[[#This Row],[Attrition]]="Yes",1,0)</f>
        <v>0</v>
      </c>
      <c r="AK710" t="str">
        <f>IF(tblHR[[#This Row],[Age]]&lt;26,"18-25",IF(tblHR[[#This Row],[Age]]&lt;36,"26-35",IF(tblHR[[#This Row],[Age]]&lt;46,"36-45",IF(tblHR[[#This Row],[Age]]&lt;56,"46-55","56+"))))</f>
        <v>36-45</v>
      </c>
    </row>
    <row r="711" spans="1:37"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s="1">
        <v>2321</v>
      </c>
      <c r="T711">
        <v>10322</v>
      </c>
      <c r="U711">
        <v>0</v>
      </c>
      <c r="V711" t="s">
        <v>42</v>
      </c>
      <c r="W711" t="s">
        <v>35</v>
      </c>
      <c r="X711">
        <v>22</v>
      </c>
      <c r="Y711">
        <v>4</v>
      </c>
      <c r="Z711">
        <v>1</v>
      </c>
      <c r="AA711">
        <v>80</v>
      </c>
      <c r="AB711">
        <v>0</v>
      </c>
      <c r="AC711">
        <v>4</v>
      </c>
      <c r="AD711">
        <v>0</v>
      </c>
      <c r="AE711">
        <v>3</v>
      </c>
      <c r="AF711">
        <v>3</v>
      </c>
      <c r="AG711">
        <v>2</v>
      </c>
      <c r="AH711">
        <v>1</v>
      </c>
      <c r="AI711">
        <v>2</v>
      </c>
      <c r="AJ711" s="2">
        <f>IF(tblHR[[#This Row],[Attrition]]="Yes",1,0)</f>
        <v>1</v>
      </c>
      <c r="AK711" t="str">
        <f>IF(tblHR[[#This Row],[Age]]&lt;26,"18-25",IF(tblHR[[#This Row],[Age]]&lt;36,"26-35",IF(tblHR[[#This Row],[Age]]&lt;46,"36-45",IF(tblHR[[#This Row],[Age]]&lt;56,"46-55","56+"))))</f>
        <v>26-35</v>
      </c>
    </row>
    <row r="712" spans="1:37"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s="1">
        <v>17444</v>
      </c>
      <c r="T712">
        <v>20489</v>
      </c>
      <c r="U712">
        <v>1</v>
      </c>
      <c r="V712" t="s">
        <v>42</v>
      </c>
      <c r="W712" t="s">
        <v>43</v>
      </c>
      <c r="X712">
        <v>11</v>
      </c>
      <c r="Y712">
        <v>3</v>
      </c>
      <c r="Z712">
        <v>4</v>
      </c>
      <c r="AA712">
        <v>80</v>
      </c>
      <c r="AB712">
        <v>0</v>
      </c>
      <c r="AC712">
        <v>10</v>
      </c>
      <c r="AD712">
        <v>2</v>
      </c>
      <c r="AE712">
        <v>3</v>
      </c>
      <c r="AF712">
        <v>10</v>
      </c>
      <c r="AG712">
        <v>8</v>
      </c>
      <c r="AH712">
        <v>6</v>
      </c>
      <c r="AI712">
        <v>0</v>
      </c>
      <c r="AJ712" s="2">
        <f>IF(tblHR[[#This Row],[Attrition]]="Yes",1,0)</f>
        <v>0</v>
      </c>
      <c r="AK712" t="str">
        <f>IF(tblHR[[#This Row],[Age]]&lt;26,"18-25",IF(tblHR[[#This Row],[Age]]&lt;36,"26-35",IF(tblHR[[#This Row],[Age]]&lt;46,"36-45",IF(tblHR[[#This Row],[Age]]&lt;56,"46-55","56+"))))</f>
        <v>26-35</v>
      </c>
    </row>
    <row r="713" spans="1:37"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s="1">
        <v>2404</v>
      </c>
      <c r="T713">
        <v>11479</v>
      </c>
      <c r="U713">
        <v>6</v>
      </c>
      <c r="V713" t="s">
        <v>42</v>
      </c>
      <c r="W713" t="s">
        <v>35</v>
      </c>
      <c r="X713">
        <v>20</v>
      </c>
      <c r="Y713">
        <v>4</v>
      </c>
      <c r="Z713">
        <v>3</v>
      </c>
      <c r="AA713">
        <v>80</v>
      </c>
      <c r="AB713">
        <v>0</v>
      </c>
      <c r="AC713">
        <v>3</v>
      </c>
      <c r="AD713">
        <v>5</v>
      </c>
      <c r="AE713">
        <v>3</v>
      </c>
      <c r="AF713">
        <v>0</v>
      </c>
      <c r="AG713">
        <v>0</v>
      </c>
      <c r="AH713">
        <v>0</v>
      </c>
      <c r="AI713">
        <v>0</v>
      </c>
      <c r="AJ713" s="2">
        <f>IF(tblHR[[#This Row],[Attrition]]="Yes",1,0)</f>
        <v>1</v>
      </c>
      <c r="AK713" t="str">
        <f>IF(tblHR[[#This Row],[Age]]&lt;26,"18-25",IF(tblHR[[#This Row],[Age]]&lt;36,"26-35",IF(tblHR[[#This Row],[Age]]&lt;46,"36-45",IF(tblHR[[#This Row],[Age]]&lt;56,"46-55","56+"))))</f>
        <v>26-35</v>
      </c>
    </row>
    <row r="714" spans="1:37"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s="1">
        <v>3452</v>
      </c>
      <c r="T714">
        <v>17241</v>
      </c>
      <c r="U714">
        <v>3</v>
      </c>
      <c r="V714" t="s">
        <v>42</v>
      </c>
      <c r="W714" t="s">
        <v>43</v>
      </c>
      <c r="X714">
        <v>18</v>
      </c>
      <c r="Y714">
        <v>3</v>
      </c>
      <c r="Z714">
        <v>1</v>
      </c>
      <c r="AA714">
        <v>80</v>
      </c>
      <c r="AB714">
        <v>0</v>
      </c>
      <c r="AC714">
        <v>5</v>
      </c>
      <c r="AD714">
        <v>4</v>
      </c>
      <c r="AE714">
        <v>3</v>
      </c>
      <c r="AF714">
        <v>3</v>
      </c>
      <c r="AG714">
        <v>2</v>
      </c>
      <c r="AH714">
        <v>0</v>
      </c>
      <c r="AI714">
        <v>2</v>
      </c>
      <c r="AJ714" s="2">
        <f>IF(tblHR[[#This Row],[Attrition]]="Yes",1,0)</f>
        <v>0</v>
      </c>
      <c r="AK714" t="str">
        <f>IF(tblHR[[#This Row],[Age]]&lt;26,"18-25",IF(tblHR[[#This Row],[Age]]&lt;36,"26-35",IF(tblHR[[#This Row],[Age]]&lt;46,"36-45",IF(tblHR[[#This Row],[Age]]&lt;56,"46-55","56+"))))</f>
        <v>26-35</v>
      </c>
    </row>
    <row r="715" spans="1:37"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s="1">
        <v>2270</v>
      </c>
      <c r="T715">
        <v>11005</v>
      </c>
      <c r="U715">
        <v>3</v>
      </c>
      <c r="V715" t="s">
        <v>42</v>
      </c>
      <c r="W715" t="s">
        <v>43</v>
      </c>
      <c r="X715">
        <v>14</v>
      </c>
      <c r="Y715">
        <v>3</v>
      </c>
      <c r="Z715">
        <v>4</v>
      </c>
      <c r="AA715">
        <v>80</v>
      </c>
      <c r="AB715">
        <v>2</v>
      </c>
      <c r="AC715">
        <v>8</v>
      </c>
      <c r="AD715">
        <v>2</v>
      </c>
      <c r="AE715">
        <v>3</v>
      </c>
      <c r="AF715">
        <v>5</v>
      </c>
      <c r="AG715">
        <v>3</v>
      </c>
      <c r="AH715">
        <v>0</v>
      </c>
      <c r="AI715">
        <v>2</v>
      </c>
      <c r="AJ715" s="2">
        <f>IF(tblHR[[#This Row],[Attrition]]="Yes",1,0)</f>
        <v>0</v>
      </c>
      <c r="AK715" t="str">
        <f>IF(tblHR[[#This Row],[Age]]&lt;26,"18-25",IF(tblHR[[#This Row],[Age]]&lt;36,"26-35",IF(tblHR[[#This Row],[Age]]&lt;46,"36-45",IF(tblHR[[#This Row],[Age]]&lt;56,"46-55","56+"))))</f>
        <v>36-45</v>
      </c>
    </row>
    <row r="716" spans="1:37"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s="1">
        <v>17399</v>
      </c>
      <c r="T716">
        <v>6615</v>
      </c>
      <c r="U716">
        <v>9</v>
      </c>
      <c r="V716" t="s">
        <v>42</v>
      </c>
      <c r="W716" t="s">
        <v>43</v>
      </c>
      <c r="X716">
        <v>22</v>
      </c>
      <c r="Y716">
        <v>4</v>
      </c>
      <c r="Z716">
        <v>3</v>
      </c>
      <c r="AA716">
        <v>80</v>
      </c>
      <c r="AB716">
        <v>1</v>
      </c>
      <c r="AC716">
        <v>32</v>
      </c>
      <c r="AD716">
        <v>1</v>
      </c>
      <c r="AE716">
        <v>2</v>
      </c>
      <c r="AF716">
        <v>5</v>
      </c>
      <c r="AG716">
        <v>4</v>
      </c>
      <c r="AH716">
        <v>1</v>
      </c>
      <c r="AI716">
        <v>3</v>
      </c>
      <c r="AJ716" s="2">
        <f>IF(tblHR[[#This Row],[Attrition]]="Yes",1,0)</f>
        <v>0</v>
      </c>
      <c r="AK716" t="str">
        <f>IF(tblHR[[#This Row],[Age]]&lt;26,"18-25",IF(tblHR[[#This Row],[Age]]&lt;36,"26-35",IF(tblHR[[#This Row],[Age]]&lt;46,"36-45",IF(tblHR[[#This Row],[Age]]&lt;56,"46-55","56+"))))</f>
        <v>46-55</v>
      </c>
    </row>
    <row r="717" spans="1:37"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s="1">
        <v>5488</v>
      </c>
      <c r="T717">
        <v>20161</v>
      </c>
      <c r="U717">
        <v>1</v>
      </c>
      <c r="V717" t="s">
        <v>42</v>
      </c>
      <c r="W717" t="s">
        <v>35</v>
      </c>
      <c r="X717">
        <v>13</v>
      </c>
      <c r="Y717">
        <v>3</v>
      </c>
      <c r="Z717">
        <v>1</v>
      </c>
      <c r="AA717">
        <v>80</v>
      </c>
      <c r="AB717">
        <v>1</v>
      </c>
      <c r="AC717">
        <v>6</v>
      </c>
      <c r="AD717">
        <v>2</v>
      </c>
      <c r="AE717">
        <v>3</v>
      </c>
      <c r="AF717">
        <v>6</v>
      </c>
      <c r="AG717">
        <v>5</v>
      </c>
      <c r="AH717">
        <v>1</v>
      </c>
      <c r="AI717">
        <v>2</v>
      </c>
      <c r="AJ717" s="2">
        <f>IF(tblHR[[#This Row],[Attrition]]="Yes",1,0)</f>
        <v>0</v>
      </c>
      <c r="AK717" t="str">
        <f>IF(tblHR[[#This Row],[Age]]&lt;26,"18-25",IF(tblHR[[#This Row],[Age]]&lt;36,"26-35",IF(tblHR[[#This Row],[Age]]&lt;46,"36-45",IF(tblHR[[#This Row],[Age]]&lt;56,"46-55","56+"))))</f>
        <v>26-35</v>
      </c>
    </row>
    <row r="718" spans="1:37"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s="1">
        <v>19419</v>
      </c>
      <c r="T718">
        <v>3735</v>
      </c>
      <c r="U718">
        <v>2</v>
      </c>
      <c r="V718" t="s">
        <v>42</v>
      </c>
      <c r="W718" t="s">
        <v>43</v>
      </c>
      <c r="X718">
        <v>17</v>
      </c>
      <c r="Y718">
        <v>3</v>
      </c>
      <c r="Z718">
        <v>2</v>
      </c>
      <c r="AA718">
        <v>80</v>
      </c>
      <c r="AB718">
        <v>1</v>
      </c>
      <c r="AC718">
        <v>21</v>
      </c>
      <c r="AD718">
        <v>2</v>
      </c>
      <c r="AE718">
        <v>4</v>
      </c>
      <c r="AF718">
        <v>18</v>
      </c>
      <c r="AG718">
        <v>16</v>
      </c>
      <c r="AH718">
        <v>0</v>
      </c>
      <c r="AI718">
        <v>11</v>
      </c>
      <c r="AJ718" s="2">
        <f>IF(tblHR[[#This Row],[Attrition]]="Yes",1,0)</f>
        <v>0</v>
      </c>
      <c r="AK718" t="str">
        <f>IF(tblHR[[#This Row],[Age]]&lt;26,"18-25",IF(tblHR[[#This Row],[Age]]&lt;36,"26-35",IF(tblHR[[#This Row],[Age]]&lt;46,"36-45",IF(tblHR[[#This Row],[Age]]&lt;56,"46-55","56+"))))</f>
        <v>36-45</v>
      </c>
    </row>
    <row r="719" spans="1:37"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s="1">
        <v>2811</v>
      </c>
      <c r="T719">
        <v>12086</v>
      </c>
      <c r="U719">
        <v>9</v>
      </c>
      <c r="V719" t="s">
        <v>42</v>
      </c>
      <c r="W719" t="s">
        <v>43</v>
      </c>
      <c r="X719">
        <v>14</v>
      </c>
      <c r="Y719">
        <v>3</v>
      </c>
      <c r="Z719">
        <v>2</v>
      </c>
      <c r="AA719">
        <v>80</v>
      </c>
      <c r="AB719">
        <v>1</v>
      </c>
      <c r="AC719">
        <v>4</v>
      </c>
      <c r="AD719">
        <v>2</v>
      </c>
      <c r="AE719">
        <v>3</v>
      </c>
      <c r="AF719">
        <v>2</v>
      </c>
      <c r="AG719">
        <v>2</v>
      </c>
      <c r="AH719">
        <v>2</v>
      </c>
      <c r="AI719">
        <v>2</v>
      </c>
      <c r="AJ719" s="2">
        <f>IF(tblHR[[#This Row],[Attrition]]="Yes",1,0)</f>
        <v>0</v>
      </c>
      <c r="AK719" t="str">
        <f>IF(tblHR[[#This Row],[Age]]&lt;26,"18-25",IF(tblHR[[#This Row],[Age]]&lt;36,"26-35",IF(tblHR[[#This Row],[Age]]&lt;46,"36-45",IF(tblHR[[#This Row],[Age]]&lt;56,"46-55","56+"))))</f>
        <v>26-35</v>
      </c>
    </row>
    <row r="720" spans="1:37"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s="1">
        <v>3633</v>
      </c>
      <c r="T720">
        <v>14039</v>
      </c>
      <c r="U720">
        <v>1</v>
      </c>
      <c r="V720" t="s">
        <v>42</v>
      </c>
      <c r="W720" t="s">
        <v>35</v>
      </c>
      <c r="X720">
        <v>15</v>
      </c>
      <c r="Y720">
        <v>3</v>
      </c>
      <c r="Z720">
        <v>3</v>
      </c>
      <c r="AA720">
        <v>80</v>
      </c>
      <c r="AB720">
        <v>1</v>
      </c>
      <c r="AC720">
        <v>9</v>
      </c>
      <c r="AD720">
        <v>2</v>
      </c>
      <c r="AE720">
        <v>3</v>
      </c>
      <c r="AF720">
        <v>9</v>
      </c>
      <c r="AG720">
        <v>8</v>
      </c>
      <c r="AH720">
        <v>0</v>
      </c>
      <c r="AI720">
        <v>8</v>
      </c>
      <c r="AJ720" s="2">
        <f>IF(tblHR[[#This Row],[Attrition]]="Yes",1,0)</f>
        <v>0</v>
      </c>
      <c r="AK720" t="str">
        <f>IF(tblHR[[#This Row],[Age]]&lt;26,"18-25",IF(tblHR[[#This Row],[Age]]&lt;36,"26-35",IF(tblHR[[#This Row],[Age]]&lt;46,"36-45",IF(tblHR[[#This Row],[Age]]&lt;56,"46-55","56+"))))</f>
        <v>36-45</v>
      </c>
    </row>
    <row r="721" spans="1:37"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s="1">
        <v>4163</v>
      </c>
      <c r="T721">
        <v>8571</v>
      </c>
      <c r="U721">
        <v>1</v>
      </c>
      <c r="V721" t="s">
        <v>42</v>
      </c>
      <c r="W721" t="s">
        <v>35</v>
      </c>
      <c r="X721">
        <v>17</v>
      </c>
      <c r="Y721">
        <v>3</v>
      </c>
      <c r="Z721">
        <v>3</v>
      </c>
      <c r="AA721">
        <v>80</v>
      </c>
      <c r="AB721">
        <v>0</v>
      </c>
      <c r="AC721">
        <v>9</v>
      </c>
      <c r="AD721">
        <v>0</v>
      </c>
      <c r="AE721">
        <v>3</v>
      </c>
      <c r="AF721">
        <v>9</v>
      </c>
      <c r="AG721">
        <v>0</v>
      </c>
      <c r="AH721">
        <v>0</v>
      </c>
      <c r="AI721">
        <v>7</v>
      </c>
      <c r="AJ721" s="2">
        <f>IF(tblHR[[#This Row],[Attrition]]="Yes",1,0)</f>
        <v>0</v>
      </c>
      <c r="AK721" t="str">
        <f>IF(tblHR[[#This Row],[Age]]&lt;26,"18-25",IF(tblHR[[#This Row],[Age]]&lt;36,"26-35",IF(tblHR[[#This Row],[Age]]&lt;46,"36-45",IF(tblHR[[#This Row],[Age]]&lt;56,"46-55","56+"))))</f>
        <v>46-55</v>
      </c>
    </row>
    <row r="722" spans="1:37"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s="1">
        <v>2132</v>
      </c>
      <c r="T722">
        <v>11539</v>
      </c>
      <c r="U722">
        <v>4</v>
      </c>
      <c r="V722" t="s">
        <v>42</v>
      </c>
      <c r="W722" t="s">
        <v>35</v>
      </c>
      <c r="X722">
        <v>11</v>
      </c>
      <c r="Y722">
        <v>3</v>
      </c>
      <c r="Z722">
        <v>2</v>
      </c>
      <c r="AA722">
        <v>80</v>
      </c>
      <c r="AB722">
        <v>0</v>
      </c>
      <c r="AC722">
        <v>7</v>
      </c>
      <c r="AD722">
        <v>2</v>
      </c>
      <c r="AE722">
        <v>3</v>
      </c>
      <c r="AF722">
        <v>5</v>
      </c>
      <c r="AG722">
        <v>2</v>
      </c>
      <c r="AH722">
        <v>0</v>
      </c>
      <c r="AI722">
        <v>1</v>
      </c>
      <c r="AJ722" s="2">
        <f>IF(tblHR[[#This Row],[Attrition]]="Yes",1,0)</f>
        <v>1</v>
      </c>
      <c r="AK722" t="str">
        <f>IF(tblHR[[#This Row],[Age]]&lt;26,"18-25",IF(tblHR[[#This Row],[Age]]&lt;36,"26-35",IF(tblHR[[#This Row],[Age]]&lt;46,"36-45",IF(tblHR[[#This Row],[Age]]&lt;56,"46-55","56+"))))</f>
        <v>26-35</v>
      </c>
    </row>
    <row r="723" spans="1:37"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s="1">
        <v>13973</v>
      </c>
      <c r="T723">
        <v>4161</v>
      </c>
      <c r="U723">
        <v>3</v>
      </c>
      <c r="V723" t="s">
        <v>42</v>
      </c>
      <c r="W723" t="s">
        <v>35</v>
      </c>
      <c r="X723">
        <v>18</v>
      </c>
      <c r="Y723">
        <v>3</v>
      </c>
      <c r="Z723">
        <v>4</v>
      </c>
      <c r="AA723">
        <v>80</v>
      </c>
      <c r="AB723">
        <v>1</v>
      </c>
      <c r="AC723">
        <v>22</v>
      </c>
      <c r="AD723">
        <v>2</v>
      </c>
      <c r="AE723">
        <v>3</v>
      </c>
      <c r="AF723">
        <v>12</v>
      </c>
      <c r="AG723">
        <v>11</v>
      </c>
      <c r="AH723">
        <v>1</v>
      </c>
      <c r="AI723">
        <v>5</v>
      </c>
      <c r="AJ723" s="2">
        <f>IF(tblHR[[#This Row],[Attrition]]="Yes",1,0)</f>
        <v>0</v>
      </c>
      <c r="AK723" t="str">
        <f>IF(tblHR[[#This Row],[Age]]&lt;26,"18-25",IF(tblHR[[#This Row],[Age]]&lt;36,"26-35",IF(tblHR[[#This Row],[Age]]&lt;46,"36-45",IF(tblHR[[#This Row],[Age]]&lt;56,"46-55","56+"))))</f>
        <v>46-55</v>
      </c>
    </row>
    <row r="724" spans="1:37"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s="1">
        <v>2684</v>
      </c>
      <c r="T724">
        <v>12127</v>
      </c>
      <c r="U724">
        <v>0</v>
      </c>
      <c r="V724" t="s">
        <v>42</v>
      </c>
      <c r="W724" t="s">
        <v>43</v>
      </c>
      <c r="X724">
        <v>17</v>
      </c>
      <c r="Y724">
        <v>3</v>
      </c>
      <c r="Z724">
        <v>2</v>
      </c>
      <c r="AA724">
        <v>80</v>
      </c>
      <c r="AB724">
        <v>1</v>
      </c>
      <c r="AC724">
        <v>3</v>
      </c>
      <c r="AD724">
        <v>0</v>
      </c>
      <c r="AE724">
        <v>2</v>
      </c>
      <c r="AF724">
        <v>2</v>
      </c>
      <c r="AG724">
        <v>1</v>
      </c>
      <c r="AH724">
        <v>0</v>
      </c>
      <c r="AI724">
        <v>2</v>
      </c>
      <c r="AJ724" s="2">
        <f>IF(tblHR[[#This Row],[Attrition]]="Yes",1,0)</f>
        <v>0</v>
      </c>
      <c r="AK724" t="str">
        <f>IF(tblHR[[#This Row],[Age]]&lt;26,"18-25",IF(tblHR[[#This Row],[Age]]&lt;36,"26-35",IF(tblHR[[#This Row],[Age]]&lt;46,"36-45",IF(tblHR[[#This Row],[Age]]&lt;56,"46-55","56+"))))</f>
        <v>36-45</v>
      </c>
    </row>
    <row r="725" spans="1:37"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s="1">
        <v>10845</v>
      </c>
      <c r="T725">
        <v>24208</v>
      </c>
      <c r="U725">
        <v>6</v>
      </c>
      <c r="V725" t="s">
        <v>42</v>
      </c>
      <c r="W725" t="s">
        <v>43</v>
      </c>
      <c r="X725">
        <v>13</v>
      </c>
      <c r="Y725">
        <v>3</v>
      </c>
      <c r="Z725">
        <v>2</v>
      </c>
      <c r="AA725">
        <v>80</v>
      </c>
      <c r="AB725">
        <v>1</v>
      </c>
      <c r="AC725">
        <v>13</v>
      </c>
      <c r="AD725">
        <v>3</v>
      </c>
      <c r="AE725">
        <v>3</v>
      </c>
      <c r="AF725">
        <v>8</v>
      </c>
      <c r="AG725">
        <v>7</v>
      </c>
      <c r="AH725">
        <v>0</v>
      </c>
      <c r="AI725">
        <v>7</v>
      </c>
      <c r="AJ725" s="2">
        <f>IF(tblHR[[#This Row],[Attrition]]="Yes",1,0)</f>
        <v>0</v>
      </c>
      <c r="AK725" t="str">
        <f>IF(tblHR[[#This Row],[Age]]&lt;26,"18-25",IF(tblHR[[#This Row],[Age]]&lt;36,"26-35",IF(tblHR[[#This Row],[Age]]&lt;46,"36-45",IF(tblHR[[#This Row],[Age]]&lt;56,"46-55","56+"))))</f>
        <v>46-55</v>
      </c>
    </row>
    <row r="726" spans="1:37"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s="1">
        <v>4377</v>
      </c>
      <c r="T726">
        <v>24117</v>
      </c>
      <c r="U726">
        <v>1</v>
      </c>
      <c r="V726" t="s">
        <v>42</v>
      </c>
      <c r="W726" t="s">
        <v>43</v>
      </c>
      <c r="X726">
        <v>15</v>
      </c>
      <c r="Y726">
        <v>3</v>
      </c>
      <c r="Z726">
        <v>2</v>
      </c>
      <c r="AA726">
        <v>80</v>
      </c>
      <c r="AB726">
        <v>2</v>
      </c>
      <c r="AC726">
        <v>5</v>
      </c>
      <c r="AD726">
        <v>6</v>
      </c>
      <c r="AE726">
        <v>3</v>
      </c>
      <c r="AF726">
        <v>4</v>
      </c>
      <c r="AG726">
        <v>2</v>
      </c>
      <c r="AH726">
        <v>3</v>
      </c>
      <c r="AI726">
        <v>2</v>
      </c>
      <c r="AJ726" s="2">
        <f>IF(tblHR[[#This Row],[Attrition]]="Yes",1,0)</f>
        <v>0</v>
      </c>
      <c r="AK726" t="str">
        <f>IF(tblHR[[#This Row],[Age]]&lt;26,"18-25",IF(tblHR[[#This Row],[Age]]&lt;36,"26-35",IF(tblHR[[#This Row],[Age]]&lt;46,"36-45",IF(tblHR[[#This Row],[Age]]&lt;56,"46-55","56+"))))</f>
        <v>18-25</v>
      </c>
    </row>
    <row r="727" spans="1:37"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s="1">
        <v>3743</v>
      </c>
      <c r="T727">
        <v>10074</v>
      </c>
      <c r="U727">
        <v>1</v>
      </c>
      <c r="V727" t="s">
        <v>42</v>
      </c>
      <c r="W727" t="s">
        <v>35</v>
      </c>
      <c r="X727">
        <v>24</v>
      </c>
      <c r="Y727">
        <v>4</v>
      </c>
      <c r="Z727">
        <v>4</v>
      </c>
      <c r="AA727">
        <v>80</v>
      </c>
      <c r="AB727">
        <v>1</v>
      </c>
      <c r="AC727">
        <v>5</v>
      </c>
      <c r="AD727">
        <v>2</v>
      </c>
      <c r="AE727">
        <v>1</v>
      </c>
      <c r="AF727">
        <v>4</v>
      </c>
      <c r="AG727">
        <v>2</v>
      </c>
      <c r="AH727">
        <v>0</v>
      </c>
      <c r="AI727">
        <v>2</v>
      </c>
      <c r="AJ727" s="2">
        <f>IF(tblHR[[#This Row],[Attrition]]="Yes",1,0)</f>
        <v>1</v>
      </c>
      <c r="AK727" t="str">
        <f>IF(tblHR[[#This Row],[Age]]&lt;26,"18-25",IF(tblHR[[#This Row],[Age]]&lt;36,"26-35",IF(tblHR[[#This Row],[Age]]&lt;46,"36-45",IF(tblHR[[#This Row],[Age]]&lt;56,"46-55","56+"))))</f>
        <v>26-35</v>
      </c>
    </row>
    <row r="728" spans="1:37"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s="1">
        <v>4148</v>
      </c>
      <c r="T728">
        <v>11275</v>
      </c>
      <c r="U728">
        <v>1</v>
      </c>
      <c r="V728" t="s">
        <v>42</v>
      </c>
      <c r="W728" t="s">
        <v>43</v>
      </c>
      <c r="X728">
        <v>12</v>
      </c>
      <c r="Y728">
        <v>3</v>
      </c>
      <c r="Z728">
        <v>3</v>
      </c>
      <c r="AA728">
        <v>80</v>
      </c>
      <c r="AB728">
        <v>1</v>
      </c>
      <c r="AC728">
        <v>4</v>
      </c>
      <c r="AD728">
        <v>1</v>
      </c>
      <c r="AE728">
        <v>3</v>
      </c>
      <c r="AF728">
        <v>4</v>
      </c>
      <c r="AG728">
        <v>3</v>
      </c>
      <c r="AH728">
        <v>0</v>
      </c>
      <c r="AI728">
        <v>3</v>
      </c>
      <c r="AJ728" s="2">
        <f>IF(tblHR[[#This Row],[Attrition]]="Yes",1,0)</f>
        <v>0</v>
      </c>
      <c r="AK728" t="str">
        <f>IF(tblHR[[#This Row],[Age]]&lt;26,"18-25",IF(tblHR[[#This Row],[Age]]&lt;36,"26-35",IF(tblHR[[#This Row],[Age]]&lt;46,"36-45",IF(tblHR[[#This Row],[Age]]&lt;56,"46-55","56+"))))</f>
        <v>26-35</v>
      </c>
    </row>
    <row r="729" spans="1:37"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s="1">
        <v>1051</v>
      </c>
      <c r="T729">
        <v>13493</v>
      </c>
      <c r="U729">
        <v>1</v>
      </c>
      <c r="V729" t="s">
        <v>42</v>
      </c>
      <c r="W729" t="s">
        <v>43</v>
      </c>
      <c r="X729">
        <v>15</v>
      </c>
      <c r="Y729">
        <v>3</v>
      </c>
      <c r="Z729">
        <v>4</v>
      </c>
      <c r="AA729">
        <v>80</v>
      </c>
      <c r="AB729">
        <v>0</v>
      </c>
      <c r="AC729">
        <v>0</v>
      </c>
      <c r="AD729">
        <v>2</v>
      </c>
      <c r="AE729">
        <v>3</v>
      </c>
      <c r="AF729">
        <v>0</v>
      </c>
      <c r="AG729">
        <v>0</v>
      </c>
      <c r="AH729">
        <v>0</v>
      </c>
      <c r="AI729">
        <v>0</v>
      </c>
      <c r="AJ729" s="2">
        <f>IF(tblHR[[#This Row],[Attrition]]="Yes",1,0)</f>
        <v>0</v>
      </c>
      <c r="AK729" t="str">
        <f>IF(tblHR[[#This Row],[Age]]&lt;26,"18-25",IF(tblHR[[#This Row],[Age]]&lt;36,"26-35",IF(tblHR[[#This Row],[Age]]&lt;46,"36-45",IF(tblHR[[#This Row],[Age]]&lt;56,"46-55","56+"))))</f>
        <v>18-25</v>
      </c>
    </row>
    <row r="730" spans="1:37"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s="1">
        <v>10739</v>
      </c>
      <c r="T730">
        <v>13943</v>
      </c>
      <c r="U730">
        <v>8</v>
      </c>
      <c r="V730" t="s">
        <v>42</v>
      </c>
      <c r="W730" t="s">
        <v>43</v>
      </c>
      <c r="X730">
        <v>11</v>
      </c>
      <c r="Y730">
        <v>3</v>
      </c>
      <c r="Z730">
        <v>3</v>
      </c>
      <c r="AA730">
        <v>80</v>
      </c>
      <c r="AB730">
        <v>1</v>
      </c>
      <c r="AC730">
        <v>22</v>
      </c>
      <c r="AD730">
        <v>2</v>
      </c>
      <c r="AE730">
        <v>3</v>
      </c>
      <c r="AF730">
        <v>10</v>
      </c>
      <c r="AG730">
        <v>7</v>
      </c>
      <c r="AH730">
        <v>0</v>
      </c>
      <c r="AI730">
        <v>8</v>
      </c>
      <c r="AJ730" s="2">
        <f>IF(tblHR[[#This Row],[Attrition]]="Yes",1,0)</f>
        <v>0</v>
      </c>
      <c r="AK730" t="str">
        <f>IF(tblHR[[#This Row],[Age]]&lt;26,"18-25",IF(tblHR[[#This Row],[Age]]&lt;36,"26-35",IF(tblHR[[#This Row],[Age]]&lt;46,"36-45",IF(tblHR[[#This Row],[Age]]&lt;56,"46-55","56+"))))</f>
        <v>46-55</v>
      </c>
    </row>
    <row r="731" spans="1:37"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s="1">
        <v>10388</v>
      </c>
      <c r="T731">
        <v>6975</v>
      </c>
      <c r="U731">
        <v>1</v>
      </c>
      <c r="V731" t="s">
        <v>42</v>
      </c>
      <c r="W731" t="s">
        <v>35</v>
      </c>
      <c r="X731">
        <v>11</v>
      </c>
      <c r="Y731">
        <v>3</v>
      </c>
      <c r="Z731">
        <v>3</v>
      </c>
      <c r="AA731">
        <v>80</v>
      </c>
      <c r="AB731">
        <v>1</v>
      </c>
      <c r="AC731">
        <v>16</v>
      </c>
      <c r="AD731">
        <v>3</v>
      </c>
      <c r="AE731">
        <v>2</v>
      </c>
      <c r="AF731">
        <v>16</v>
      </c>
      <c r="AG731">
        <v>10</v>
      </c>
      <c r="AH731">
        <v>10</v>
      </c>
      <c r="AI731">
        <v>1</v>
      </c>
      <c r="AJ731" s="2">
        <f>IF(tblHR[[#This Row],[Attrition]]="Yes",1,0)</f>
        <v>0</v>
      </c>
      <c r="AK731" t="str">
        <f>IF(tblHR[[#This Row],[Age]]&lt;26,"18-25",IF(tblHR[[#This Row],[Age]]&lt;36,"26-35",IF(tblHR[[#This Row],[Age]]&lt;46,"36-45",IF(tblHR[[#This Row],[Age]]&lt;56,"46-55","56+"))))</f>
        <v>26-35</v>
      </c>
    </row>
    <row r="732" spans="1:37"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s="1">
        <v>11416</v>
      </c>
      <c r="T732">
        <v>17802</v>
      </c>
      <c r="U732">
        <v>0</v>
      </c>
      <c r="V732" t="s">
        <v>42</v>
      </c>
      <c r="W732" t="s">
        <v>35</v>
      </c>
      <c r="X732">
        <v>12</v>
      </c>
      <c r="Y732">
        <v>3</v>
      </c>
      <c r="Z732">
        <v>3</v>
      </c>
      <c r="AA732">
        <v>80</v>
      </c>
      <c r="AB732">
        <v>3</v>
      </c>
      <c r="AC732">
        <v>9</v>
      </c>
      <c r="AD732">
        <v>4</v>
      </c>
      <c r="AE732">
        <v>2</v>
      </c>
      <c r="AF732">
        <v>8</v>
      </c>
      <c r="AG732">
        <v>7</v>
      </c>
      <c r="AH732">
        <v>1</v>
      </c>
      <c r="AI732">
        <v>7</v>
      </c>
      <c r="AJ732" s="2">
        <f>IF(tblHR[[#This Row],[Attrition]]="Yes",1,0)</f>
        <v>0</v>
      </c>
      <c r="AK732" t="str">
        <f>IF(tblHR[[#This Row],[Age]]&lt;26,"18-25",IF(tblHR[[#This Row],[Age]]&lt;36,"26-35",IF(tblHR[[#This Row],[Age]]&lt;46,"36-45",IF(tblHR[[#This Row],[Age]]&lt;56,"46-55","56+"))))</f>
        <v>26-35</v>
      </c>
    </row>
    <row r="733" spans="1:37"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s="1">
        <v>2600</v>
      </c>
      <c r="T733">
        <v>18275</v>
      </c>
      <c r="U733">
        <v>1</v>
      </c>
      <c r="V733" t="s">
        <v>42</v>
      </c>
      <c r="W733" t="s">
        <v>35</v>
      </c>
      <c r="X733">
        <v>15</v>
      </c>
      <c r="Y733">
        <v>3</v>
      </c>
      <c r="Z733">
        <v>1</v>
      </c>
      <c r="AA733">
        <v>80</v>
      </c>
      <c r="AB733">
        <v>0</v>
      </c>
      <c r="AC733">
        <v>1</v>
      </c>
      <c r="AD733">
        <v>2</v>
      </c>
      <c r="AE733">
        <v>3</v>
      </c>
      <c r="AF733">
        <v>1</v>
      </c>
      <c r="AG733">
        <v>0</v>
      </c>
      <c r="AH733">
        <v>0</v>
      </c>
      <c r="AI733">
        <v>0</v>
      </c>
      <c r="AJ733" s="2">
        <f>IF(tblHR[[#This Row],[Attrition]]="Yes",1,0)</f>
        <v>1</v>
      </c>
      <c r="AK733" t="str">
        <f>IF(tblHR[[#This Row],[Age]]&lt;26,"18-25",IF(tblHR[[#This Row],[Age]]&lt;36,"26-35",IF(tblHR[[#This Row],[Age]]&lt;46,"36-45",IF(tblHR[[#This Row],[Age]]&lt;56,"46-55","56+"))))</f>
        <v>18-25</v>
      </c>
    </row>
    <row r="734" spans="1:37"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s="1">
        <v>2422</v>
      </c>
      <c r="T734">
        <v>25725</v>
      </c>
      <c r="U734">
        <v>0</v>
      </c>
      <c r="V734" t="s">
        <v>42</v>
      </c>
      <c r="W734" t="s">
        <v>43</v>
      </c>
      <c r="X734">
        <v>17</v>
      </c>
      <c r="Y734">
        <v>3</v>
      </c>
      <c r="Z734">
        <v>1</v>
      </c>
      <c r="AA734">
        <v>80</v>
      </c>
      <c r="AB734">
        <v>0</v>
      </c>
      <c r="AC734">
        <v>4</v>
      </c>
      <c r="AD734">
        <v>3</v>
      </c>
      <c r="AE734">
        <v>3</v>
      </c>
      <c r="AF734">
        <v>3</v>
      </c>
      <c r="AG734">
        <v>2</v>
      </c>
      <c r="AH734">
        <v>1</v>
      </c>
      <c r="AI734">
        <v>2</v>
      </c>
      <c r="AJ734" s="2">
        <f>IF(tblHR[[#This Row],[Attrition]]="Yes",1,0)</f>
        <v>1</v>
      </c>
      <c r="AK734" t="str">
        <f>IF(tblHR[[#This Row],[Age]]&lt;26,"18-25",IF(tblHR[[#This Row],[Age]]&lt;36,"26-35",IF(tblHR[[#This Row],[Age]]&lt;46,"36-45",IF(tblHR[[#This Row],[Age]]&lt;56,"46-55","56+"))))</f>
        <v>26-35</v>
      </c>
    </row>
    <row r="735" spans="1:37"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s="1">
        <v>5472</v>
      </c>
      <c r="T735">
        <v>3334</v>
      </c>
      <c r="U735">
        <v>1</v>
      </c>
      <c r="V735" t="s">
        <v>42</v>
      </c>
      <c r="W735" t="s">
        <v>43</v>
      </c>
      <c r="X735">
        <v>12</v>
      </c>
      <c r="Y735">
        <v>3</v>
      </c>
      <c r="Z735">
        <v>2</v>
      </c>
      <c r="AA735">
        <v>80</v>
      </c>
      <c r="AB735">
        <v>0</v>
      </c>
      <c r="AC735">
        <v>8</v>
      </c>
      <c r="AD735">
        <v>2</v>
      </c>
      <c r="AE735">
        <v>3</v>
      </c>
      <c r="AF735">
        <v>8</v>
      </c>
      <c r="AG735">
        <v>7</v>
      </c>
      <c r="AH735">
        <v>1</v>
      </c>
      <c r="AI735">
        <v>3</v>
      </c>
      <c r="AJ735" s="2">
        <f>IF(tblHR[[#This Row],[Attrition]]="Yes",1,0)</f>
        <v>0</v>
      </c>
      <c r="AK735" t="str">
        <f>IF(tblHR[[#This Row],[Age]]&lt;26,"18-25",IF(tblHR[[#This Row],[Age]]&lt;36,"26-35",IF(tblHR[[#This Row],[Age]]&lt;46,"36-45",IF(tblHR[[#This Row],[Age]]&lt;56,"46-55","56+"))))</f>
        <v>26-35</v>
      </c>
    </row>
    <row r="736" spans="1:37"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s="1">
        <v>2451</v>
      </c>
      <c r="T736">
        <v>6881</v>
      </c>
      <c r="U736">
        <v>1</v>
      </c>
      <c r="V736" t="s">
        <v>42</v>
      </c>
      <c r="W736" t="s">
        <v>43</v>
      </c>
      <c r="X736">
        <v>15</v>
      </c>
      <c r="Y736">
        <v>3</v>
      </c>
      <c r="Z736">
        <v>1</v>
      </c>
      <c r="AA736">
        <v>80</v>
      </c>
      <c r="AB736">
        <v>1</v>
      </c>
      <c r="AC736">
        <v>4</v>
      </c>
      <c r="AD736">
        <v>3</v>
      </c>
      <c r="AE736">
        <v>2</v>
      </c>
      <c r="AF736">
        <v>4</v>
      </c>
      <c r="AG736">
        <v>3</v>
      </c>
      <c r="AH736">
        <v>1</v>
      </c>
      <c r="AI736">
        <v>1</v>
      </c>
      <c r="AJ736" s="2">
        <f>IF(tblHR[[#This Row],[Attrition]]="Yes",1,0)</f>
        <v>0</v>
      </c>
      <c r="AK736" t="str">
        <f>IF(tblHR[[#This Row],[Age]]&lt;26,"18-25",IF(tblHR[[#This Row],[Age]]&lt;36,"26-35",IF(tblHR[[#This Row],[Age]]&lt;46,"36-45",IF(tblHR[[#This Row],[Age]]&lt;56,"46-55","56+"))))</f>
        <v>18-25</v>
      </c>
    </row>
    <row r="737" spans="1:37"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s="1">
        <v>4240</v>
      </c>
      <c r="T737">
        <v>13119</v>
      </c>
      <c r="U737">
        <v>2</v>
      </c>
      <c r="V737" t="s">
        <v>42</v>
      </c>
      <c r="W737" t="s">
        <v>43</v>
      </c>
      <c r="X737">
        <v>13</v>
      </c>
      <c r="Y737">
        <v>3</v>
      </c>
      <c r="Z737">
        <v>4</v>
      </c>
      <c r="AA737">
        <v>80</v>
      </c>
      <c r="AB737">
        <v>0</v>
      </c>
      <c r="AC737">
        <v>19</v>
      </c>
      <c r="AD737">
        <v>0</v>
      </c>
      <c r="AE737">
        <v>3</v>
      </c>
      <c r="AF737">
        <v>2</v>
      </c>
      <c r="AG737">
        <v>2</v>
      </c>
      <c r="AH737">
        <v>2</v>
      </c>
      <c r="AI737">
        <v>2</v>
      </c>
      <c r="AJ737" s="2">
        <f>IF(tblHR[[#This Row],[Attrition]]="Yes",1,0)</f>
        <v>0</v>
      </c>
      <c r="AK737" t="str">
        <f>IF(tblHR[[#This Row],[Age]]&lt;26,"18-25",IF(tblHR[[#This Row],[Age]]&lt;36,"26-35",IF(tblHR[[#This Row],[Age]]&lt;46,"36-45",IF(tblHR[[#This Row],[Age]]&lt;56,"46-55","56+"))))</f>
        <v>46-55</v>
      </c>
    </row>
    <row r="738" spans="1:37"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s="1">
        <v>10999</v>
      </c>
      <c r="T738">
        <v>22245</v>
      </c>
      <c r="U738">
        <v>7</v>
      </c>
      <c r="V738" t="s">
        <v>42</v>
      </c>
      <c r="W738" t="s">
        <v>43</v>
      </c>
      <c r="X738">
        <v>14</v>
      </c>
      <c r="Y738">
        <v>3</v>
      </c>
      <c r="Z738">
        <v>2</v>
      </c>
      <c r="AA738">
        <v>80</v>
      </c>
      <c r="AB738">
        <v>0</v>
      </c>
      <c r="AC738">
        <v>27</v>
      </c>
      <c r="AD738">
        <v>3</v>
      </c>
      <c r="AE738">
        <v>3</v>
      </c>
      <c r="AF738">
        <v>15</v>
      </c>
      <c r="AG738">
        <v>11</v>
      </c>
      <c r="AH738">
        <v>4</v>
      </c>
      <c r="AI738">
        <v>8</v>
      </c>
      <c r="AJ738" s="2">
        <f>IF(tblHR[[#This Row],[Attrition]]="Yes",1,0)</f>
        <v>0</v>
      </c>
      <c r="AK738" t="str">
        <f>IF(tblHR[[#This Row],[Age]]&lt;26,"18-25",IF(tblHR[[#This Row],[Age]]&lt;36,"26-35",IF(tblHR[[#This Row],[Age]]&lt;46,"36-45",IF(tblHR[[#This Row],[Age]]&lt;56,"46-55","56+"))))</f>
        <v>46-55</v>
      </c>
    </row>
    <row r="739" spans="1:37"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s="1">
        <v>5003</v>
      </c>
      <c r="T739">
        <v>23371</v>
      </c>
      <c r="U739">
        <v>6</v>
      </c>
      <c r="V739" t="s">
        <v>42</v>
      </c>
      <c r="W739" t="s">
        <v>43</v>
      </c>
      <c r="X739">
        <v>14</v>
      </c>
      <c r="Y739">
        <v>3</v>
      </c>
      <c r="Z739">
        <v>2</v>
      </c>
      <c r="AA739">
        <v>80</v>
      </c>
      <c r="AB739">
        <v>0</v>
      </c>
      <c r="AC739">
        <v>8</v>
      </c>
      <c r="AD739">
        <v>6</v>
      </c>
      <c r="AE739">
        <v>3</v>
      </c>
      <c r="AF739">
        <v>2</v>
      </c>
      <c r="AG739">
        <v>2</v>
      </c>
      <c r="AH739">
        <v>2</v>
      </c>
      <c r="AI739">
        <v>1</v>
      </c>
      <c r="AJ739" s="2">
        <f>IF(tblHR[[#This Row],[Attrition]]="Yes",1,0)</f>
        <v>0</v>
      </c>
      <c r="AK739" t="str">
        <f>IF(tblHR[[#This Row],[Age]]&lt;26,"18-25",IF(tblHR[[#This Row],[Age]]&lt;36,"26-35",IF(tblHR[[#This Row],[Age]]&lt;46,"36-45",IF(tblHR[[#This Row],[Age]]&lt;56,"46-55","56+"))))</f>
        <v>36-45</v>
      </c>
    </row>
    <row r="740" spans="1:37"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s="1">
        <v>12742</v>
      </c>
      <c r="T740">
        <v>7060</v>
      </c>
      <c r="U740">
        <v>1</v>
      </c>
      <c r="V740" t="s">
        <v>42</v>
      </c>
      <c r="W740" t="s">
        <v>43</v>
      </c>
      <c r="X740">
        <v>16</v>
      </c>
      <c r="Y740">
        <v>3</v>
      </c>
      <c r="Z740">
        <v>3</v>
      </c>
      <c r="AA740">
        <v>80</v>
      </c>
      <c r="AB740">
        <v>1</v>
      </c>
      <c r="AC740">
        <v>21</v>
      </c>
      <c r="AD740">
        <v>3</v>
      </c>
      <c r="AE740">
        <v>3</v>
      </c>
      <c r="AF740">
        <v>21</v>
      </c>
      <c r="AG740">
        <v>6</v>
      </c>
      <c r="AH740">
        <v>11</v>
      </c>
      <c r="AI740">
        <v>8</v>
      </c>
      <c r="AJ740" s="2">
        <f>IF(tblHR[[#This Row],[Attrition]]="Yes",1,0)</f>
        <v>0</v>
      </c>
      <c r="AK740" t="str">
        <f>IF(tblHR[[#This Row],[Age]]&lt;26,"18-25",IF(tblHR[[#This Row],[Age]]&lt;36,"26-35",IF(tblHR[[#This Row],[Age]]&lt;46,"36-45",IF(tblHR[[#This Row],[Age]]&lt;56,"46-55","56+"))))</f>
        <v>36-45</v>
      </c>
    </row>
    <row r="741" spans="1:37"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s="1">
        <v>4227</v>
      </c>
      <c r="T741">
        <v>4658</v>
      </c>
      <c r="U741">
        <v>0</v>
      </c>
      <c r="V741" t="s">
        <v>42</v>
      </c>
      <c r="W741" t="s">
        <v>43</v>
      </c>
      <c r="X741">
        <v>18</v>
      </c>
      <c r="Y741">
        <v>3</v>
      </c>
      <c r="Z741">
        <v>2</v>
      </c>
      <c r="AA741">
        <v>80</v>
      </c>
      <c r="AB741">
        <v>1</v>
      </c>
      <c r="AC741">
        <v>4</v>
      </c>
      <c r="AD741">
        <v>2</v>
      </c>
      <c r="AE741">
        <v>3</v>
      </c>
      <c r="AF741">
        <v>3</v>
      </c>
      <c r="AG741">
        <v>2</v>
      </c>
      <c r="AH741">
        <v>2</v>
      </c>
      <c r="AI741">
        <v>2</v>
      </c>
      <c r="AJ741" s="2">
        <f>IF(tblHR[[#This Row],[Attrition]]="Yes",1,0)</f>
        <v>0</v>
      </c>
      <c r="AK741" t="str">
        <f>IF(tblHR[[#This Row],[Age]]&lt;26,"18-25",IF(tblHR[[#This Row],[Age]]&lt;36,"26-35",IF(tblHR[[#This Row],[Age]]&lt;46,"36-45",IF(tblHR[[#This Row],[Age]]&lt;56,"46-55","56+"))))</f>
        <v>26-35</v>
      </c>
    </row>
    <row r="742" spans="1:37"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s="1">
        <v>3917</v>
      </c>
      <c r="T742">
        <v>9541</v>
      </c>
      <c r="U742">
        <v>1</v>
      </c>
      <c r="V742" t="s">
        <v>42</v>
      </c>
      <c r="W742" t="s">
        <v>43</v>
      </c>
      <c r="X742">
        <v>20</v>
      </c>
      <c r="Y742">
        <v>4</v>
      </c>
      <c r="Z742">
        <v>1</v>
      </c>
      <c r="AA742">
        <v>80</v>
      </c>
      <c r="AB742">
        <v>1</v>
      </c>
      <c r="AC742">
        <v>3</v>
      </c>
      <c r="AD742">
        <v>4</v>
      </c>
      <c r="AE742">
        <v>2</v>
      </c>
      <c r="AF742">
        <v>3</v>
      </c>
      <c r="AG742">
        <v>2</v>
      </c>
      <c r="AH742">
        <v>1</v>
      </c>
      <c r="AI742">
        <v>2</v>
      </c>
      <c r="AJ742" s="2">
        <f>IF(tblHR[[#This Row],[Attrition]]="Yes",1,0)</f>
        <v>0</v>
      </c>
      <c r="AK742" t="str">
        <f>IF(tblHR[[#This Row],[Age]]&lt;26,"18-25",IF(tblHR[[#This Row],[Age]]&lt;36,"26-35",IF(tblHR[[#This Row],[Age]]&lt;46,"36-45",IF(tblHR[[#This Row],[Age]]&lt;56,"46-55","56+"))))</f>
        <v>26-35</v>
      </c>
    </row>
    <row r="743" spans="1:37"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s="1">
        <v>18303</v>
      </c>
      <c r="T743">
        <v>7770</v>
      </c>
      <c r="U743">
        <v>6</v>
      </c>
      <c r="V743" t="s">
        <v>42</v>
      </c>
      <c r="W743" t="s">
        <v>43</v>
      </c>
      <c r="X743">
        <v>13</v>
      </c>
      <c r="Y743">
        <v>3</v>
      </c>
      <c r="Z743">
        <v>2</v>
      </c>
      <c r="AA743">
        <v>80</v>
      </c>
      <c r="AB743">
        <v>0</v>
      </c>
      <c r="AC743">
        <v>21</v>
      </c>
      <c r="AD743">
        <v>3</v>
      </c>
      <c r="AE743">
        <v>4</v>
      </c>
      <c r="AF743">
        <v>1</v>
      </c>
      <c r="AG743">
        <v>0</v>
      </c>
      <c r="AH743">
        <v>0</v>
      </c>
      <c r="AI743">
        <v>0</v>
      </c>
      <c r="AJ743" s="2">
        <f>IF(tblHR[[#This Row],[Attrition]]="Yes",1,0)</f>
        <v>0</v>
      </c>
      <c r="AK743" t="str">
        <f>IF(tblHR[[#This Row],[Age]]&lt;26,"18-25",IF(tblHR[[#This Row],[Age]]&lt;36,"26-35",IF(tblHR[[#This Row],[Age]]&lt;46,"36-45",IF(tblHR[[#This Row],[Age]]&lt;56,"46-55","56+"))))</f>
        <v>36-45</v>
      </c>
    </row>
    <row r="744" spans="1:37"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s="1">
        <v>2380</v>
      </c>
      <c r="T744">
        <v>20165</v>
      </c>
      <c r="U744">
        <v>4</v>
      </c>
      <c r="V744" t="s">
        <v>42</v>
      </c>
      <c r="W744" t="s">
        <v>43</v>
      </c>
      <c r="X744">
        <v>18</v>
      </c>
      <c r="Y744">
        <v>3</v>
      </c>
      <c r="Z744">
        <v>2</v>
      </c>
      <c r="AA744">
        <v>80</v>
      </c>
      <c r="AB744">
        <v>0</v>
      </c>
      <c r="AC744">
        <v>8</v>
      </c>
      <c r="AD744">
        <v>5</v>
      </c>
      <c r="AE744">
        <v>3</v>
      </c>
      <c r="AF744">
        <v>1</v>
      </c>
      <c r="AG744">
        <v>0</v>
      </c>
      <c r="AH744">
        <v>0</v>
      </c>
      <c r="AI744">
        <v>0</v>
      </c>
      <c r="AJ744" s="2">
        <f>IF(tblHR[[#This Row],[Attrition]]="Yes",1,0)</f>
        <v>0</v>
      </c>
      <c r="AK744" t="str">
        <f>IF(tblHR[[#This Row],[Age]]&lt;26,"18-25",IF(tblHR[[#This Row],[Age]]&lt;36,"26-35",IF(tblHR[[#This Row],[Age]]&lt;46,"36-45",IF(tblHR[[#This Row],[Age]]&lt;56,"46-55","56+"))))</f>
        <v>46-55</v>
      </c>
    </row>
    <row r="745" spans="1:37"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s="1">
        <v>13726</v>
      </c>
      <c r="T745">
        <v>21829</v>
      </c>
      <c r="U745">
        <v>3</v>
      </c>
      <c r="V745" t="s">
        <v>42</v>
      </c>
      <c r="W745" t="s">
        <v>35</v>
      </c>
      <c r="X745">
        <v>13</v>
      </c>
      <c r="Y745">
        <v>3</v>
      </c>
      <c r="Z745">
        <v>1</v>
      </c>
      <c r="AA745">
        <v>80</v>
      </c>
      <c r="AB745">
        <v>0</v>
      </c>
      <c r="AC745">
        <v>30</v>
      </c>
      <c r="AD745">
        <v>4</v>
      </c>
      <c r="AE745">
        <v>3</v>
      </c>
      <c r="AF745">
        <v>5</v>
      </c>
      <c r="AG745">
        <v>3</v>
      </c>
      <c r="AH745">
        <v>4</v>
      </c>
      <c r="AI745">
        <v>3</v>
      </c>
      <c r="AJ745" s="2">
        <f>IF(tblHR[[#This Row],[Attrition]]="Yes",1,0)</f>
        <v>0</v>
      </c>
      <c r="AK745" t="str">
        <f>IF(tblHR[[#This Row],[Age]]&lt;26,"18-25",IF(tblHR[[#This Row],[Age]]&lt;36,"26-35",IF(tblHR[[#This Row],[Age]]&lt;46,"36-45",IF(tblHR[[#This Row],[Age]]&lt;56,"46-55","56+"))))</f>
        <v>56+</v>
      </c>
    </row>
    <row r="746" spans="1:37"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s="1">
        <v>4777</v>
      </c>
      <c r="T746">
        <v>14382</v>
      </c>
      <c r="U746">
        <v>5</v>
      </c>
      <c r="V746" t="s">
        <v>42</v>
      </c>
      <c r="W746" t="s">
        <v>43</v>
      </c>
      <c r="X746">
        <v>15</v>
      </c>
      <c r="Y746">
        <v>3</v>
      </c>
      <c r="Z746">
        <v>1</v>
      </c>
      <c r="AA746">
        <v>80</v>
      </c>
      <c r="AB746">
        <v>0</v>
      </c>
      <c r="AC746">
        <v>15</v>
      </c>
      <c r="AD746">
        <v>2</v>
      </c>
      <c r="AE746">
        <v>1</v>
      </c>
      <c r="AF746">
        <v>1</v>
      </c>
      <c r="AG746">
        <v>0</v>
      </c>
      <c r="AH746">
        <v>0</v>
      </c>
      <c r="AI746">
        <v>0</v>
      </c>
      <c r="AJ746" s="2">
        <f>IF(tblHR[[#This Row],[Attrition]]="Yes",1,0)</f>
        <v>1</v>
      </c>
      <c r="AK746" t="str">
        <f>IF(tblHR[[#This Row],[Age]]&lt;26,"18-25",IF(tblHR[[#This Row],[Age]]&lt;36,"26-35",IF(tblHR[[#This Row],[Age]]&lt;46,"36-45",IF(tblHR[[#This Row],[Age]]&lt;56,"46-55","56+"))))</f>
        <v>36-45</v>
      </c>
    </row>
    <row r="747" spans="1:37"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s="1">
        <v>6385</v>
      </c>
      <c r="T747">
        <v>12992</v>
      </c>
      <c r="U747">
        <v>3</v>
      </c>
      <c r="V747" t="s">
        <v>42</v>
      </c>
      <c r="W747" t="s">
        <v>35</v>
      </c>
      <c r="X747">
        <v>14</v>
      </c>
      <c r="Y747">
        <v>3</v>
      </c>
      <c r="Z747">
        <v>4</v>
      </c>
      <c r="AA747">
        <v>80</v>
      </c>
      <c r="AB747">
        <v>2</v>
      </c>
      <c r="AC747">
        <v>17</v>
      </c>
      <c r="AD747">
        <v>3</v>
      </c>
      <c r="AE747">
        <v>3</v>
      </c>
      <c r="AF747">
        <v>8</v>
      </c>
      <c r="AG747">
        <v>7</v>
      </c>
      <c r="AH747">
        <v>6</v>
      </c>
      <c r="AI747">
        <v>7</v>
      </c>
      <c r="AJ747" s="2">
        <f>IF(tblHR[[#This Row],[Attrition]]="Yes",1,0)</f>
        <v>0</v>
      </c>
      <c r="AK747" t="str">
        <f>IF(tblHR[[#This Row],[Age]]&lt;26,"18-25",IF(tblHR[[#This Row],[Age]]&lt;36,"26-35",IF(tblHR[[#This Row],[Age]]&lt;46,"36-45",IF(tblHR[[#This Row],[Age]]&lt;56,"46-55","56+"))))</f>
        <v>46-55</v>
      </c>
    </row>
    <row r="748" spans="1:37"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s="1">
        <v>19973</v>
      </c>
      <c r="T748">
        <v>20284</v>
      </c>
      <c r="U748">
        <v>1</v>
      </c>
      <c r="V748" t="s">
        <v>42</v>
      </c>
      <c r="W748" t="s">
        <v>43</v>
      </c>
      <c r="X748">
        <v>22</v>
      </c>
      <c r="Y748">
        <v>4</v>
      </c>
      <c r="Z748">
        <v>2</v>
      </c>
      <c r="AA748">
        <v>80</v>
      </c>
      <c r="AB748">
        <v>2</v>
      </c>
      <c r="AC748">
        <v>21</v>
      </c>
      <c r="AD748">
        <v>3</v>
      </c>
      <c r="AE748">
        <v>3</v>
      </c>
      <c r="AF748">
        <v>21</v>
      </c>
      <c r="AG748">
        <v>16</v>
      </c>
      <c r="AH748">
        <v>5</v>
      </c>
      <c r="AI748">
        <v>10</v>
      </c>
      <c r="AJ748" s="2">
        <f>IF(tblHR[[#This Row],[Attrition]]="Yes",1,0)</f>
        <v>0</v>
      </c>
      <c r="AK748" t="str">
        <f>IF(tblHR[[#This Row],[Age]]&lt;26,"18-25",IF(tblHR[[#This Row],[Age]]&lt;36,"26-35",IF(tblHR[[#This Row],[Age]]&lt;46,"36-45",IF(tblHR[[#This Row],[Age]]&lt;56,"46-55","56+"))))</f>
        <v>36-45</v>
      </c>
    </row>
    <row r="749" spans="1:37"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s="1">
        <v>6861</v>
      </c>
      <c r="T749">
        <v>4981</v>
      </c>
      <c r="U749">
        <v>8</v>
      </c>
      <c r="V749" t="s">
        <v>42</v>
      </c>
      <c r="W749" t="s">
        <v>35</v>
      </c>
      <c r="X749">
        <v>12</v>
      </c>
      <c r="Y749">
        <v>3</v>
      </c>
      <c r="Z749">
        <v>3</v>
      </c>
      <c r="AA749">
        <v>80</v>
      </c>
      <c r="AB749">
        <v>0</v>
      </c>
      <c r="AC749">
        <v>19</v>
      </c>
      <c r="AD749">
        <v>1</v>
      </c>
      <c r="AE749">
        <v>3</v>
      </c>
      <c r="AF749">
        <v>1</v>
      </c>
      <c r="AG749">
        <v>0</v>
      </c>
      <c r="AH749">
        <v>0</v>
      </c>
      <c r="AI749">
        <v>0</v>
      </c>
      <c r="AJ749" s="2">
        <f>IF(tblHR[[#This Row],[Attrition]]="Yes",1,0)</f>
        <v>0</v>
      </c>
      <c r="AK749" t="str">
        <f>IF(tblHR[[#This Row],[Age]]&lt;26,"18-25",IF(tblHR[[#This Row],[Age]]&lt;36,"26-35",IF(tblHR[[#This Row],[Age]]&lt;46,"36-45",IF(tblHR[[#This Row],[Age]]&lt;56,"46-55","56+"))))</f>
        <v>36-45</v>
      </c>
    </row>
    <row r="750" spans="1:37"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s="1">
        <v>4969</v>
      </c>
      <c r="T750">
        <v>21813</v>
      </c>
      <c r="U750">
        <v>8</v>
      </c>
      <c r="V750" t="s">
        <v>42</v>
      </c>
      <c r="W750" t="s">
        <v>43</v>
      </c>
      <c r="X750">
        <v>18</v>
      </c>
      <c r="Y750">
        <v>3</v>
      </c>
      <c r="Z750">
        <v>4</v>
      </c>
      <c r="AA750">
        <v>80</v>
      </c>
      <c r="AB750">
        <v>0</v>
      </c>
      <c r="AC750">
        <v>7</v>
      </c>
      <c r="AD750">
        <v>6</v>
      </c>
      <c r="AE750">
        <v>3</v>
      </c>
      <c r="AF750">
        <v>2</v>
      </c>
      <c r="AG750">
        <v>2</v>
      </c>
      <c r="AH750">
        <v>2</v>
      </c>
      <c r="AI750">
        <v>2</v>
      </c>
      <c r="AJ750" s="2">
        <f>IF(tblHR[[#This Row],[Attrition]]="Yes",1,0)</f>
        <v>1</v>
      </c>
      <c r="AK750" t="str">
        <f>IF(tblHR[[#This Row],[Age]]&lt;26,"18-25",IF(tblHR[[#This Row],[Age]]&lt;36,"26-35",IF(tblHR[[#This Row],[Age]]&lt;46,"36-45",IF(tblHR[[#This Row],[Age]]&lt;56,"46-55","56+"))))</f>
        <v>26-35</v>
      </c>
    </row>
    <row r="751" spans="1:37"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s="1">
        <v>19845</v>
      </c>
      <c r="T751">
        <v>25846</v>
      </c>
      <c r="U751">
        <v>1</v>
      </c>
      <c r="V751" t="s">
        <v>42</v>
      </c>
      <c r="W751" t="s">
        <v>43</v>
      </c>
      <c r="X751">
        <v>15</v>
      </c>
      <c r="Y751">
        <v>3</v>
      </c>
      <c r="Z751">
        <v>4</v>
      </c>
      <c r="AA751">
        <v>80</v>
      </c>
      <c r="AB751">
        <v>1</v>
      </c>
      <c r="AC751">
        <v>33</v>
      </c>
      <c r="AD751">
        <v>3</v>
      </c>
      <c r="AE751">
        <v>3</v>
      </c>
      <c r="AF751">
        <v>32</v>
      </c>
      <c r="AG751">
        <v>14</v>
      </c>
      <c r="AH751">
        <v>6</v>
      </c>
      <c r="AI751">
        <v>9</v>
      </c>
      <c r="AJ751" s="2">
        <f>IF(tblHR[[#This Row],[Attrition]]="Yes",1,0)</f>
        <v>1</v>
      </c>
      <c r="AK751" t="str">
        <f>IF(tblHR[[#This Row],[Age]]&lt;26,"18-25",IF(tblHR[[#This Row],[Age]]&lt;36,"26-35",IF(tblHR[[#This Row],[Age]]&lt;46,"36-45",IF(tblHR[[#This Row],[Age]]&lt;56,"46-55","56+"))))</f>
        <v>46-55</v>
      </c>
    </row>
    <row r="752" spans="1:37"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s="1">
        <v>13320</v>
      </c>
      <c r="T752">
        <v>11737</v>
      </c>
      <c r="U752">
        <v>3</v>
      </c>
      <c r="V752" t="s">
        <v>42</v>
      </c>
      <c r="W752" t="s">
        <v>35</v>
      </c>
      <c r="X752">
        <v>18</v>
      </c>
      <c r="Y752">
        <v>3</v>
      </c>
      <c r="Z752">
        <v>3</v>
      </c>
      <c r="AA752">
        <v>80</v>
      </c>
      <c r="AB752">
        <v>1</v>
      </c>
      <c r="AC752">
        <v>23</v>
      </c>
      <c r="AD752">
        <v>2</v>
      </c>
      <c r="AE752">
        <v>3</v>
      </c>
      <c r="AF752">
        <v>12</v>
      </c>
      <c r="AG752">
        <v>11</v>
      </c>
      <c r="AH752">
        <v>11</v>
      </c>
      <c r="AI752">
        <v>11</v>
      </c>
      <c r="AJ752" s="2">
        <f>IF(tblHR[[#This Row],[Attrition]]="Yes",1,0)</f>
        <v>0</v>
      </c>
      <c r="AK752" t="str">
        <f>IF(tblHR[[#This Row],[Age]]&lt;26,"18-25",IF(tblHR[[#This Row],[Age]]&lt;36,"26-35",IF(tblHR[[#This Row],[Age]]&lt;46,"36-45",IF(tblHR[[#This Row],[Age]]&lt;56,"46-55","56+"))))</f>
        <v>36-45</v>
      </c>
    </row>
    <row r="753" spans="1:37"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s="1">
        <v>6347</v>
      </c>
      <c r="T753">
        <v>24920</v>
      </c>
      <c r="U753">
        <v>0</v>
      </c>
      <c r="V753" t="s">
        <v>42</v>
      </c>
      <c r="W753" t="s">
        <v>43</v>
      </c>
      <c r="X753">
        <v>12</v>
      </c>
      <c r="Y753">
        <v>3</v>
      </c>
      <c r="Z753">
        <v>1</v>
      </c>
      <c r="AA753">
        <v>80</v>
      </c>
      <c r="AB753">
        <v>1</v>
      </c>
      <c r="AC753">
        <v>19</v>
      </c>
      <c r="AD753">
        <v>3</v>
      </c>
      <c r="AE753">
        <v>3</v>
      </c>
      <c r="AF753">
        <v>18</v>
      </c>
      <c r="AG753">
        <v>7</v>
      </c>
      <c r="AH753">
        <v>0</v>
      </c>
      <c r="AI753">
        <v>13</v>
      </c>
      <c r="AJ753" s="2">
        <f>IF(tblHR[[#This Row],[Attrition]]="Yes",1,0)</f>
        <v>0</v>
      </c>
      <c r="AK753" t="str">
        <f>IF(tblHR[[#This Row],[Age]]&lt;26,"18-25",IF(tblHR[[#This Row],[Age]]&lt;36,"26-35",IF(tblHR[[#This Row],[Age]]&lt;46,"36-45",IF(tblHR[[#This Row],[Age]]&lt;56,"46-55","56+"))))</f>
        <v>46-55</v>
      </c>
    </row>
    <row r="754" spans="1:37"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s="1">
        <v>2743</v>
      </c>
      <c r="T754">
        <v>8269</v>
      </c>
      <c r="U754">
        <v>1</v>
      </c>
      <c r="V754" t="s">
        <v>42</v>
      </c>
      <c r="W754" t="s">
        <v>43</v>
      </c>
      <c r="X754">
        <v>16</v>
      </c>
      <c r="Y754">
        <v>3</v>
      </c>
      <c r="Z754">
        <v>3</v>
      </c>
      <c r="AA754">
        <v>80</v>
      </c>
      <c r="AB754">
        <v>0</v>
      </c>
      <c r="AC754">
        <v>18</v>
      </c>
      <c r="AD754">
        <v>1</v>
      </c>
      <c r="AE754">
        <v>3</v>
      </c>
      <c r="AF754">
        <v>17</v>
      </c>
      <c r="AG754">
        <v>13</v>
      </c>
      <c r="AH754">
        <v>15</v>
      </c>
      <c r="AI754">
        <v>14</v>
      </c>
      <c r="AJ754" s="2">
        <f>IF(tblHR[[#This Row],[Attrition]]="Yes",1,0)</f>
        <v>1</v>
      </c>
      <c r="AK754" t="str">
        <f>IF(tblHR[[#This Row],[Age]]&lt;26,"18-25",IF(tblHR[[#This Row],[Age]]&lt;36,"26-35",IF(tblHR[[#This Row],[Age]]&lt;46,"36-45",IF(tblHR[[#This Row],[Age]]&lt;56,"46-55","56+"))))</f>
        <v>36-45</v>
      </c>
    </row>
    <row r="755" spans="1:37"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s="1">
        <v>10880</v>
      </c>
      <c r="T755">
        <v>5083</v>
      </c>
      <c r="U755">
        <v>1</v>
      </c>
      <c r="V755" t="s">
        <v>42</v>
      </c>
      <c r="W755" t="s">
        <v>35</v>
      </c>
      <c r="X755">
        <v>13</v>
      </c>
      <c r="Y755">
        <v>3</v>
      </c>
      <c r="Z755">
        <v>3</v>
      </c>
      <c r="AA755">
        <v>80</v>
      </c>
      <c r="AB755">
        <v>0</v>
      </c>
      <c r="AC755">
        <v>21</v>
      </c>
      <c r="AD755">
        <v>2</v>
      </c>
      <c r="AE755">
        <v>3</v>
      </c>
      <c r="AF755">
        <v>21</v>
      </c>
      <c r="AG755">
        <v>6</v>
      </c>
      <c r="AH755">
        <v>2</v>
      </c>
      <c r="AI755">
        <v>8</v>
      </c>
      <c r="AJ755" s="2">
        <f>IF(tblHR[[#This Row],[Attrition]]="Yes",1,0)</f>
        <v>0</v>
      </c>
      <c r="AK755" t="str">
        <f>IF(tblHR[[#This Row],[Age]]&lt;26,"18-25",IF(tblHR[[#This Row],[Age]]&lt;36,"26-35",IF(tblHR[[#This Row],[Age]]&lt;46,"36-45",IF(tblHR[[#This Row],[Age]]&lt;56,"46-55","56+"))))</f>
        <v>36-45</v>
      </c>
    </row>
    <row r="756" spans="1:37"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s="1">
        <v>2342</v>
      </c>
      <c r="T756">
        <v>21437</v>
      </c>
      <c r="U756">
        <v>0</v>
      </c>
      <c r="V756" t="s">
        <v>42</v>
      </c>
      <c r="W756" t="s">
        <v>43</v>
      </c>
      <c r="X756">
        <v>19</v>
      </c>
      <c r="Y756">
        <v>3</v>
      </c>
      <c r="Z756">
        <v>4</v>
      </c>
      <c r="AA756">
        <v>80</v>
      </c>
      <c r="AB756">
        <v>0</v>
      </c>
      <c r="AC756">
        <v>3</v>
      </c>
      <c r="AD756">
        <v>2</v>
      </c>
      <c r="AE756">
        <v>2</v>
      </c>
      <c r="AF756">
        <v>2</v>
      </c>
      <c r="AG756">
        <v>2</v>
      </c>
      <c r="AH756">
        <v>2</v>
      </c>
      <c r="AI756">
        <v>2</v>
      </c>
      <c r="AJ756" s="2">
        <f>IF(tblHR[[#This Row],[Attrition]]="Yes",1,0)</f>
        <v>0</v>
      </c>
      <c r="AK756" t="str">
        <f>IF(tblHR[[#This Row],[Age]]&lt;26,"18-25",IF(tblHR[[#This Row],[Age]]&lt;36,"26-35",IF(tblHR[[#This Row],[Age]]&lt;46,"36-45",IF(tblHR[[#This Row],[Age]]&lt;56,"46-55","56+"))))</f>
        <v>26-35</v>
      </c>
    </row>
    <row r="757" spans="1:37"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s="1">
        <v>17650</v>
      </c>
      <c r="T757">
        <v>5404</v>
      </c>
      <c r="U757">
        <v>3</v>
      </c>
      <c r="V757" t="s">
        <v>42</v>
      </c>
      <c r="W757" t="s">
        <v>43</v>
      </c>
      <c r="X757">
        <v>13</v>
      </c>
      <c r="Y757">
        <v>3</v>
      </c>
      <c r="Z757">
        <v>2</v>
      </c>
      <c r="AA757">
        <v>80</v>
      </c>
      <c r="AB757">
        <v>1</v>
      </c>
      <c r="AC757">
        <v>26</v>
      </c>
      <c r="AD757">
        <v>4</v>
      </c>
      <c r="AE757">
        <v>4</v>
      </c>
      <c r="AF757">
        <v>9</v>
      </c>
      <c r="AG757">
        <v>3</v>
      </c>
      <c r="AH757">
        <v>1</v>
      </c>
      <c r="AI757">
        <v>1</v>
      </c>
      <c r="AJ757" s="2">
        <f>IF(tblHR[[#This Row],[Attrition]]="Yes",1,0)</f>
        <v>0</v>
      </c>
      <c r="AK757" t="str">
        <f>IF(tblHR[[#This Row],[Age]]&lt;26,"18-25",IF(tblHR[[#This Row],[Age]]&lt;36,"26-35",IF(tblHR[[#This Row],[Age]]&lt;46,"36-45",IF(tblHR[[#This Row],[Age]]&lt;56,"46-55","56+"))))</f>
        <v>36-45</v>
      </c>
    </row>
    <row r="758" spans="1:37"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s="1">
        <v>4025</v>
      </c>
      <c r="T758">
        <v>11135</v>
      </c>
      <c r="U758">
        <v>9</v>
      </c>
      <c r="V758" t="s">
        <v>42</v>
      </c>
      <c r="W758" t="s">
        <v>43</v>
      </c>
      <c r="X758">
        <v>12</v>
      </c>
      <c r="Y758">
        <v>3</v>
      </c>
      <c r="Z758">
        <v>2</v>
      </c>
      <c r="AA758">
        <v>80</v>
      </c>
      <c r="AB758">
        <v>0</v>
      </c>
      <c r="AC758">
        <v>10</v>
      </c>
      <c r="AD758">
        <v>2</v>
      </c>
      <c r="AE758">
        <v>3</v>
      </c>
      <c r="AF758">
        <v>8</v>
      </c>
      <c r="AG758">
        <v>7</v>
      </c>
      <c r="AH758">
        <v>7</v>
      </c>
      <c r="AI758">
        <v>7</v>
      </c>
      <c r="AJ758" s="2">
        <f>IF(tblHR[[#This Row],[Attrition]]="Yes",1,0)</f>
        <v>0</v>
      </c>
      <c r="AK758" t="str">
        <f>IF(tblHR[[#This Row],[Age]]&lt;26,"18-25",IF(tblHR[[#This Row],[Age]]&lt;36,"26-35",IF(tblHR[[#This Row],[Age]]&lt;46,"36-45",IF(tblHR[[#This Row],[Age]]&lt;56,"46-55","56+"))))</f>
        <v>26-35</v>
      </c>
    </row>
    <row r="759" spans="1:37"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s="1">
        <v>9725</v>
      </c>
      <c r="T759">
        <v>12278</v>
      </c>
      <c r="U759">
        <v>0</v>
      </c>
      <c r="V759" t="s">
        <v>42</v>
      </c>
      <c r="W759" t="s">
        <v>43</v>
      </c>
      <c r="X759">
        <v>11</v>
      </c>
      <c r="Y759">
        <v>3</v>
      </c>
      <c r="Z759">
        <v>4</v>
      </c>
      <c r="AA759">
        <v>80</v>
      </c>
      <c r="AB759">
        <v>1</v>
      </c>
      <c r="AC759">
        <v>16</v>
      </c>
      <c r="AD759">
        <v>2</v>
      </c>
      <c r="AE759">
        <v>2</v>
      </c>
      <c r="AF759">
        <v>15</v>
      </c>
      <c r="AG759">
        <v>1</v>
      </c>
      <c r="AH759">
        <v>0</v>
      </c>
      <c r="AI759">
        <v>9</v>
      </c>
      <c r="AJ759" s="2">
        <f>IF(tblHR[[#This Row],[Attrition]]="Yes",1,0)</f>
        <v>0</v>
      </c>
      <c r="AK759" t="str">
        <f>IF(tblHR[[#This Row],[Age]]&lt;26,"18-25",IF(tblHR[[#This Row],[Age]]&lt;36,"26-35",IF(tblHR[[#This Row],[Age]]&lt;46,"36-45",IF(tblHR[[#This Row],[Age]]&lt;56,"46-55","56+"))))</f>
        <v>26-35</v>
      </c>
    </row>
    <row r="760" spans="1:37"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s="1">
        <v>11904</v>
      </c>
      <c r="T760">
        <v>11038</v>
      </c>
      <c r="U760">
        <v>3</v>
      </c>
      <c r="V760" t="s">
        <v>42</v>
      </c>
      <c r="W760" t="s">
        <v>35</v>
      </c>
      <c r="X760">
        <v>14</v>
      </c>
      <c r="Y760">
        <v>3</v>
      </c>
      <c r="Z760">
        <v>3</v>
      </c>
      <c r="AA760">
        <v>80</v>
      </c>
      <c r="AB760">
        <v>1</v>
      </c>
      <c r="AC760">
        <v>14</v>
      </c>
      <c r="AD760">
        <v>1</v>
      </c>
      <c r="AE760">
        <v>1</v>
      </c>
      <c r="AF760">
        <v>6</v>
      </c>
      <c r="AG760">
        <v>4</v>
      </c>
      <c r="AH760">
        <v>0</v>
      </c>
      <c r="AI760">
        <v>4</v>
      </c>
      <c r="AJ760" s="2">
        <f>IF(tblHR[[#This Row],[Attrition]]="Yes",1,0)</f>
        <v>0</v>
      </c>
      <c r="AK760" t="str">
        <f>IF(tblHR[[#This Row],[Age]]&lt;26,"18-25",IF(tblHR[[#This Row],[Age]]&lt;36,"26-35",IF(tblHR[[#This Row],[Age]]&lt;46,"36-45",IF(tblHR[[#This Row],[Age]]&lt;56,"46-55","56+"))))</f>
        <v>56+</v>
      </c>
    </row>
    <row r="761" spans="1:37"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s="1">
        <v>2177</v>
      </c>
      <c r="T761">
        <v>8318</v>
      </c>
      <c r="U761">
        <v>1</v>
      </c>
      <c r="V761" t="s">
        <v>42</v>
      </c>
      <c r="W761" t="s">
        <v>43</v>
      </c>
      <c r="X761">
        <v>16</v>
      </c>
      <c r="Y761">
        <v>3</v>
      </c>
      <c r="Z761">
        <v>1</v>
      </c>
      <c r="AA761">
        <v>80</v>
      </c>
      <c r="AB761">
        <v>0</v>
      </c>
      <c r="AC761">
        <v>6</v>
      </c>
      <c r="AD761">
        <v>3</v>
      </c>
      <c r="AE761">
        <v>3</v>
      </c>
      <c r="AF761">
        <v>6</v>
      </c>
      <c r="AG761">
        <v>3</v>
      </c>
      <c r="AH761">
        <v>0</v>
      </c>
      <c r="AI761">
        <v>4</v>
      </c>
      <c r="AJ761" s="2">
        <f>IF(tblHR[[#This Row],[Attrition]]="Yes",1,0)</f>
        <v>0</v>
      </c>
      <c r="AK761" t="str">
        <f>IF(tblHR[[#This Row],[Age]]&lt;26,"18-25",IF(tblHR[[#This Row],[Age]]&lt;36,"26-35",IF(tblHR[[#This Row],[Age]]&lt;46,"36-45",IF(tblHR[[#This Row],[Age]]&lt;56,"46-55","56+"))))</f>
        <v>36-45</v>
      </c>
    </row>
    <row r="762" spans="1:37"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s="1">
        <v>7525</v>
      </c>
      <c r="T762">
        <v>23537</v>
      </c>
      <c r="U762">
        <v>2</v>
      </c>
      <c r="V762" t="s">
        <v>42</v>
      </c>
      <c r="W762" t="s">
        <v>43</v>
      </c>
      <c r="X762">
        <v>12</v>
      </c>
      <c r="Y762">
        <v>3</v>
      </c>
      <c r="Z762">
        <v>1</v>
      </c>
      <c r="AA762">
        <v>80</v>
      </c>
      <c r="AB762">
        <v>1</v>
      </c>
      <c r="AC762">
        <v>30</v>
      </c>
      <c r="AD762">
        <v>2</v>
      </c>
      <c r="AE762">
        <v>3</v>
      </c>
      <c r="AF762">
        <v>15</v>
      </c>
      <c r="AG762">
        <v>7</v>
      </c>
      <c r="AH762">
        <v>6</v>
      </c>
      <c r="AI762">
        <v>12</v>
      </c>
      <c r="AJ762" s="2">
        <f>IF(tblHR[[#This Row],[Attrition]]="Yes",1,0)</f>
        <v>0</v>
      </c>
      <c r="AK762" t="str">
        <f>IF(tblHR[[#This Row],[Age]]&lt;26,"18-25",IF(tblHR[[#This Row],[Age]]&lt;36,"26-35",IF(tblHR[[#This Row],[Age]]&lt;46,"36-45",IF(tblHR[[#This Row],[Age]]&lt;56,"46-55","56+"))))</f>
        <v>46-55</v>
      </c>
    </row>
    <row r="763" spans="1:37"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s="1">
        <v>4834</v>
      </c>
      <c r="T763">
        <v>7858</v>
      </c>
      <c r="U763">
        <v>7</v>
      </c>
      <c r="V763" t="s">
        <v>42</v>
      </c>
      <c r="W763" t="s">
        <v>43</v>
      </c>
      <c r="X763">
        <v>14</v>
      </c>
      <c r="Y763">
        <v>3</v>
      </c>
      <c r="Z763">
        <v>2</v>
      </c>
      <c r="AA763">
        <v>80</v>
      </c>
      <c r="AB763">
        <v>1</v>
      </c>
      <c r="AC763">
        <v>9</v>
      </c>
      <c r="AD763">
        <v>3</v>
      </c>
      <c r="AE763">
        <v>2</v>
      </c>
      <c r="AF763">
        <v>1</v>
      </c>
      <c r="AG763">
        <v>0</v>
      </c>
      <c r="AH763">
        <v>0</v>
      </c>
      <c r="AI763">
        <v>0</v>
      </c>
      <c r="AJ763" s="2">
        <f>IF(tblHR[[#This Row],[Attrition]]="Yes",1,0)</f>
        <v>1</v>
      </c>
      <c r="AK763" t="str">
        <f>IF(tblHR[[#This Row],[Age]]&lt;26,"18-25",IF(tblHR[[#This Row],[Age]]&lt;36,"26-35",IF(tblHR[[#This Row],[Age]]&lt;46,"36-45",IF(tblHR[[#This Row],[Age]]&lt;56,"46-55","56+"))))</f>
        <v>36-45</v>
      </c>
    </row>
    <row r="764" spans="1:37"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s="1">
        <v>2042</v>
      </c>
      <c r="T764">
        <v>15346</v>
      </c>
      <c r="U764">
        <v>6</v>
      </c>
      <c r="V764" t="s">
        <v>42</v>
      </c>
      <c r="W764" t="s">
        <v>35</v>
      </c>
      <c r="X764">
        <v>14</v>
      </c>
      <c r="Y764">
        <v>3</v>
      </c>
      <c r="Z764">
        <v>2</v>
      </c>
      <c r="AA764">
        <v>80</v>
      </c>
      <c r="AB764">
        <v>1</v>
      </c>
      <c r="AC764">
        <v>6</v>
      </c>
      <c r="AD764">
        <v>2</v>
      </c>
      <c r="AE764">
        <v>3</v>
      </c>
      <c r="AF764">
        <v>3</v>
      </c>
      <c r="AG764">
        <v>2</v>
      </c>
      <c r="AH764">
        <v>1</v>
      </c>
      <c r="AI764">
        <v>2</v>
      </c>
      <c r="AJ764" s="2">
        <f>IF(tblHR[[#This Row],[Attrition]]="Yes",1,0)</f>
        <v>1</v>
      </c>
      <c r="AK764" t="str">
        <f>IF(tblHR[[#This Row],[Age]]&lt;26,"18-25",IF(tblHR[[#This Row],[Age]]&lt;36,"26-35",IF(tblHR[[#This Row],[Age]]&lt;46,"36-45",IF(tblHR[[#This Row],[Age]]&lt;56,"46-55","56+"))))</f>
        <v>26-35</v>
      </c>
    </row>
    <row r="765" spans="1:37"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s="1">
        <v>2220</v>
      </c>
      <c r="T765">
        <v>18410</v>
      </c>
      <c r="U765">
        <v>1</v>
      </c>
      <c r="V765" t="s">
        <v>42</v>
      </c>
      <c r="W765" t="s">
        <v>35</v>
      </c>
      <c r="X765">
        <v>19</v>
      </c>
      <c r="Y765">
        <v>3</v>
      </c>
      <c r="Z765">
        <v>4</v>
      </c>
      <c r="AA765">
        <v>80</v>
      </c>
      <c r="AB765">
        <v>1</v>
      </c>
      <c r="AC765">
        <v>1</v>
      </c>
      <c r="AD765">
        <v>2</v>
      </c>
      <c r="AE765">
        <v>3</v>
      </c>
      <c r="AF765">
        <v>1</v>
      </c>
      <c r="AG765">
        <v>1</v>
      </c>
      <c r="AH765">
        <v>0</v>
      </c>
      <c r="AI765">
        <v>0</v>
      </c>
      <c r="AJ765" s="2">
        <f>IF(tblHR[[#This Row],[Attrition]]="Yes",1,0)</f>
        <v>0</v>
      </c>
      <c r="AK765" t="str">
        <f>IF(tblHR[[#This Row],[Age]]&lt;26,"18-25",IF(tblHR[[#This Row],[Age]]&lt;36,"26-35",IF(tblHR[[#This Row],[Age]]&lt;46,"36-45",IF(tblHR[[#This Row],[Age]]&lt;56,"46-55","56+"))))</f>
        <v>26-35</v>
      </c>
    </row>
    <row r="766" spans="1:37"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s="1">
        <v>1052</v>
      </c>
      <c r="T766">
        <v>23384</v>
      </c>
      <c r="U766">
        <v>1</v>
      </c>
      <c r="V766" t="s">
        <v>42</v>
      </c>
      <c r="W766" t="s">
        <v>43</v>
      </c>
      <c r="X766">
        <v>22</v>
      </c>
      <c r="Y766">
        <v>4</v>
      </c>
      <c r="Z766">
        <v>2</v>
      </c>
      <c r="AA766">
        <v>80</v>
      </c>
      <c r="AB766">
        <v>0</v>
      </c>
      <c r="AC766">
        <v>1</v>
      </c>
      <c r="AD766">
        <v>5</v>
      </c>
      <c r="AE766">
        <v>3</v>
      </c>
      <c r="AF766">
        <v>1</v>
      </c>
      <c r="AG766">
        <v>0</v>
      </c>
      <c r="AH766">
        <v>0</v>
      </c>
      <c r="AI766">
        <v>0</v>
      </c>
      <c r="AJ766" s="2">
        <f>IF(tblHR[[#This Row],[Attrition]]="Yes",1,0)</f>
        <v>0</v>
      </c>
      <c r="AK766" t="str">
        <f>IF(tblHR[[#This Row],[Age]]&lt;26,"18-25",IF(tblHR[[#This Row],[Age]]&lt;36,"26-35",IF(tblHR[[#This Row],[Age]]&lt;46,"36-45",IF(tblHR[[#This Row],[Age]]&lt;56,"46-55","56+"))))</f>
        <v>26-35</v>
      </c>
    </row>
    <row r="767" spans="1:37"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s="1">
        <v>2821</v>
      </c>
      <c r="T767">
        <v>2997</v>
      </c>
      <c r="U767">
        <v>3</v>
      </c>
      <c r="V767" t="s">
        <v>42</v>
      </c>
      <c r="W767" t="s">
        <v>43</v>
      </c>
      <c r="X767">
        <v>16</v>
      </c>
      <c r="Y767">
        <v>3</v>
      </c>
      <c r="Z767">
        <v>1</v>
      </c>
      <c r="AA767">
        <v>80</v>
      </c>
      <c r="AB767">
        <v>1</v>
      </c>
      <c r="AC767">
        <v>8</v>
      </c>
      <c r="AD767">
        <v>2</v>
      </c>
      <c r="AE767">
        <v>3</v>
      </c>
      <c r="AF767">
        <v>2</v>
      </c>
      <c r="AG767">
        <v>2</v>
      </c>
      <c r="AH767">
        <v>2</v>
      </c>
      <c r="AI767">
        <v>2</v>
      </c>
      <c r="AJ767" s="2">
        <f>IF(tblHR[[#This Row],[Attrition]]="Yes",1,0)</f>
        <v>0</v>
      </c>
      <c r="AK767" t="str">
        <f>IF(tblHR[[#This Row],[Age]]&lt;26,"18-25",IF(tblHR[[#This Row],[Age]]&lt;36,"26-35",IF(tblHR[[#This Row],[Age]]&lt;46,"36-45",IF(tblHR[[#This Row],[Age]]&lt;56,"46-55","56+"))))</f>
        <v>36-45</v>
      </c>
    </row>
    <row r="768" spans="1:37"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s="1">
        <v>19237</v>
      </c>
      <c r="T768">
        <v>12853</v>
      </c>
      <c r="U768">
        <v>2</v>
      </c>
      <c r="V768" t="s">
        <v>42</v>
      </c>
      <c r="W768" t="s">
        <v>35</v>
      </c>
      <c r="X768">
        <v>11</v>
      </c>
      <c r="Y768">
        <v>3</v>
      </c>
      <c r="Z768">
        <v>4</v>
      </c>
      <c r="AA768">
        <v>80</v>
      </c>
      <c r="AB768">
        <v>1</v>
      </c>
      <c r="AC768">
        <v>29</v>
      </c>
      <c r="AD768">
        <v>2</v>
      </c>
      <c r="AE768">
        <v>2</v>
      </c>
      <c r="AF768">
        <v>8</v>
      </c>
      <c r="AG768">
        <v>1</v>
      </c>
      <c r="AH768">
        <v>7</v>
      </c>
      <c r="AI768">
        <v>7</v>
      </c>
      <c r="AJ768" s="2">
        <f>IF(tblHR[[#This Row],[Attrition]]="Yes",1,0)</f>
        <v>0</v>
      </c>
      <c r="AK768" t="str">
        <f>IF(tblHR[[#This Row],[Age]]&lt;26,"18-25",IF(tblHR[[#This Row],[Age]]&lt;36,"26-35",IF(tblHR[[#This Row],[Age]]&lt;46,"36-45",IF(tblHR[[#This Row],[Age]]&lt;56,"46-55","56+"))))</f>
        <v>46-55</v>
      </c>
    </row>
    <row r="769" spans="1:37"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s="1">
        <v>4107</v>
      </c>
      <c r="T769">
        <v>13848</v>
      </c>
      <c r="U769">
        <v>3</v>
      </c>
      <c r="V769" t="s">
        <v>42</v>
      </c>
      <c r="W769" t="s">
        <v>43</v>
      </c>
      <c r="X769">
        <v>15</v>
      </c>
      <c r="Y769">
        <v>3</v>
      </c>
      <c r="Z769">
        <v>1</v>
      </c>
      <c r="AA769">
        <v>80</v>
      </c>
      <c r="AB769">
        <v>0</v>
      </c>
      <c r="AC769">
        <v>8</v>
      </c>
      <c r="AD769">
        <v>3</v>
      </c>
      <c r="AE769">
        <v>2</v>
      </c>
      <c r="AF769">
        <v>4</v>
      </c>
      <c r="AG769">
        <v>3</v>
      </c>
      <c r="AH769">
        <v>0</v>
      </c>
      <c r="AI769">
        <v>1</v>
      </c>
      <c r="AJ769" s="2">
        <f>IF(tblHR[[#This Row],[Attrition]]="Yes",1,0)</f>
        <v>0</v>
      </c>
      <c r="AK769" t="str">
        <f>IF(tblHR[[#This Row],[Age]]&lt;26,"18-25",IF(tblHR[[#This Row],[Age]]&lt;36,"26-35",IF(tblHR[[#This Row],[Age]]&lt;46,"36-45",IF(tblHR[[#This Row],[Age]]&lt;56,"46-55","56+"))))</f>
        <v>36-45</v>
      </c>
    </row>
    <row r="770" spans="1:37"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s="1">
        <v>8396</v>
      </c>
      <c r="T770">
        <v>22217</v>
      </c>
      <c r="U770">
        <v>1</v>
      </c>
      <c r="V770" t="s">
        <v>42</v>
      </c>
      <c r="W770" t="s">
        <v>43</v>
      </c>
      <c r="X770">
        <v>14</v>
      </c>
      <c r="Y770">
        <v>3</v>
      </c>
      <c r="Z770">
        <v>2</v>
      </c>
      <c r="AA770">
        <v>80</v>
      </c>
      <c r="AB770">
        <v>1</v>
      </c>
      <c r="AC770">
        <v>8</v>
      </c>
      <c r="AD770">
        <v>3</v>
      </c>
      <c r="AE770">
        <v>2</v>
      </c>
      <c r="AF770">
        <v>7</v>
      </c>
      <c r="AG770">
        <v>7</v>
      </c>
      <c r="AH770">
        <v>7</v>
      </c>
      <c r="AI770">
        <v>5</v>
      </c>
      <c r="AJ770" s="2">
        <f>IF(tblHR[[#This Row],[Attrition]]="Yes",1,0)</f>
        <v>0</v>
      </c>
      <c r="AK770" t="str">
        <f>IF(tblHR[[#This Row],[Age]]&lt;26,"18-25",IF(tblHR[[#This Row],[Age]]&lt;36,"26-35",IF(tblHR[[#This Row],[Age]]&lt;46,"36-45",IF(tblHR[[#This Row],[Age]]&lt;56,"46-55","56+"))))</f>
        <v>36-45</v>
      </c>
    </row>
    <row r="771" spans="1:37"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s="1">
        <v>2007</v>
      </c>
      <c r="T771">
        <v>25265</v>
      </c>
      <c r="U771">
        <v>1</v>
      </c>
      <c r="V771" t="s">
        <v>42</v>
      </c>
      <c r="W771" t="s">
        <v>43</v>
      </c>
      <c r="X771">
        <v>13</v>
      </c>
      <c r="Y771">
        <v>3</v>
      </c>
      <c r="Z771">
        <v>3</v>
      </c>
      <c r="AA771">
        <v>80</v>
      </c>
      <c r="AB771">
        <v>2</v>
      </c>
      <c r="AC771">
        <v>5</v>
      </c>
      <c r="AD771">
        <v>5</v>
      </c>
      <c r="AE771">
        <v>3</v>
      </c>
      <c r="AF771">
        <v>5</v>
      </c>
      <c r="AG771">
        <v>3</v>
      </c>
      <c r="AH771">
        <v>1</v>
      </c>
      <c r="AI771">
        <v>3</v>
      </c>
      <c r="AJ771" s="2">
        <f>IF(tblHR[[#This Row],[Attrition]]="Yes",1,0)</f>
        <v>0</v>
      </c>
      <c r="AK771" t="str">
        <f>IF(tblHR[[#This Row],[Age]]&lt;26,"18-25",IF(tblHR[[#This Row],[Age]]&lt;36,"26-35",IF(tblHR[[#This Row],[Age]]&lt;46,"36-45",IF(tblHR[[#This Row],[Age]]&lt;56,"46-55","56+"))))</f>
        <v>26-35</v>
      </c>
    </row>
    <row r="772" spans="1:37"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s="1">
        <v>19627</v>
      </c>
      <c r="T772">
        <v>21445</v>
      </c>
      <c r="U772">
        <v>9</v>
      </c>
      <c r="V772" t="s">
        <v>42</v>
      </c>
      <c r="W772" t="s">
        <v>43</v>
      </c>
      <c r="X772">
        <v>17</v>
      </c>
      <c r="Y772">
        <v>3</v>
      </c>
      <c r="Z772">
        <v>4</v>
      </c>
      <c r="AA772">
        <v>80</v>
      </c>
      <c r="AB772">
        <v>2</v>
      </c>
      <c r="AC772">
        <v>23</v>
      </c>
      <c r="AD772">
        <v>0</v>
      </c>
      <c r="AE772">
        <v>3</v>
      </c>
      <c r="AF772">
        <v>2</v>
      </c>
      <c r="AG772">
        <v>2</v>
      </c>
      <c r="AH772">
        <v>2</v>
      </c>
      <c r="AI772">
        <v>2</v>
      </c>
      <c r="AJ772" s="2">
        <f>IF(tblHR[[#This Row],[Attrition]]="Yes",1,0)</f>
        <v>0</v>
      </c>
      <c r="AK772" t="str">
        <f>IF(tblHR[[#This Row],[Age]]&lt;26,"18-25",IF(tblHR[[#This Row],[Age]]&lt;36,"26-35",IF(tblHR[[#This Row],[Age]]&lt;46,"36-45",IF(tblHR[[#This Row],[Age]]&lt;56,"46-55","56+"))))</f>
        <v>46-55</v>
      </c>
    </row>
    <row r="773" spans="1:37"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s="1">
        <v>10686</v>
      </c>
      <c r="T773">
        <v>8392</v>
      </c>
      <c r="U773">
        <v>6</v>
      </c>
      <c r="V773" t="s">
        <v>42</v>
      </c>
      <c r="W773" t="s">
        <v>43</v>
      </c>
      <c r="X773">
        <v>11</v>
      </c>
      <c r="Y773">
        <v>3</v>
      </c>
      <c r="Z773">
        <v>2</v>
      </c>
      <c r="AA773">
        <v>80</v>
      </c>
      <c r="AB773">
        <v>1</v>
      </c>
      <c r="AC773">
        <v>13</v>
      </c>
      <c r="AD773">
        <v>4</v>
      </c>
      <c r="AE773">
        <v>3</v>
      </c>
      <c r="AF773">
        <v>9</v>
      </c>
      <c r="AG773">
        <v>4</v>
      </c>
      <c r="AH773">
        <v>7</v>
      </c>
      <c r="AI773">
        <v>0</v>
      </c>
      <c r="AJ773" s="2">
        <f>IF(tblHR[[#This Row],[Attrition]]="Yes",1,0)</f>
        <v>0</v>
      </c>
      <c r="AK773" t="str">
        <f>IF(tblHR[[#This Row],[Age]]&lt;26,"18-25",IF(tblHR[[#This Row],[Age]]&lt;36,"26-35",IF(tblHR[[#This Row],[Age]]&lt;46,"36-45",IF(tblHR[[#This Row],[Age]]&lt;56,"46-55","56+"))))</f>
        <v>46-55</v>
      </c>
    </row>
    <row r="774" spans="1:37"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s="1">
        <v>2942</v>
      </c>
      <c r="T774">
        <v>12154</v>
      </c>
      <c r="U774">
        <v>2</v>
      </c>
      <c r="V774" t="s">
        <v>42</v>
      </c>
      <c r="W774" t="s">
        <v>43</v>
      </c>
      <c r="X774">
        <v>19</v>
      </c>
      <c r="Y774">
        <v>3</v>
      </c>
      <c r="Z774">
        <v>2</v>
      </c>
      <c r="AA774">
        <v>80</v>
      </c>
      <c r="AB774">
        <v>1</v>
      </c>
      <c r="AC774">
        <v>18</v>
      </c>
      <c r="AD774">
        <v>4</v>
      </c>
      <c r="AE774">
        <v>3</v>
      </c>
      <c r="AF774">
        <v>5</v>
      </c>
      <c r="AG774">
        <v>4</v>
      </c>
      <c r="AH774">
        <v>0</v>
      </c>
      <c r="AI774">
        <v>3</v>
      </c>
      <c r="AJ774" s="2">
        <f>IF(tblHR[[#This Row],[Attrition]]="Yes",1,0)</f>
        <v>0</v>
      </c>
      <c r="AK774" t="str">
        <f>IF(tblHR[[#This Row],[Age]]&lt;26,"18-25",IF(tblHR[[#This Row],[Age]]&lt;36,"26-35",IF(tblHR[[#This Row],[Age]]&lt;46,"36-45",IF(tblHR[[#This Row],[Age]]&lt;56,"46-55","56+"))))</f>
        <v>56+</v>
      </c>
    </row>
    <row r="775" spans="1:37"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s="1">
        <v>8858</v>
      </c>
      <c r="T775">
        <v>15669</v>
      </c>
      <c r="U775">
        <v>0</v>
      </c>
      <c r="V775" t="s">
        <v>42</v>
      </c>
      <c r="W775" t="s">
        <v>43</v>
      </c>
      <c r="X775">
        <v>11</v>
      </c>
      <c r="Y775">
        <v>3</v>
      </c>
      <c r="Z775">
        <v>2</v>
      </c>
      <c r="AA775">
        <v>80</v>
      </c>
      <c r="AB775">
        <v>0</v>
      </c>
      <c r="AC775">
        <v>15</v>
      </c>
      <c r="AD775">
        <v>2</v>
      </c>
      <c r="AE775">
        <v>2</v>
      </c>
      <c r="AF775">
        <v>14</v>
      </c>
      <c r="AG775">
        <v>8</v>
      </c>
      <c r="AH775">
        <v>7</v>
      </c>
      <c r="AI775">
        <v>8</v>
      </c>
      <c r="AJ775" s="2">
        <f>IF(tblHR[[#This Row],[Attrition]]="Yes",1,0)</f>
        <v>0</v>
      </c>
      <c r="AK775" t="str">
        <f>IF(tblHR[[#This Row],[Age]]&lt;26,"18-25",IF(tblHR[[#This Row],[Age]]&lt;36,"26-35",IF(tblHR[[#This Row],[Age]]&lt;46,"36-45",IF(tblHR[[#This Row],[Age]]&lt;56,"46-55","56+"))))</f>
        <v>36-45</v>
      </c>
    </row>
    <row r="776" spans="1:37"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s="1">
        <v>16756</v>
      </c>
      <c r="T776">
        <v>17323</v>
      </c>
      <c r="U776">
        <v>7</v>
      </c>
      <c r="V776" t="s">
        <v>42</v>
      </c>
      <c r="W776" t="s">
        <v>43</v>
      </c>
      <c r="X776">
        <v>15</v>
      </c>
      <c r="Y776">
        <v>3</v>
      </c>
      <c r="Z776">
        <v>2</v>
      </c>
      <c r="AA776">
        <v>80</v>
      </c>
      <c r="AB776">
        <v>0</v>
      </c>
      <c r="AC776">
        <v>31</v>
      </c>
      <c r="AD776">
        <v>3</v>
      </c>
      <c r="AE776">
        <v>4</v>
      </c>
      <c r="AF776">
        <v>9</v>
      </c>
      <c r="AG776">
        <v>7</v>
      </c>
      <c r="AH776">
        <v>6</v>
      </c>
      <c r="AI776">
        <v>2</v>
      </c>
      <c r="AJ776" s="2">
        <f>IF(tblHR[[#This Row],[Attrition]]="Yes",1,0)</f>
        <v>0</v>
      </c>
      <c r="AK776" t="str">
        <f>IF(tblHR[[#This Row],[Age]]&lt;26,"18-25",IF(tblHR[[#This Row],[Age]]&lt;36,"26-35",IF(tblHR[[#This Row],[Age]]&lt;46,"36-45",IF(tblHR[[#This Row],[Age]]&lt;56,"46-55","56+"))))</f>
        <v>46-55</v>
      </c>
    </row>
    <row r="777" spans="1:37"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s="1">
        <v>10798</v>
      </c>
      <c r="T777">
        <v>5268</v>
      </c>
      <c r="U777">
        <v>5</v>
      </c>
      <c r="V777" t="s">
        <v>42</v>
      </c>
      <c r="W777" t="s">
        <v>43</v>
      </c>
      <c r="X777">
        <v>13</v>
      </c>
      <c r="Y777">
        <v>3</v>
      </c>
      <c r="Z777">
        <v>3</v>
      </c>
      <c r="AA777">
        <v>80</v>
      </c>
      <c r="AB777">
        <v>1</v>
      </c>
      <c r="AC777">
        <v>18</v>
      </c>
      <c r="AD777">
        <v>5</v>
      </c>
      <c r="AE777">
        <v>3</v>
      </c>
      <c r="AF777">
        <v>1</v>
      </c>
      <c r="AG777">
        <v>0</v>
      </c>
      <c r="AH777">
        <v>0</v>
      </c>
      <c r="AI777">
        <v>0</v>
      </c>
      <c r="AJ777" s="2">
        <f>IF(tblHR[[#This Row],[Attrition]]="Yes",1,0)</f>
        <v>0</v>
      </c>
      <c r="AK777" t="str">
        <f>IF(tblHR[[#This Row],[Age]]&lt;26,"18-25",IF(tblHR[[#This Row],[Age]]&lt;36,"26-35",IF(tblHR[[#This Row],[Age]]&lt;46,"36-45",IF(tblHR[[#This Row],[Age]]&lt;56,"46-55","56+"))))</f>
        <v>36-45</v>
      </c>
    </row>
    <row r="778" spans="1:37"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s="1">
        <v>2323</v>
      </c>
      <c r="T778">
        <v>17205</v>
      </c>
      <c r="U778">
        <v>1</v>
      </c>
      <c r="V778" t="s">
        <v>42</v>
      </c>
      <c r="W778" t="s">
        <v>35</v>
      </c>
      <c r="X778">
        <v>14</v>
      </c>
      <c r="Y778">
        <v>3</v>
      </c>
      <c r="Z778">
        <v>2</v>
      </c>
      <c r="AA778">
        <v>80</v>
      </c>
      <c r="AB778">
        <v>0</v>
      </c>
      <c r="AC778">
        <v>2</v>
      </c>
      <c r="AD778">
        <v>3</v>
      </c>
      <c r="AE778">
        <v>3</v>
      </c>
      <c r="AF778">
        <v>2</v>
      </c>
      <c r="AG778">
        <v>2</v>
      </c>
      <c r="AH778">
        <v>0</v>
      </c>
      <c r="AI778">
        <v>2</v>
      </c>
      <c r="AJ778" s="2">
        <f>IF(tblHR[[#This Row],[Attrition]]="Yes",1,0)</f>
        <v>1</v>
      </c>
      <c r="AK778" t="str">
        <f>IF(tblHR[[#This Row],[Age]]&lt;26,"18-25",IF(tblHR[[#This Row],[Age]]&lt;36,"26-35",IF(tblHR[[#This Row],[Age]]&lt;46,"36-45",IF(tblHR[[#This Row],[Age]]&lt;56,"46-55","56+"))))</f>
        <v>18-25</v>
      </c>
    </row>
    <row r="779" spans="1:37"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s="1">
        <v>1416</v>
      </c>
      <c r="T779">
        <v>17258</v>
      </c>
      <c r="U779">
        <v>1</v>
      </c>
      <c r="V779" t="s">
        <v>42</v>
      </c>
      <c r="W779" t="s">
        <v>43</v>
      </c>
      <c r="X779">
        <v>13</v>
      </c>
      <c r="Y779">
        <v>3</v>
      </c>
      <c r="Z779">
        <v>1</v>
      </c>
      <c r="AA779">
        <v>80</v>
      </c>
      <c r="AB779">
        <v>0</v>
      </c>
      <c r="AC779">
        <v>1</v>
      </c>
      <c r="AD779">
        <v>6</v>
      </c>
      <c r="AE779">
        <v>2</v>
      </c>
      <c r="AF779">
        <v>1</v>
      </c>
      <c r="AG779">
        <v>0</v>
      </c>
      <c r="AH779">
        <v>1</v>
      </c>
      <c r="AI779">
        <v>0</v>
      </c>
      <c r="AJ779" s="2">
        <f>IF(tblHR[[#This Row],[Attrition]]="Yes",1,0)</f>
        <v>1</v>
      </c>
      <c r="AK779" t="str">
        <f>IF(tblHR[[#This Row],[Age]]&lt;26,"18-25",IF(tblHR[[#This Row],[Age]]&lt;36,"26-35",IF(tblHR[[#This Row],[Age]]&lt;46,"36-45",IF(tblHR[[#This Row],[Age]]&lt;56,"46-55","56+"))))</f>
        <v>18-25</v>
      </c>
    </row>
    <row r="780" spans="1:37"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s="1">
        <v>4615</v>
      </c>
      <c r="T780">
        <v>21029</v>
      </c>
      <c r="U780">
        <v>8</v>
      </c>
      <c r="V780" t="s">
        <v>42</v>
      </c>
      <c r="W780" t="s">
        <v>35</v>
      </c>
      <c r="X780">
        <v>23</v>
      </c>
      <c r="Y780">
        <v>4</v>
      </c>
      <c r="Z780">
        <v>1</v>
      </c>
      <c r="AA780">
        <v>80</v>
      </c>
      <c r="AB780">
        <v>3</v>
      </c>
      <c r="AC780">
        <v>19</v>
      </c>
      <c r="AD780">
        <v>2</v>
      </c>
      <c r="AE780">
        <v>3</v>
      </c>
      <c r="AF780">
        <v>16</v>
      </c>
      <c r="AG780">
        <v>13</v>
      </c>
      <c r="AH780">
        <v>1</v>
      </c>
      <c r="AI780">
        <v>7</v>
      </c>
      <c r="AJ780" s="2">
        <f>IF(tblHR[[#This Row],[Attrition]]="Yes",1,0)</f>
        <v>0</v>
      </c>
      <c r="AK780" t="str">
        <f>IF(tblHR[[#This Row],[Age]]&lt;26,"18-25",IF(tblHR[[#This Row],[Age]]&lt;36,"26-35",IF(tblHR[[#This Row],[Age]]&lt;46,"36-45",IF(tblHR[[#This Row],[Age]]&lt;56,"46-55","56+"))))</f>
        <v>46-55</v>
      </c>
    </row>
    <row r="781" spans="1:37"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s="1">
        <v>2461</v>
      </c>
      <c r="T781">
        <v>10332</v>
      </c>
      <c r="U781">
        <v>9</v>
      </c>
      <c r="V781" t="s">
        <v>42</v>
      </c>
      <c r="W781" t="s">
        <v>35</v>
      </c>
      <c r="X781">
        <v>12</v>
      </c>
      <c r="Y781">
        <v>3</v>
      </c>
      <c r="Z781">
        <v>3</v>
      </c>
      <c r="AA781">
        <v>80</v>
      </c>
      <c r="AB781">
        <v>3</v>
      </c>
      <c r="AC781">
        <v>18</v>
      </c>
      <c r="AD781">
        <v>2</v>
      </c>
      <c r="AE781">
        <v>4</v>
      </c>
      <c r="AF781">
        <v>10</v>
      </c>
      <c r="AG781">
        <v>0</v>
      </c>
      <c r="AH781">
        <v>2</v>
      </c>
      <c r="AI781">
        <v>7</v>
      </c>
      <c r="AJ781" s="2">
        <f>IF(tblHR[[#This Row],[Attrition]]="Yes",1,0)</f>
        <v>1</v>
      </c>
      <c r="AK781" t="str">
        <f>IF(tblHR[[#This Row],[Age]]&lt;26,"18-25",IF(tblHR[[#This Row],[Age]]&lt;36,"26-35",IF(tblHR[[#This Row],[Age]]&lt;46,"36-45",IF(tblHR[[#This Row],[Age]]&lt;56,"46-55","56+"))))</f>
        <v>46-55</v>
      </c>
    </row>
    <row r="782" spans="1:37"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s="1">
        <v>8722</v>
      </c>
      <c r="T782">
        <v>12355</v>
      </c>
      <c r="U782">
        <v>1</v>
      </c>
      <c r="V782" t="s">
        <v>42</v>
      </c>
      <c r="W782" t="s">
        <v>43</v>
      </c>
      <c r="X782">
        <v>12</v>
      </c>
      <c r="Y782">
        <v>3</v>
      </c>
      <c r="Z782">
        <v>1</v>
      </c>
      <c r="AA782">
        <v>80</v>
      </c>
      <c r="AB782">
        <v>0</v>
      </c>
      <c r="AC782">
        <v>10</v>
      </c>
      <c r="AD782">
        <v>2</v>
      </c>
      <c r="AE782">
        <v>2</v>
      </c>
      <c r="AF782">
        <v>10</v>
      </c>
      <c r="AG782">
        <v>7</v>
      </c>
      <c r="AH782">
        <v>1</v>
      </c>
      <c r="AI782">
        <v>9</v>
      </c>
      <c r="AJ782" s="2">
        <f>IF(tblHR[[#This Row],[Attrition]]="Yes",1,0)</f>
        <v>1</v>
      </c>
      <c r="AK782" t="str">
        <f>IF(tblHR[[#This Row],[Age]]&lt;26,"18-25",IF(tblHR[[#This Row],[Age]]&lt;36,"26-35",IF(tblHR[[#This Row],[Age]]&lt;46,"36-45",IF(tblHR[[#This Row],[Age]]&lt;56,"46-55","56+"))))</f>
        <v>26-35</v>
      </c>
    </row>
    <row r="783" spans="1:37"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s="1">
        <v>3955</v>
      </c>
      <c r="T783">
        <v>11141</v>
      </c>
      <c r="U783">
        <v>1</v>
      </c>
      <c r="V783" t="s">
        <v>42</v>
      </c>
      <c r="W783" t="s">
        <v>43</v>
      </c>
      <c r="X783">
        <v>16</v>
      </c>
      <c r="Y783">
        <v>3</v>
      </c>
      <c r="Z783">
        <v>1</v>
      </c>
      <c r="AA783">
        <v>80</v>
      </c>
      <c r="AB783">
        <v>2</v>
      </c>
      <c r="AC783">
        <v>6</v>
      </c>
      <c r="AD783">
        <v>2</v>
      </c>
      <c r="AE783">
        <v>3</v>
      </c>
      <c r="AF783">
        <v>5</v>
      </c>
      <c r="AG783">
        <v>3</v>
      </c>
      <c r="AH783">
        <v>1</v>
      </c>
      <c r="AI783">
        <v>3</v>
      </c>
      <c r="AJ783" s="2">
        <f>IF(tblHR[[#This Row],[Attrition]]="Yes",1,0)</f>
        <v>0</v>
      </c>
      <c r="AK783" t="str">
        <f>IF(tblHR[[#This Row],[Age]]&lt;26,"18-25",IF(tblHR[[#This Row],[Age]]&lt;36,"26-35",IF(tblHR[[#This Row],[Age]]&lt;46,"36-45",IF(tblHR[[#This Row],[Age]]&lt;56,"46-55","56+"))))</f>
        <v>26-35</v>
      </c>
    </row>
    <row r="784" spans="1:37"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s="1">
        <v>9957</v>
      </c>
      <c r="T784">
        <v>9096</v>
      </c>
      <c r="U784">
        <v>0</v>
      </c>
      <c r="V784" t="s">
        <v>42</v>
      </c>
      <c r="W784" t="s">
        <v>43</v>
      </c>
      <c r="X784">
        <v>15</v>
      </c>
      <c r="Y784">
        <v>3</v>
      </c>
      <c r="Z784">
        <v>3</v>
      </c>
      <c r="AA784">
        <v>80</v>
      </c>
      <c r="AB784">
        <v>1</v>
      </c>
      <c r="AC784">
        <v>7</v>
      </c>
      <c r="AD784">
        <v>1</v>
      </c>
      <c r="AE784">
        <v>2</v>
      </c>
      <c r="AF784">
        <v>6</v>
      </c>
      <c r="AG784">
        <v>2</v>
      </c>
      <c r="AH784">
        <v>0</v>
      </c>
      <c r="AI784">
        <v>2</v>
      </c>
      <c r="AJ784" s="2">
        <f>IF(tblHR[[#This Row],[Attrition]]="Yes",1,0)</f>
        <v>0</v>
      </c>
      <c r="AK784" t="str">
        <f>IF(tblHR[[#This Row],[Age]]&lt;26,"18-25",IF(tblHR[[#This Row],[Age]]&lt;36,"26-35",IF(tblHR[[#This Row],[Age]]&lt;46,"36-45",IF(tblHR[[#This Row],[Age]]&lt;56,"46-55","56+"))))</f>
        <v>26-35</v>
      </c>
    </row>
    <row r="785" spans="1:37"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s="1">
        <v>3376</v>
      </c>
      <c r="T785">
        <v>18863</v>
      </c>
      <c r="U785">
        <v>1</v>
      </c>
      <c r="V785" t="s">
        <v>42</v>
      </c>
      <c r="W785" t="s">
        <v>43</v>
      </c>
      <c r="X785">
        <v>13</v>
      </c>
      <c r="Y785">
        <v>3</v>
      </c>
      <c r="Z785">
        <v>3</v>
      </c>
      <c r="AA785">
        <v>80</v>
      </c>
      <c r="AB785">
        <v>0</v>
      </c>
      <c r="AC785">
        <v>10</v>
      </c>
      <c r="AD785">
        <v>3</v>
      </c>
      <c r="AE785">
        <v>3</v>
      </c>
      <c r="AF785">
        <v>10</v>
      </c>
      <c r="AG785">
        <v>6</v>
      </c>
      <c r="AH785">
        <v>0</v>
      </c>
      <c r="AI785">
        <v>8</v>
      </c>
      <c r="AJ785" s="2">
        <f>IF(tblHR[[#This Row],[Attrition]]="Yes",1,0)</f>
        <v>0</v>
      </c>
      <c r="AK785" t="str">
        <f>IF(tblHR[[#This Row],[Age]]&lt;26,"18-25",IF(tblHR[[#This Row],[Age]]&lt;36,"26-35",IF(tblHR[[#This Row],[Age]]&lt;46,"36-45",IF(tblHR[[#This Row],[Age]]&lt;56,"46-55","56+"))))</f>
        <v>36-45</v>
      </c>
    </row>
    <row r="786" spans="1:37"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s="1">
        <v>8823</v>
      </c>
      <c r="T786">
        <v>24608</v>
      </c>
      <c r="U786">
        <v>0</v>
      </c>
      <c r="V786" t="s">
        <v>42</v>
      </c>
      <c r="W786" t="s">
        <v>43</v>
      </c>
      <c r="X786">
        <v>18</v>
      </c>
      <c r="Y786">
        <v>3</v>
      </c>
      <c r="Z786">
        <v>1</v>
      </c>
      <c r="AA786">
        <v>80</v>
      </c>
      <c r="AB786">
        <v>1</v>
      </c>
      <c r="AC786">
        <v>20</v>
      </c>
      <c r="AD786">
        <v>4</v>
      </c>
      <c r="AE786">
        <v>2</v>
      </c>
      <c r="AF786">
        <v>19</v>
      </c>
      <c r="AG786">
        <v>9</v>
      </c>
      <c r="AH786">
        <v>1</v>
      </c>
      <c r="AI786">
        <v>9</v>
      </c>
      <c r="AJ786" s="2">
        <f>IF(tblHR[[#This Row],[Attrition]]="Yes",1,0)</f>
        <v>0</v>
      </c>
      <c r="AK786" t="str">
        <f>IF(tblHR[[#This Row],[Age]]&lt;26,"18-25",IF(tblHR[[#This Row],[Age]]&lt;36,"26-35",IF(tblHR[[#This Row],[Age]]&lt;46,"36-45",IF(tblHR[[#This Row],[Age]]&lt;56,"46-55","56+"))))</f>
        <v>36-45</v>
      </c>
    </row>
    <row r="787" spans="1:37"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s="1">
        <v>10322</v>
      </c>
      <c r="T787">
        <v>26542</v>
      </c>
      <c r="U787">
        <v>4</v>
      </c>
      <c r="V787" t="s">
        <v>42</v>
      </c>
      <c r="W787" t="s">
        <v>43</v>
      </c>
      <c r="X787">
        <v>20</v>
      </c>
      <c r="Y787">
        <v>4</v>
      </c>
      <c r="Z787">
        <v>4</v>
      </c>
      <c r="AA787">
        <v>80</v>
      </c>
      <c r="AB787">
        <v>1</v>
      </c>
      <c r="AC787">
        <v>14</v>
      </c>
      <c r="AD787">
        <v>6</v>
      </c>
      <c r="AE787">
        <v>3</v>
      </c>
      <c r="AF787">
        <v>11</v>
      </c>
      <c r="AG787">
        <v>10</v>
      </c>
      <c r="AH787">
        <v>11</v>
      </c>
      <c r="AI787">
        <v>1</v>
      </c>
      <c r="AJ787" s="2">
        <f>IF(tblHR[[#This Row],[Attrition]]="Yes",1,0)</f>
        <v>0</v>
      </c>
      <c r="AK787" t="str">
        <f>IF(tblHR[[#This Row],[Age]]&lt;26,"18-25",IF(tblHR[[#This Row],[Age]]&lt;36,"26-35",IF(tblHR[[#This Row],[Age]]&lt;46,"36-45",IF(tblHR[[#This Row],[Age]]&lt;56,"46-55","56+"))))</f>
        <v>36-45</v>
      </c>
    </row>
    <row r="788" spans="1:37"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s="1">
        <v>4621</v>
      </c>
      <c r="T788">
        <v>5869</v>
      </c>
      <c r="U788">
        <v>1</v>
      </c>
      <c r="V788" t="s">
        <v>42</v>
      </c>
      <c r="W788" t="s">
        <v>43</v>
      </c>
      <c r="X788">
        <v>19</v>
      </c>
      <c r="Y788">
        <v>3</v>
      </c>
      <c r="Z788">
        <v>4</v>
      </c>
      <c r="AA788">
        <v>80</v>
      </c>
      <c r="AB788">
        <v>3</v>
      </c>
      <c r="AC788">
        <v>3</v>
      </c>
      <c r="AD788">
        <v>4</v>
      </c>
      <c r="AE788">
        <v>3</v>
      </c>
      <c r="AF788">
        <v>3</v>
      </c>
      <c r="AG788">
        <v>2</v>
      </c>
      <c r="AH788">
        <v>1</v>
      </c>
      <c r="AI788">
        <v>2</v>
      </c>
      <c r="AJ788" s="2">
        <f>IF(tblHR[[#This Row],[Attrition]]="Yes",1,0)</f>
        <v>0</v>
      </c>
      <c r="AK788" t="str">
        <f>IF(tblHR[[#This Row],[Age]]&lt;26,"18-25",IF(tblHR[[#This Row],[Age]]&lt;36,"26-35",IF(tblHR[[#This Row],[Age]]&lt;46,"36-45",IF(tblHR[[#This Row],[Age]]&lt;56,"46-55","56+"))))</f>
        <v>26-35</v>
      </c>
    </row>
    <row r="789" spans="1:37"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s="1">
        <v>10976</v>
      </c>
      <c r="T789">
        <v>15813</v>
      </c>
      <c r="U789">
        <v>3</v>
      </c>
      <c r="V789" t="s">
        <v>42</v>
      </c>
      <c r="W789" t="s">
        <v>43</v>
      </c>
      <c r="X789">
        <v>18</v>
      </c>
      <c r="Y789">
        <v>3</v>
      </c>
      <c r="Z789">
        <v>2</v>
      </c>
      <c r="AA789">
        <v>80</v>
      </c>
      <c r="AB789">
        <v>1</v>
      </c>
      <c r="AC789">
        <v>23</v>
      </c>
      <c r="AD789">
        <v>4</v>
      </c>
      <c r="AE789">
        <v>3</v>
      </c>
      <c r="AF789">
        <v>3</v>
      </c>
      <c r="AG789">
        <v>2</v>
      </c>
      <c r="AH789">
        <v>1</v>
      </c>
      <c r="AI789">
        <v>2</v>
      </c>
      <c r="AJ789" s="2">
        <f>IF(tblHR[[#This Row],[Attrition]]="Yes",1,0)</f>
        <v>0</v>
      </c>
      <c r="AK789" t="str">
        <f>IF(tblHR[[#This Row],[Age]]&lt;26,"18-25",IF(tblHR[[#This Row],[Age]]&lt;36,"26-35",IF(tblHR[[#This Row],[Age]]&lt;46,"36-45",IF(tblHR[[#This Row],[Age]]&lt;56,"46-55","56+"))))</f>
        <v>46-55</v>
      </c>
    </row>
    <row r="790" spans="1:37"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s="1">
        <v>3660</v>
      </c>
      <c r="T790">
        <v>7909</v>
      </c>
      <c r="U790">
        <v>3</v>
      </c>
      <c r="V790" t="s">
        <v>42</v>
      </c>
      <c r="W790" t="s">
        <v>43</v>
      </c>
      <c r="X790">
        <v>13</v>
      </c>
      <c r="Y790">
        <v>3</v>
      </c>
      <c r="Z790">
        <v>4</v>
      </c>
      <c r="AA790">
        <v>80</v>
      </c>
      <c r="AB790">
        <v>0</v>
      </c>
      <c r="AC790">
        <v>10</v>
      </c>
      <c r="AD790">
        <v>4</v>
      </c>
      <c r="AE790">
        <v>4</v>
      </c>
      <c r="AF790">
        <v>8</v>
      </c>
      <c r="AG790">
        <v>7</v>
      </c>
      <c r="AH790">
        <v>1</v>
      </c>
      <c r="AI790">
        <v>7</v>
      </c>
      <c r="AJ790" s="2">
        <f>IF(tblHR[[#This Row],[Attrition]]="Yes",1,0)</f>
        <v>0</v>
      </c>
      <c r="AK790" t="str">
        <f>IF(tblHR[[#This Row],[Age]]&lt;26,"18-25",IF(tblHR[[#This Row],[Age]]&lt;36,"26-35",IF(tblHR[[#This Row],[Age]]&lt;46,"36-45",IF(tblHR[[#This Row],[Age]]&lt;56,"46-55","56+"))))</f>
        <v>26-35</v>
      </c>
    </row>
    <row r="791" spans="1:37"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s="1">
        <v>10482</v>
      </c>
      <c r="T791">
        <v>2326</v>
      </c>
      <c r="U791">
        <v>9</v>
      </c>
      <c r="V791" t="s">
        <v>42</v>
      </c>
      <c r="W791" t="s">
        <v>43</v>
      </c>
      <c r="X791">
        <v>14</v>
      </c>
      <c r="Y791">
        <v>3</v>
      </c>
      <c r="Z791">
        <v>4</v>
      </c>
      <c r="AA791">
        <v>80</v>
      </c>
      <c r="AB791">
        <v>1</v>
      </c>
      <c r="AC791">
        <v>24</v>
      </c>
      <c r="AD791">
        <v>1</v>
      </c>
      <c r="AE791">
        <v>3</v>
      </c>
      <c r="AF791">
        <v>20</v>
      </c>
      <c r="AG791">
        <v>6</v>
      </c>
      <c r="AH791">
        <v>3</v>
      </c>
      <c r="AI791">
        <v>6</v>
      </c>
      <c r="AJ791" s="2">
        <f>IF(tblHR[[#This Row],[Attrition]]="Yes",1,0)</f>
        <v>1</v>
      </c>
      <c r="AK791" t="str">
        <f>IF(tblHR[[#This Row],[Age]]&lt;26,"18-25",IF(tblHR[[#This Row],[Age]]&lt;36,"26-35",IF(tblHR[[#This Row],[Age]]&lt;46,"36-45",IF(tblHR[[#This Row],[Age]]&lt;56,"46-55","56+"))))</f>
        <v>36-45</v>
      </c>
    </row>
    <row r="792" spans="1:37"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s="1">
        <v>7119</v>
      </c>
      <c r="T792">
        <v>21214</v>
      </c>
      <c r="U792">
        <v>4</v>
      </c>
      <c r="V792" t="s">
        <v>42</v>
      </c>
      <c r="W792" t="s">
        <v>43</v>
      </c>
      <c r="X792">
        <v>15</v>
      </c>
      <c r="Y792">
        <v>3</v>
      </c>
      <c r="Z792">
        <v>3</v>
      </c>
      <c r="AA792">
        <v>80</v>
      </c>
      <c r="AB792">
        <v>1</v>
      </c>
      <c r="AC792">
        <v>9</v>
      </c>
      <c r="AD792">
        <v>2</v>
      </c>
      <c r="AE792">
        <v>3</v>
      </c>
      <c r="AF792">
        <v>3</v>
      </c>
      <c r="AG792">
        <v>2</v>
      </c>
      <c r="AH792">
        <v>1</v>
      </c>
      <c r="AI792">
        <v>2</v>
      </c>
      <c r="AJ792" s="2">
        <f>IF(tblHR[[#This Row],[Attrition]]="Yes",1,0)</f>
        <v>0</v>
      </c>
      <c r="AK792" t="str">
        <f>IF(tblHR[[#This Row],[Age]]&lt;26,"18-25",IF(tblHR[[#This Row],[Age]]&lt;36,"26-35",IF(tblHR[[#This Row],[Age]]&lt;46,"36-45",IF(tblHR[[#This Row],[Age]]&lt;56,"46-55","56+"))))</f>
        <v>26-35</v>
      </c>
    </row>
    <row r="793" spans="1:37"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s="1">
        <v>9582</v>
      </c>
      <c r="T793">
        <v>10333</v>
      </c>
      <c r="U793">
        <v>0</v>
      </c>
      <c r="V793" t="s">
        <v>42</v>
      </c>
      <c r="W793" t="s">
        <v>35</v>
      </c>
      <c r="X793">
        <v>22</v>
      </c>
      <c r="Y793">
        <v>4</v>
      </c>
      <c r="Z793">
        <v>1</v>
      </c>
      <c r="AA793">
        <v>80</v>
      </c>
      <c r="AB793">
        <v>0</v>
      </c>
      <c r="AC793">
        <v>9</v>
      </c>
      <c r="AD793">
        <v>2</v>
      </c>
      <c r="AE793">
        <v>3</v>
      </c>
      <c r="AF793">
        <v>8</v>
      </c>
      <c r="AG793">
        <v>7</v>
      </c>
      <c r="AH793">
        <v>4</v>
      </c>
      <c r="AI793">
        <v>7</v>
      </c>
      <c r="AJ793" s="2">
        <f>IF(tblHR[[#This Row],[Attrition]]="Yes",1,0)</f>
        <v>1</v>
      </c>
      <c r="AK793" t="str">
        <f>IF(tblHR[[#This Row],[Age]]&lt;26,"18-25",IF(tblHR[[#This Row],[Age]]&lt;36,"26-35",IF(tblHR[[#This Row],[Age]]&lt;46,"36-45",IF(tblHR[[#This Row],[Age]]&lt;56,"46-55","56+"))))</f>
        <v>26-35</v>
      </c>
    </row>
    <row r="794" spans="1:37"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s="1">
        <v>4508</v>
      </c>
      <c r="T794">
        <v>3129</v>
      </c>
      <c r="U794">
        <v>1</v>
      </c>
      <c r="V794" t="s">
        <v>42</v>
      </c>
      <c r="W794" t="s">
        <v>43</v>
      </c>
      <c r="X794">
        <v>22</v>
      </c>
      <c r="Y794">
        <v>4</v>
      </c>
      <c r="Z794">
        <v>2</v>
      </c>
      <c r="AA794">
        <v>80</v>
      </c>
      <c r="AB794">
        <v>0</v>
      </c>
      <c r="AC794">
        <v>14</v>
      </c>
      <c r="AD794">
        <v>4</v>
      </c>
      <c r="AE794">
        <v>3</v>
      </c>
      <c r="AF794">
        <v>13</v>
      </c>
      <c r="AG794">
        <v>7</v>
      </c>
      <c r="AH794">
        <v>3</v>
      </c>
      <c r="AI794">
        <v>8</v>
      </c>
      <c r="AJ794" s="2">
        <f>IF(tblHR[[#This Row],[Attrition]]="Yes",1,0)</f>
        <v>1</v>
      </c>
      <c r="AK794" t="str">
        <f>IF(tblHR[[#This Row],[Age]]&lt;26,"18-25",IF(tblHR[[#This Row],[Age]]&lt;36,"26-35",IF(tblHR[[#This Row],[Age]]&lt;46,"36-45",IF(tblHR[[#This Row],[Age]]&lt;56,"46-55","56+"))))</f>
        <v>26-35</v>
      </c>
    </row>
    <row r="795" spans="1:37"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s="1">
        <v>2207</v>
      </c>
      <c r="T795">
        <v>22482</v>
      </c>
      <c r="U795">
        <v>1</v>
      </c>
      <c r="V795" t="s">
        <v>42</v>
      </c>
      <c r="W795" t="s">
        <v>43</v>
      </c>
      <c r="X795">
        <v>16</v>
      </c>
      <c r="Y795">
        <v>3</v>
      </c>
      <c r="Z795">
        <v>4</v>
      </c>
      <c r="AA795">
        <v>80</v>
      </c>
      <c r="AB795">
        <v>1</v>
      </c>
      <c r="AC795">
        <v>4</v>
      </c>
      <c r="AD795">
        <v>5</v>
      </c>
      <c r="AE795">
        <v>2</v>
      </c>
      <c r="AF795">
        <v>4</v>
      </c>
      <c r="AG795">
        <v>2</v>
      </c>
      <c r="AH795">
        <v>2</v>
      </c>
      <c r="AI795">
        <v>2</v>
      </c>
      <c r="AJ795" s="2">
        <f>IF(tblHR[[#This Row],[Attrition]]="Yes",1,0)</f>
        <v>0</v>
      </c>
      <c r="AK795" t="str">
        <f>IF(tblHR[[#This Row],[Age]]&lt;26,"18-25",IF(tblHR[[#This Row],[Age]]&lt;36,"26-35",IF(tblHR[[#This Row],[Age]]&lt;46,"36-45",IF(tblHR[[#This Row],[Age]]&lt;56,"46-55","56+"))))</f>
        <v>26-35</v>
      </c>
    </row>
    <row r="796" spans="1:37"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s="1">
        <v>7756</v>
      </c>
      <c r="T796">
        <v>22266</v>
      </c>
      <c r="U796">
        <v>0</v>
      </c>
      <c r="V796" t="s">
        <v>42</v>
      </c>
      <c r="W796" t="s">
        <v>43</v>
      </c>
      <c r="X796">
        <v>17</v>
      </c>
      <c r="Y796">
        <v>3</v>
      </c>
      <c r="Z796">
        <v>3</v>
      </c>
      <c r="AA796">
        <v>80</v>
      </c>
      <c r="AB796">
        <v>0</v>
      </c>
      <c r="AC796">
        <v>7</v>
      </c>
      <c r="AD796">
        <v>1</v>
      </c>
      <c r="AE796">
        <v>2</v>
      </c>
      <c r="AF796">
        <v>6</v>
      </c>
      <c r="AG796">
        <v>2</v>
      </c>
      <c r="AH796">
        <v>0</v>
      </c>
      <c r="AI796">
        <v>4</v>
      </c>
      <c r="AJ796" s="2">
        <f>IF(tblHR[[#This Row],[Attrition]]="Yes",1,0)</f>
        <v>0</v>
      </c>
      <c r="AK796" t="str">
        <f>IF(tblHR[[#This Row],[Age]]&lt;26,"18-25",IF(tblHR[[#This Row],[Age]]&lt;36,"26-35",IF(tblHR[[#This Row],[Age]]&lt;46,"36-45",IF(tblHR[[#This Row],[Age]]&lt;56,"46-55","56+"))))</f>
        <v>26-35</v>
      </c>
    </row>
    <row r="797" spans="1:37"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s="1">
        <v>6694</v>
      </c>
      <c r="T797">
        <v>24223</v>
      </c>
      <c r="U797">
        <v>2</v>
      </c>
      <c r="V797" t="s">
        <v>42</v>
      </c>
      <c r="W797" t="s">
        <v>35</v>
      </c>
      <c r="X797">
        <v>14</v>
      </c>
      <c r="Y797">
        <v>3</v>
      </c>
      <c r="Z797">
        <v>3</v>
      </c>
      <c r="AA797">
        <v>80</v>
      </c>
      <c r="AB797">
        <v>3</v>
      </c>
      <c r="AC797">
        <v>8</v>
      </c>
      <c r="AD797">
        <v>5</v>
      </c>
      <c r="AE797">
        <v>3</v>
      </c>
      <c r="AF797">
        <v>1</v>
      </c>
      <c r="AG797">
        <v>0</v>
      </c>
      <c r="AH797">
        <v>0</v>
      </c>
      <c r="AI797">
        <v>0</v>
      </c>
      <c r="AJ797" s="2">
        <f>IF(tblHR[[#This Row],[Attrition]]="Yes",1,0)</f>
        <v>0</v>
      </c>
      <c r="AK797" t="str">
        <f>IF(tblHR[[#This Row],[Age]]&lt;26,"18-25",IF(tblHR[[#This Row],[Age]]&lt;36,"26-35",IF(tblHR[[#This Row],[Age]]&lt;46,"36-45",IF(tblHR[[#This Row],[Age]]&lt;56,"46-55","56+"))))</f>
        <v>36-45</v>
      </c>
    </row>
    <row r="798" spans="1:37"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s="1">
        <v>3691</v>
      </c>
      <c r="T798">
        <v>4605</v>
      </c>
      <c r="U798">
        <v>1</v>
      </c>
      <c r="V798" t="s">
        <v>42</v>
      </c>
      <c r="W798" t="s">
        <v>35</v>
      </c>
      <c r="X798">
        <v>15</v>
      </c>
      <c r="Y798">
        <v>3</v>
      </c>
      <c r="Z798">
        <v>2</v>
      </c>
      <c r="AA798">
        <v>80</v>
      </c>
      <c r="AB798">
        <v>1</v>
      </c>
      <c r="AC798">
        <v>7</v>
      </c>
      <c r="AD798">
        <v>3</v>
      </c>
      <c r="AE798">
        <v>4</v>
      </c>
      <c r="AF798">
        <v>7</v>
      </c>
      <c r="AG798">
        <v>7</v>
      </c>
      <c r="AH798">
        <v>5</v>
      </c>
      <c r="AI798">
        <v>6</v>
      </c>
      <c r="AJ798" s="2">
        <f>IF(tblHR[[#This Row],[Attrition]]="Yes",1,0)</f>
        <v>1</v>
      </c>
      <c r="AK798" t="str">
        <f>IF(tblHR[[#This Row],[Age]]&lt;26,"18-25",IF(tblHR[[#This Row],[Age]]&lt;36,"26-35",IF(tblHR[[#This Row],[Age]]&lt;46,"36-45",IF(tblHR[[#This Row],[Age]]&lt;56,"46-55","56+"))))</f>
        <v>18-25</v>
      </c>
    </row>
    <row r="799" spans="1:37"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s="1">
        <v>2377</v>
      </c>
      <c r="T799">
        <v>19373</v>
      </c>
      <c r="U799">
        <v>1</v>
      </c>
      <c r="V799" t="s">
        <v>42</v>
      </c>
      <c r="W799" t="s">
        <v>43</v>
      </c>
      <c r="X799">
        <v>20</v>
      </c>
      <c r="Y799">
        <v>4</v>
      </c>
      <c r="Z799">
        <v>3</v>
      </c>
      <c r="AA799">
        <v>80</v>
      </c>
      <c r="AB799">
        <v>1</v>
      </c>
      <c r="AC799">
        <v>1</v>
      </c>
      <c r="AD799">
        <v>0</v>
      </c>
      <c r="AE799">
        <v>2</v>
      </c>
      <c r="AF799">
        <v>1</v>
      </c>
      <c r="AG799">
        <v>1</v>
      </c>
      <c r="AH799">
        <v>0</v>
      </c>
      <c r="AI799">
        <v>0</v>
      </c>
      <c r="AJ799" s="2">
        <f>IF(tblHR[[#This Row],[Attrition]]="Yes",1,0)</f>
        <v>1</v>
      </c>
      <c r="AK799" t="str">
        <f>IF(tblHR[[#This Row],[Age]]&lt;26,"18-25",IF(tblHR[[#This Row],[Age]]&lt;36,"26-35",IF(tblHR[[#This Row],[Age]]&lt;46,"36-45",IF(tblHR[[#This Row],[Age]]&lt;56,"46-55","56+"))))</f>
        <v>26-35</v>
      </c>
    </row>
    <row r="800" spans="1:37"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s="1">
        <v>2313</v>
      </c>
      <c r="T800">
        <v>2993</v>
      </c>
      <c r="U800">
        <v>4</v>
      </c>
      <c r="V800" t="s">
        <v>42</v>
      </c>
      <c r="W800" t="s">
        <v>35</v>
      </c>
      <c r="X800">
        <v>20</v>
      </c>
      <c r="Y800">
        <v>4</v>
      </c>
      <c r="Z800">
        <v>2</v>
      </c>
      <c r="AA800">
        <v>80</v>
      </c>
      <c r="AB800">
        <v>0</v>
      </c>
      <c r="AC800">
        <v>5</v>
      </c>
      <c r="AD800">
        <v>0</v>
      </c>
      <c r="AE800">
        <v>3</v>
      </c>
      <c r="AF800">
        <v>2</v>
      </c>
      <c r="AG800">
        <v>2</v>
      </c>
      <c r="AH800">
        <v>2</v>
      </c>
      <c r="AI800">
        <v>2</v>
      </c>
      <c r="AJ800" s="2">
        <f>IF(tblHR[[#This Row],[Attrition]]="Yes",1,0)</f>
        <v>1</v>
      </c>
      <c r="AK800" t="str">
        <f>IF(tblHR[[#This Row],[Age]]&lt;26,"18-25",IF(tblHR[[#This Row],[Age]]&lt;36,"26-35",IF(tblHR[[#This Row],[Age]]&lt;46,"36-45",IF(tblHR[[#This Row],[Age]]&lt;56,"46-55","56+"))))</f>
        <v>26-35</v>
      </c>
    </row>
    <row r="801" spans="1:37"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s="1">
        <v>17665</v>
      </c>
      <c r="T801">
        <v>14399</v>
      </c>
      <c r="U801">
        <v>0</v>
      </c>
      <c r="V801" t="s">
        <v>42</v>
      </c>
      <c r="W801" t="s">
        <v>43</v>
      </c>
      <c r="X801">
        <v>17</v>
      </c>
      <c r="Y801">
        <v>3</v>
      </c>
      <c r="Z801">
        <v>4</v>
      </c>
      <c r="AA801">
        <v>80</v>
      </c>
      <c r="AB801">
        <v>1</v>
      </c>
      <c r="AC801">
        <v>23</v>
      </c>
      <c r="AD801">
        <v>3</v>
      </c>
      <c r="AE801">
        <v>3</v>
      </c>
      <c r="AF801">
        <v>22</v>
      </c>
      <c r="AG801">
        <v>6</v>
      </c>
      <c r="AH801">
        <v>13</v>
      </c>
      <c r="AI801">
        <v>7</v>
      </c>
      <c r="AJ801" s="2">
        <f>IF(tblHR[[#This Row],[Attrition]]="Yes",1,0)</f>
        <v>0</v>
      </c>
      <c r="AK801" t="str">
        <f>IF(tblHR[[#This Row],[Age]]&lt;26,"18-25",IF(tblHR[[#This Row],[Age]]&lt;36,"26-35",IF(tblHR[[#This Row],[Age]]&lt;46,"36-45",IF(tblHR[[#This Row],[Age]]&lt;56,"46-55","56+"))))</f>
        <v>36-45</v>
      </c>
    </row>
    <row r="802" spans="1:37"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s="1">
        <v>2596</v>
      </c>
      <c r="T802">
        <v>7160</v>
      </c>
      <c r="U802">
        <v>1</v>
      </c>
      <c r="V802" t="s">
        <v>42</v>
      </c>
      <c r="W802" t="s">
        <v>43</v>
      </c>
      <c r="X802">
        <v>15</v>
      </c>
      <c r="Y802">
        <v>3</v>
      </c>
      <c r="Z802">
        <v>1</v>
      </c>
      <c r="AA802">
        <v>80</v>
      </c>
      <c r="AB802">
        <v>2</v>
      </c>
      <c r="AC802">
        <v>1</v>
      </c>
      <c r="AD802">
        <v>2</v>
      </c>
      <c r="AE802">
        <v>3</v>
      </c>
      <c r="AF802">
        <v>1</v>
      </c>
      <c r="AG802">
        <v>0</v>
      </c>
      <c r="AH802">
        <v>0</v>
      </c>
      <c r="AI802">
        <v>0</v>
      </c>
      <c r="AJ802" s="2">
        <f>IF(tblHR[[#This Row],[Attrition]]="Yes",1,0)</f>
        <v>1</v>
      </c>
      <c r="AK802" t="str">
        <f>IF(tblHR[[#This Row],[Age]]&lt;26,"18-25",IF(tblHR[[#This Row],[Age]]&lt;36,"26-35",IF(tblHR[[#This Row],[Age]]&lt;46,"36-45",IF(tblHR[[#This Row],[Age]]&lt;56,"46-55","56+"))))</f>
        <v>26-35</v>
      </c>
    </row>
    <row r="803" spans="1:37"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s="1">
        <v>4728</v>
      </c>
      <c r="T803">
        <v>17251</v>
      </c>
      <c r="U803">
        <v>3</v>
      </c>
      <c r="V803" t="s">
        <v>42</v>
      </c>
      <c r="W803" t="s">
        <v>35</v>
      </c>
      <c r="X803">
        <v>14</v>
      </c>
      <c r="Y803">
        <v>3</v>
      </c>
      <c r="Z803">
        <v>4</v>
      </c>
      <c r="AA803">
        <v>80</v>
      </c>
      <c r="AB803">
        <v>0</v>
      </c>
      <c r="AC803">
        <v>5</v>
      </c>
      <c r="AD803">
        <v>4</v>
      </c>
      <c r="AE803">
        <v>3</v>
      </c>
      <c r="AF803">
        <v>0</v>
      </c>
      <c r="AG803">
        <v>0</v>
      </c>
      <c r="AH803">
        <v>0</v>
      </c>
      <c r="AI803">
        <v>0</v>
      </c>
      <c r="AJ803" s="2">
        <f>IF(tblHR[[#This Row],[Attrition]]="Yes",1,0)</f>
        <v>1</v>
      </c>
      <c r="AK803" t="str">
        <f>IF(tblHR[[#This Row],[Age]]&lt;26,"18-25",IF(tblHR[[#This Row],[Age]]&lt;36,"26-35",IF(tblHR[[#This Row],[Age]]&lt;46,"36-45",IF(tblHR[[#This Row],[Age]]&lt;56,"46-55","56+"))))</f>
        <v>46-55</v>
      </c>
    </row>
    <row r="804" spans="1:37"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s="1">
        <v>4302</v>
      </c>
      <c r="T804">
        <v>13401</v>
      </c>
      <c r="U804">
        <v>0</v>
      </c>
      <c r="V804" t="s">
        <v>42</v>
      </c>
      <c r="W804" t="s">
        <v>43</v>
      </c>
      <c r="X804">
        <v>17</v>
      </c>
      <c r="Y804">
        <v>3</v>
      </c>
      <c r="Z804">
        <v>3</v>
      </c>
      <c r="AA804">
        <v>80</v>
      </c>
      <c r="AB804">
        <v>1</v>
      </c>
      <c r="AC804">
        <v>4</v>
      </c>
      <c r="AD804">
        <v>3</v>
      </c>
      <c r="AE804">
        <v>3</v>
      </c>
      <c r="AF804">
        <v>3</v>
      </c>
      <c r="AG804">
        <v>2</v>
      </c>
      <c r="AH804">
        <v>0</v>
      </c>
      <c r="AI804">
        <v>2</v>
      </c>
      <c r="AJ804" s="2">
        <f>IF(tblHR[[#This Row],[Attrition]]="Yes",1,0)</f>
        <v>0</v>
      </c>
      <c r="AK804" t="str">
        <f>IF(tblHR[[#This Row],[Age]]&lt;26,"18-25",IF(tblHR[[#This Row],[Age]]&lt;36,"26-35",IF(tblHR[[#This Row],[Age]]&lt;46,"36-45",IF(tblHR[[#This Row],[Age]]&lt;56,"46-55","56+"))))</f>
        <v>26-35</v>
      </c>
    </row>
    <row r="805" spans="1:37"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s="1">
        <v>2979</v>
      </c>
      <c r="T805">
        <v>22478</v>
      </c>
      <c r="U805">
        <v>3</v>
      </c>
      <c r="V805" t="s">
        <v>42</v>
      </c>
      <c r="W805" t="s">
        <v>43</v>
      </c>
      <c r="X805">
        <v>17</v>
      </c>
      <c r="Y805">
        <v>3</v>
      </c>
      <c r="Z805">
        <v>4</v>
      </c>
      <c r="AA805">
        <v>80</v>
      </c>
      <c r="AB805">
        <v>3</v>
      </c>
      <c r="AC805">
        <v>6</v>
      </c>
      <c r="AD805">
        <v>2</v>
      </c>
      <c r="AE805">
        <v>3</v>
      </c>
      <c r="AF805">
        <v>0</v>
      </c>
      <c r="AG805">
        <v>0</v>
      </c>
      <c r="AH805">
        <v>0</v>
      </c>
      <c r="AI805">
        <v>0</v>
      </c>
      <c r="AJ805" s="2">
        <f>IF(tblHR[[#This Row],[Attrition]]="Yes",1,0)</f>
        <v>0</v>
      </c>
      <c r="AK805" t="str">
        <f>IF(tblHR[[#This Row],[Age]]&lt;26,"18-25",IF(tblHR[[#This Row],[Age]]&lt;36,"26-35",IF(tblHR[[#This Row],[Age]]&lt;46,"36-45",IF(tblHR[[#This Row],[Age]]&lt;56,"46-55","56+"))))</f>
        <v>26-35</v>
      </c>
    </row>
    <row r="806" spans="1:37"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s="1">
        <v>16885</v>
      </c>
      <c r="T806">
        <v>16154</v>
      </c>
      <c r="U806">
        <v>2</v>
      </c>
      <c r="V806" t="s">
        <v>42</v>
      </c>
      <c r="W806" t="s">
        <v>43</v>
      </c>
      <c r="X806">
        <v>22</v>
      </c>
      <c r="Y806">
        <v>4</v>
      </c>
      <c r="Z806">
        <v>3</v>
      </c>
      <c r="AA806">
        <v>80</v>
      </c>
      <c r="AB806">
        <v>0</v>
      </c>
      <c r="AC806">
        <v>27</v>
      </c>
      <c r="AD806">
        <v>3</v>
      </c>
      <c r="AE806">
        <v>2</v>
      </c>
      <c r="AF806">
        <v>5</v>
      </c>
      <c r="AG806">
        <v>4</v>
      </c>
      <c r="AH806">
        <v>2</v>
      </c>
      <c r="AI806">
        <v>1</v>
      </c>
      <c r="AJ806" s="2">
        <f>IF(tblHR[[#This Row],[Attrition]]="Yes",1,0)</f>
        <v>0</v>
      </c>
      <c r="AK806" t="str">
        <f>IF(tblHR[[#This Row],[Age]]&lt;26,"18-25",IF(tblHR[[#This Row],[Age]]&lt;36,"26-35",IF(tblHR[[#This Row],[Age]]&lt;46,"36-45",IF(tblHR[[#This Row],[Age]]&lt;56,"46-55","56+"))))</f>
        <v>46-55</v>
      </c>
    </row>
    <row r="807" spans="1:37"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s="1">
        <v>5593</v>
      </c>
      <c r="T807">
        <v>17970</v>
      </c>
      <c r="U807">
        <v>1</v>
      </c>
      <c r="V807" t="s">
        <v>42</v>
      </c>
      <c r="W807" t="s">
        <v>43</v>
      </c>
      <c r="X807">
        <v>13</v>
      </c>
      <c r="Y807">
        <v>3</v>
      </c>
      <c r="Z807">
        <v>4</v>
      </c>
      <c r="AA807">
        <v>80</v>
      </c>
      <c r="AB807">
        <v>1</v>
      </c>
      <c r="AC807">
        <v>15</v>
      </c>
      <c r="AD807">
        <v>2</v>
      </c>
      <c r="AE807">
        <v>3</v>
      </c>
      <c r="AF807">
        <v>15</v>
      </c>
      <c r="AG807">
        <v>10</v>
      </c>
      <c r="AH807">
        <v>4</v>
      </c>
      <c r="AI807">
        <v>12</v>
      </c>
      <c r="AJ807" s="2">
        <f>IF(tblHR[[#This Row],[Attrition]]="Yes",1,0)</f>
        <v>0</v>
      </c>
      <c r="AK807" t="str">
        <f>IF(tblHR[[#This Row],[Age]]&lt;26,"18-25",IF(tblHR[[#This Row],[Age]]&lt;36,"26-35",IF(tblHR[[#This Row],[Age]]&lt;46,"36-45",IF(tblHR[[#This Row],[Age]]&lt;56,"46-55","56+"))))</f>
        <v>36-45</v>
      </c>
    </row>
    <row r="808" spans="1:37"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s="1">
        <v>10445</v>
      </c>
      <c r="T808">
        <v>15322</v>
      </c>
      <c r="U808">
        <v>7</v>
      </c>
      <c r="V808" t="s">
        <v>42</v>
      </c>
      <c r="W808" t="s">
        <v>43</v>
      </c>
      <c r="X808">
        <v>19</v>
      </c>
      <c r="Y808">
        <v>3</v>
      </c>
      <c r="Z808">
        <v>4</v>
      </c>
      <c r="AA808">
        <v>80</v>
      </c>
      <c r="AB808">
        <v>0</v>
      </c>
      <c r="AC808">
        <v>18</v>
      </c>
      <c r="AD808">
        <v>4</v>
      </c>
      <c r="AE808">
        <v>3</v>
      </c>
      <c r="AF808">
        <v>8</v>
      </c>
      <c r="AG808">
        <v>6</v>
      </c>
      <c r="AH808">
        <v>4</v>
      </c>
      <c r="AI808">
        <v>0</v>
      </c>
      <c r="AJ808" s="2">
        <f>IF(tblHR[[#This Row],[Attrition]]="Yes",1,0)</f>
        <v>0</v>
      </c>
      <c r="AK808" t="str">
        <f>IF(tblHR[[#This Row],[Age]]&lt;26,"18-25",IF(tblHR[[#This Row],[Age]]&lt;36,"26-35",IF(tblHR[[#This Row],[Age]]&lt;46,"36-45",IF(tblHR[[#This Row],[Age]]&lt;56,"46-55","56+"))))</f>
        <v>46-55</v>
      </c>
    </row>
    <row r="809" spans="1:37"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s="1">
        <v>8740</v>
      </c>
      <c r="T809">
        <v>5569</v>
      </c>
      <c r="U809">
        <v>0</v>
      </c>
      <c r="V809" t="s">
        <v>42</v>
      </c>
      <c r="W809" t="s">
        <v>35</v>
      </c>
      <c r="X809">
        <v>14</v>
      </c>
      <c r="Y809">
        <v>3</v>
      </c>
      <c r="Z809">
        <v>2</v>
      </c>
      <c r="AA809">
        <v>80</v>
      </c>
      <c r="AB809">
        <v>2</v>
      </c>
      <c r="AC809">
        <v>9</v>
      </c>
      <c r="AD809">
        <v>2</v>
      </c>
      <c r="AE809">
        <v>3</v>
      </c>
      <c r="AF809">
        <v>8</v>
      </c>
      <c r="AG809">
        <v>7</v>
      </c>
      <c r="AH809">
        <v>2</v>
      </c>
      <c r="AI809">
        <v>7</v>
      </c>
      <c r="AJ809" s="2">
        <f>IF(tblHR[[#This Row],[Attrition]]="Yes",1,0)</f>
        <v>0</v>
      </c>
      <c r="AK809" t="str">
        <f>IF(tblHR[[#This Row],[Age]]&lt;26,"18-25",IF(tblHR[[#This Row],[Age]]&lt;36,"26-35",IF(tblHR[[#This Row],[Age]]&lt;46,"36-45",IF(tblHR[[#This Row],[Age]]&lt;56,"46-55","56+"))))</f>
        <v>36-45</v>
      </c>
    </row>
    <row r="810" spans="1:37"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s="1">
        <v>2514</v>
      </c>
      <c r="T810">
        <v>26968</v>
      </c>
      <c r="U810">
        <v>4</v>
      </c>
      <c r="V810" t="s">
        <v>42</v>
      </c>
      <c r="W810" t="s">
        <v>43</v>
      </c>
      <c r="X810">
        <v>22</v>
      </c>
      <c r="Y810">
        <v>4</v>
      </c>
      <c r="Z810">
        <v>1</v>
      </c>
      <c r="AA810">
        <v>80</v>
      </c>
      <c r="AB810">
        <v>1</v>
      </c>
      <c r="AC810">
        <v>11</v>
      </c>
      <c r="AD810">
        <v>1</v>
      </c>
      <c r="AE810">
        <v>3</v>
      </c>
      <c r="AF810">
        <v>7</v>
      </c>
      <c r="AG810">
        <v>5</v>
      </c>
      <c r="AH810">
        <v>1</v>
      </c>
      <c r="AI810">
        <v>7</v>
      </c>
      <c r="AJ810" s="2">
        <f>IF(tblHR[[#This Row],[Attrition]]="Yes",1,0)</f>
        <v>0</v>
      </c>
      <c r="AK810" t="str">
        <f>IF(tblHR[[#This Row],[Age]]&lt;26,"18-25",IF(tblHR[[#This Row],[Age]]&lt;36,"26-35",IF(tblHR[[#This Row],[Age]]&lt;46,"36-45",IF(tblHR[[#This Row],[Age]]&lt;56,"46-55","56+"))))</f>
        <v>26-35</v>
      </c>
    </row>
    <row r="811" spans="1:37"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s="1">
        <v>7655</v>
      </c>
      <c r="T811">
        <v>8039</v>
      </c>
      <c r="U811">
        <v>0</v>
      </c>
      <c r="V811" t="s">
        <v>42</v>
      </c>
      <c r="W811" t="s">
        <v>43</v>
      </c>
      <c r="X811">
        <v>17</v>
      </c>
      <c r="Y811">
        <v>3</v>
      </c>
      <c r="Z811">
        <v>2</v>
      </c>
      <c r="AA811">
        <v>80</v>
      </c>
      <c r="AB811">
        <v>3</v>
      </c>
      <c r="AC811">
        <v>10</v>
      </c>
      <c r="AD811">
        <v>3</v>
      </c>
      <c r="AE811">
        <v>2</v>
      </c>
      <c r="AF811">
        <v>9</v>
      </c>
      <c r="AG811">
        <v>7</v>
      </c>
      <c r="AH811">
        <v>1</v>
      </c>
      <c r="AI811">
        <v>7</v>
      </c>
      <c r="AJ811" s="2">
        <f>IF(tblHR[[#This Row],[Attrition]]="Yes",1,0)</f>
        <v>0</v>
      </c>
      <c r="AK811" t="str">
        <f>IF(tblHR[[#This Row],[Age]]&lt;26,"18-25",IF(tblHR[[#This Row],[Age]]&lt;36,"26-35",IF(tblHR[[#This Row],[Age]]&lt;46,"36-45",IF(tblHR[[#This Row],[Age]]&lt;56,"46-55","56+"))))</f>
        <v>26-35</v>
      </c>
    </row>
    <row r="812" spans="1:37"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s="1">
        <v>17465</v>
      </c>
      <c r="T812">
        <v>15596</v>
      </c>
      <c r="U812">
        <v>3</v>
      </c>
      <c r="V812" t="s">
        <v>42</v>
      </c>
      <c r="W812" t="s">
        <v>43</v>
      </c>
      <c r="X812">
        <v>12</v>
      </c>
      <c r="Y812">
        <v>3</v>
      </c>
      <c r="Z812">
        <v>4</v>
      </c>
      <c r="AA812">
        <v>80</v>
      </c>
      <c r="AB812">
        <v>1</v>
      </c>
      <c r="AC812">
        <v>23</v>
      </c>
      <c r="AD812">
        <v>3</v>
      </c>
      <c r="AE812">
        <v>3</v>
      </c>
      <c r="AF812">
        <v>12</v>
      </c>
      <c r="AG812">
        <v>9</v>
      </c>
      <c r="AH812">
        <v>4</v>
      </c>
      <c r="AI812">
        <v>9</v>
      </c>
      <c r="AJ812" s="2">
        <f>IF(tblHR[[#This Row],[Attrition]]="Yes",1,0)</f>
        <v>0</v>
      </c>
      <c r="AK812" t="str">
        <f>IF(tblHR[[#This Row],[Age]]&lt;26,"18-25",IF(tblHR[[#This Row],[Age]]&lt;36,"26-35",IF(tblHR[[#This Row],[Age]]&lt;46,"36-45",IF(tblHR[[#This Row],[Age]]&lt;56,"46-55","56+"))))</f>
        <v>46-55</v>
      </c>
    </row>
    <row r="813" spans="1:37"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s="1">
        <v>7351</v>
      </c>
      <c r="T813">
        <v>20619</v>
      </c>
      <c r="U813">
        <v>7</v>
      </c>
      <c r="V813" t="s">
        <v>42</v>
      </c>
      <c r="W813" t="s">
        <v>43</v>
      </c>
      <c r="X813">
        <v>16</v>
      </c>
      <c r="Y813">
        <v>3</v>
      </c>
      <c r="Z813">
        <v>3</v>
      </c>
      <c r="AA813">
        <v>80</v>
      </c>
      <c r="AB813">
        <v>0</v>
      </c>
      <c r="AC813">
        <v>10</v>
      </c>
      <c r="AD813">
        <v>2</v>
      </c>
      <c r="AE813">
        <v>3</v>
      </c>
      <c r="AF813">
        <v>1</v>
      </c>
      <c r="AG813">
        <v>0</v>
      </c>
      <c r="AH813">
        <v>0</v>
      </c>
      <c r="AI813">
        <v>0</v>
      </c>
      <c r="AJ813" s="2">
        <f>IF(tblHR[[#This Row],[Attrition]]="Yes",1,0)</f>
        <v>0</v>
      </c>
      <c r="AK813" t="str">
        <f>IF(tblHR[[#This Row],[Age]]&lt;26,"18-25",IF(tblHR[[#This Row],[Age]]&lt;36,"26-35",IF(tblHR[[#This Row],[Age]]&lt;46,"36-45",IF(tblHR[[#This Row],[Age]]&lt;56,"46-55","56+"))))</f>
        <v>36-45</v>
      </c>
    </row>
    <row r="814" spans="1:37"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s="1">
        <v>10820</v>
      </c>
      <c r="T814">
        <v>11535</v>
      </c>
      <c r="U814">
        <v>8</v>
      </c>
      <c r="V814" t="s">
        <v>42</v>
      </c>
      <c r="W814" t="s">
        <v>43</v>
      </c>
      <c r="X814">
        <v>11</v>
      </c>
      <c r="Y814">
        <v>3</v>
      </c>
      <c r="Z814">
        <v>3</v>
      </c>
      <c r="AA814">
        <v>80</v>
      </c>
      <c r="AB814">
        <v>1</v>
      </c>
      <c r="AC814">
        <v>18</v>
      </c>
      <c r="AD814">
        <v>1</v>
      </c>
      <c r="AE814">
        <v>3</v>
      </c>
      <c r="AF814">
        <v>8</v>
      </c>
      <c r="AG814">
        <v>7</v>
      </c>
      <c r="AH814">
        <v>0</v>
      </c>
      <c r="AI814">
        <v>1</v>
      </c>
      <c r="AJ814" s="2">
        <f>IF(tblHR[[#This Row],[Attrition]]="Yes",1,0)</f>
        <v>0</v>
      </c>
      <c r="AK814" t="str">
        <f>IF(tblHR[[#This Row],[Age]]&lt;26,"18-25",IF(tblHR[[#This Row],[Age]]&lt;36,"26-35",IF(tblHR[[#This Row],[Age]]&lt;46,"36-45",IF(tblHR[[#This Row],[Age]]&lt;56,"46-55","56+"))))</f>
        <v>36-45</v>
      </c>
    </row>
    <row r="815" spans="1:37"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s="1">
        <v>12169</v>
      </c>
      <c r="T815">
        <v>13547</v>
      </c>
      <c r="U815">
        <v>7</v>
      </c>
      <c r="V815" t="s">
        <v>42</v>
      </c>
      <c r="W815" t="s">
        <v>43</v>
      </c>
      <c r="X815">
        <v>11</v>
      </c>
      <c r="Y815">
        <v>3</v>
      </c>
      <c r="Z815">
        <v>4</v>
      </c>
      <c r="AA815">
        <v>80</v>
      </c>
      <c r="AB815">
        <v>3</v>
      </c>
      <c r="AC815">
        <v>21</v>
      </c>
      <c r="AD815">
        <v>4</v>
      </c>
      <c r="AE815">
        <v>3</v>
      </c>
      <c r="AF815">
        <v>18</v>
      </c>
      <c r="AG815">
        <v>7</v>
      </c>
      <c r="AH815">
        <v>11</v>
      </c>
      <c r="AI815">
        <v>5</v>
      </c>
      <c r="AJ815" s="2">
        <f>IF(tblHR[[#This Row],[Attrition]]="Yes",1,0)</f>
        <v>1</v>
      </c>
      <c r="AK815" t="str">
        <f>IF(tblHR[[#This Row],[Age]]&lt;26,"18-25",IF(tblHR[[#This Row],[Age]]&lt;36,"26-35",IF(tblHR[[#This Row],[Age]]&lt;46,"36-45",IF(tblHR[[#This Row],[Age]]&lt;56,"46-55","56+"))))</f>
        <v>36-45</v>
      </c>
    </row>
    <row r="816" spans="1:37"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s="1">
        <v>19626</v>
      </c>
      <c r="T816">
        <v>17544</v>
      </c>
      <c r="U816">
        <v>1</v>
      </c>
      <c r="V816" t="s">
        <v>42</v>
      </c>
      <c r="W816" t="s">
        <v>43</v>
      </c>
      <c r="X816">
        <v>14</v>
      </c>
      <c r="Y816">
        <v>3</v>
      </c>
      <c r="Z816">
        <v>1</v>
      </c>
      <c r="AA816">
        <v>80</v>
      </c>
      <c r="AB816">
        <v>0</v>
      </c>
      <c r="AC816">
        <v>21</v>
      </c>
      <c r="AD816">
        <v>2</v>
      </c>
      <c r="AE816">
        <v>4</v>
      </c>
      <c r="AF816">
        <v>20</v>
      </c>
      <c r="AG816">
        <v>7</v>
      </c>
      <c r="AH816">
        <v>4</v>
      </c>
      <c r="AI816">
        <v>9</v>
      </c>
      <c r="AJ816" s="2">
        <f>IF(tblHR[[#This Row],[Attrition]]="Yes",1,0)</f>
        <v>0</v>
      </c>
      <c r="AK816" t="str">
        <f>IF(tblHR[[#This Row],[Age]]&lt;26,"18-25",IF(tblHR[[#This Row],[Age]]&lt;36,"26-35",IF(tblHR[[#This Row],[Age]]&lt;46,"36-45",IF(tblHR[[#This Row],[Age]]&lt;56,"46-55","56+"))))</f>
        <v>36-45</v>
      </c>
    </row>
    <row r="817" spans="1:37"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s="1">
        <v>2070</v>
      </c>
      <c r="T817">
        <v>25326</v>
      </c>
      <c r="U817">
        <v>1</v>
      </c>
      <c r="V817" t="s">
        <v>42</v>
      </c>
      <c r="W817" t="s">
        <v>35</v>
      </c>
      <c r="X817">
        <v>11</v>
      </c>
      <c r="Y817">
        <v>3</v>
      </c>
      <c r="Z817">
        <v>3</v>
      </c>
      <c r="AA817">
        <v>80</v>
      </c>
      <c r="AB817">
        <v>0</v>
      </c>
      <c r="AC817">
        <v>2</v>
      </c>
      <c r="AD817">
        <v>6</v>
      </c>
      <c r="AE817">
        <v>4</v>
      </c>
      <c r="AF817">
        <v>2</v>
      </c>
      <c r="AG817">
        <v>2</v>
      </c>
      <c r="AH817">
        <v>2</v>
      </c>
      <c r="AI817">
        <v>2</v>
      </c>
      <c r="AJ817" s="2">
        <f>IF(tblHR[[#This Row],[Attrition]]="Yes",1,0)</f>
        <v>0</v>
      </c>
      <c r="AK817" t="str">
        <f>IF(tblHR[[#This Row],[Age]]&lt;26,"18-25",IF(tblHR[[#This Row],[Age]]&lt;36,"26-35",IF(tblHR[[#This Row],[Age]]&lt;46,"36-45",IF(tblHR[[#This Row],[Age]]&lt;56,"46-55","56+"))))</f>
        <v>18-25</v>
      </c>
    </row>
    <row r="818" spans="1:37"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s="1">
        <v>6782</v>
      </c>
      <c r="T818">
        <v>8770</v>
      </c>
      <c r="U818">
        <v>9</v>
      </c>
      <c r="V818" t="s">
        <v>42</v>
      </c>
      <c r="W818" t="s">
        <v>43</v>
      </c>
      <c r="X818">
        <v>15</v>
      </c>
      <c r="Y818">
        <v>3</v>
      </c>
      <c r="Z818">
        <v>3</v>
      </c>
      <c r="AA818">
        <v>80</v>
      </c>
      <c r="AB818">
        <v>0</v>
      </c>
      <c r="AC818">
        <v>9</v>
      </c>
      <c r="AD818">
        <v>2</v>
      </c>
      <c r="AE818">
        <v>2</v>
      </c>
      <c r="AF818">
        <v>5</v>
      </c>
      <c r="AG818">
        <v>4</v>
      </c>
      <c r="AH818">
        <v>0</v>
      </c>
      <c r="AI818">
        <v>3</v>
      </c>
      <c r="AJ818" s="2">
        <f>IF(tblHR[[#This Row],[Attrition]]="Yes",1,0)</f>
        <v>0</v>
      </c>
      <c r="AK818" t="str">
        <f>IF(tblHR[[#This Row],[Age]]&lt;26,"18-25",IF(tblHR[[#This Row],[Age]]&lt;36,"26-35",IF(tblHR[[#This Row],[Age]]&lt;46,"36-45",IF(tblHR[[#This Row],[Age]]&lt;56,"46-55","56+"))))</f>
        <v>36-45</v>
      </c>
    </row>
    <row r="819" spans="1:37"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s="1">
        <v>7779</v>
      </c>
      <c r="T819">
        <v>23238</v>
      </c>
      <c r="U819">
        <v>2</v>
      </c>
      <c r="V819" t="s">
        <v>42</v>
      </c>
      <c r="W819" t="s">
        <v>43</v>
      </c>
      <c r="X819">
        <v>20</v>
      </c>
      <c r="Y819">
        <v>4</v>
      </c>
      <c r="Z819">
        <v>1</v>
      </c>
      <c r="AA819">
        <v>80</v>
      </c>
      <c r="AB819">
        <v>0</v>
      </c>
      <c r="AC819">
        <v>18</v>
      </c>
      <c r="AD819">
        <v>0</v>
      </c>
      <c r="AE819">
        <v>3</v>
      </c>
      <c r="AF819">
        <v>11</v>
      </c>
      <c r="AG819">
        <v>9</v>
      </c>
      <c r="AH819">
        <v>0</v>
      </c>
      <c r="AI819">
        <v>9</v>
      </c>
      <c r="AJ819" s="2">
        <f>IF(tblHR[[#This Row],[Attrition]]="Yes",1,0)</f>
        <v>0</v>
      </c>
      <c r="AK819" t="str">
        <f>IF(tblHR[[#This Row],[Age]]&lt;26,"18-25",IF(tblHR[[#This Row],[Age]]&lt;36,"26-35",IF(tblHR[[#This Row],[Age]]&lt;46,"36-45",IF(tblHR[[#This Row],[Age]]&lt;56,"46-55","56+"))))</f>
        <v>36-45</v>
      </c>
    </row>
    <row r="820" spans="1:37"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s="1">
        <v>2791</v>
      </c>
      <c r="T820">
        <v>21981</v>
      </c>
      <c r="U820">
        <v>0</v>
      </c>
      <c r="V820" t="s">
        <v>42</v>
      </c>
      <c r="W820" t="s">
        <v>43</v>
      </c>
      <c r="X820">
        <v>12</v>
      </c>
      <c r="Y820">
        <v>3</v>
      </c>
      <c r="Z820">
        <v>1</v>
      </c>
      <c r="AA820">
        <v>80</v>
      </c>
      <c r="AB820">
        <v>1</v>
      </c>
      <c r="AC820">
        <v>3</v>
      </c>
      <c r="AD820">
        <v>4</v>
      </c>
      <c r="AE820">
        <v>3</v>
      </c>
      <c r="AF820">
        <v>2</v>
      </c>
      <c r="AG820">
        <v>2</v>
      </c>
      <c r="AH820">
        <v>2</v>
      </c>
      <c r="AI820">
        <v>2</v>
      </c>
      <c r="AJ820" s="2">
        <f>IF(tblHR[[#This Row],[Attrition]]="Yes",1,0)</f>
        <v>0</v>
      </c>
      <c r="AK820" t="str">
        <f>IF(tblHR[[#This Row],[Age]]&lt;26,"18-25",IF(tblHR[[#This Row],[Age]]&lt;36,"26-35",IF(tblHR[[#This Row],[Age]]&lt;46,"36-45",IF(tblHR[[#This Row],[Age]]&lt;56,"46-55","56+"))))</f>
        <v>26-35</v>
      </c>
    </row>
    <row r="821" spans="1:37"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s="1">
        <v>3201</v>
      </c>
      <c r="T821">
        <v>19911</v>
      </c>
      <c r="U821">
        <v>0</v>
      </c>
      <c r="V821" t="s">
        <v>42</v>
      </c>
      <c r="W821" t="s">
        <v>43</v>
      </c>
      <c r="X821">
        <v>17</v>
      </c>
      <c r="Y821">
        <v>3</v>
      </c>
      <c r="Z821">
        <v>1</v>
      </c>
      <c r="AA821">
        <v>80</v>
      </c>
      <c r="AB821">
        <v>0</v>
      </c>
      <c r="AC821">
        <v>6</v>
      </c>
      <c r="AD821">
        <v>2</v>
      </c>
      <c r="AE821">
        <v>1</v>
      </c>
      <c r="AF821">
        <v>5</v>
      </c>
      <c r="AG821">
        <v>3</v>
      </c>
      <c r="AH821">
        <v>0</v>
      </c>
      <c r="AI821">
        <v>4</v>
      </c>
      <c r="AJ821" s="2">
        <f>IF(tblHR[[#This Row],[Attrition]]="Yes",1,0)</f>
        <v>0</v>
      </c>
      <c r="AK821" t="str">
        <f>IF(tblHR[[#This Row],[Age]]&lt;26,"18-25",IF(tblHR[[#This Row],[Age]]&lt;36,"26-35",IF(tblHR[[#This Row],[Age]]&lt;46,"36-45",IF(tblHR[[#This Row],[Age]]&lt;56,"46-55","56+"))))</f>
        <v>26-35</v>
      </c>
    </row>
    <row r="822" spans="1:37"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s="1">
        <v>4968</v>
      </c>
      <c r="T822">
        <v>18500</v>
      </c>
      <c r="U822">
        <v>1</v>
      </c>
      <c r="V822" t="s">
        <v>42</v>
      </c>
      <c r="W822" t="s">
        <v>43</v>
      </c>
      <c r="X822">
        <v>11</v>
      </c>
      <c r="Y822">
        <v>3</v>
      </c>
      <c r="Z822">
        <v>4</v>
      </c>
      <c r="AA822">
        <v>80</v>
      </c>
      <c r="AB822">
        <v>1</v>
      </c>
      <c r="AC822">
        <v>5</v>
      </c>
      <c r="AD822">
        <v>3</v>
      </c>
      <c r="AE822">
        <v>3</v>
      </c>
      <c r="AF822">
        <v>5</v>
      </c>
      <c r="AG822">
        <v>2</v>
      </c>
      <c r="AH822">
        <v>0</v>
      </c>
      <c r="AI822">
        <v>2</v>
      </c>
      <c r="AJ822" s="2">
        <f>IF(tblHR[[#This Row],[Attrition]]="Yes",1,0)</f>
        <v>0</v>
      </c>
      <c r="AK822" t="str">
        <f>IF(tblHR[[#This Row],[Age]]&lt;26,"18-25",IF(tblHR[[#This Row],[Age]]&lt;36,"26-35",IF(tblHR[[#This Row],[Age]]&lt;46,"36-45",IF(tblHR[[#This Row],[Age]]&lt;56,"46-55","56+"))))</f>
        <v>26-35</v>
      </c>
    </row>
    <row r="823" spans="1:37"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s="1">
        <v>13120</v>
      </c>
      <c r="T823">
        <v>11879</v>
      </c>
      <c r="U823">
        <v>6</v>
      </c>
      <c r="V823" t="s">
        <v>42</v>
      </c>
      <c r="W823" t="s">
        <v>43</v>
      </c>
      <c r="X823">
        <v>17</v>
      </c>
      <c r="Y823">
        <v>3</v>
      </c>
      <c r="Z823">
        <v>2</v>
      </c>
      <c r="AA823">
        <v>80</v>
      </c>
      <c r="AB823">
        <v>1</v>
      </c>
      <c r="AC823">
        <v>22</v>
      </c>
      <c r="AD823">
        <v>3</v>
      </c>
      <c r="AE823">
        <v>3</v>
      </c>
      <c r="AF823">
        <v>9</v>
      </c>
      <c r="AG823">
        <v>8</v>
      </c>
      <c r="AH823">
        <v>2</v>
      </c>
      <c r="AI823">
        <v>3</v>
      </c>
      <c r="AJ823" s="2">
        <f>IF(tblHR[[#This Row],[Attrition]]="Yes",1,0)</f>
        <v>0</v>
      </c>
      <c r="AK823" t="str">
        <f>IF(tblHR[[#This Row],[Age]]&lt;26,"18-25",IF(tblHR[[#This Row],[Age]]&lt;36,"26-35",IF(tblHR[[#This Row],[Age]]&lt;46,"36-45",IF(tblHR[[#This Row],[Age]]&lt;56,"46-55","56+"))))</f>
        <v>46-55</v>
      </c>
    </row>
    <row r="824" spans="1:37"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s="1">
        <v>4033</v>
      </c>
      <c r="T824">
        <v>15834</v>
      </c>
      <c r="U824">
        <v>2</v>
      </c>
      <c r="V824" t="s">
        <v>42</v>
      </c>
      <c r="W824" t="s">
        <v>43</v>
      </c>
      <c r="X824">
        <v>11</v>
      </c>
      <c r="Y824">
        <v>3</v>
      </c>
      <c r="Z824">
        <v>4</v>
      </c>
      <c r="AA824">
        <v>80</v>
      </c>
      <c r="AB824">
        <v>0</v>
      </c>
      <c r="AC824">
        <v>5</v>
      </c>
      <c r="AD824">
        <v>3</v>
      </c>
      <c r="AE824">
        <v>2</v>
      </c>
      <c r="AF824">
        <v>3</v>
      </c>
      <c r="AG824">
        <v>2</v>
      </c>
      <c r="AH824">
        <v>0</v>
      </c>
      <c r="AI824">
        <v>2</v>
      </c>
      <c r="AJ824" s="2">
        <f>IF(tblHR[[#This Row],[Attrition]]="Yes",1,0)</f>
        <v>0</v>
      </c>
      <c r="AK824" t="str">
        <f>IF(tblHR[[#This Row],[Age]]&lt;26,"18-25",IF(tblHR[[#This Row],[Age]]&lt;36,"26-35",IF(tblHR[[#This Row],[Age]]&lt;46,"36-45",IF(tblHR[[#This Row],[Age]]&lt;56,"46-55","56+"))))</f>
        <v>26-35</v>
      </c>
    </row>
    <row r="825" spans="1:37"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s="1">
        <v>3291</v>
      </c>
      <c r="T825">
        <v>17940</v>
      </c>
      <c r="U825">
        <v>0</v>
      </c>
      <c r="V825" t="s">
        <v>42</v>
      </c>
      <c r="W825" t="s">
        <v>43</v>
      </c>
      <c r="X825">
        <v>14</v>
      </c>
      <c r="Y825">
        <v>3</v>
      </c>
      <c r="Z825">
        <v>4</v>
      </c>
      <c r="AA825">
        <v>80</v>
      </c>
      <c r="AB825">
        <v>2</v>
      </c>
      <c r="AC825">
        <v>8</v>
      </c>
      <c r="AD825">
        <v>2</v>
      </c>
      <c r="AE825">
        <v>2</v>
      </c>
      <c r="AF825">
        <v>7</v>
      </c>
      <c r="AG825">
        <v>5</v>
      </c>
      <c r="AH825">
        <v>1</v>
      </c>
      <c r="AI825">
        <v>1</v>
      </c>
      <c r="AJ825" s="2">
        <f>IF(tblHR[[#This Row],[Attrition]]="Yes",1,0)</f>
        <v>0</v>
      </c>
      <c r="AK825" t="str">
        <f>IF(tblHR[[#This Row],[Age]]&lt;26,"18-25",IF(tblHR[[#This Row],[Age]]&lt;36,"26-35",IF(tblHR[[#This Row],[Age]]&lt;46,"36-45",IF(tblHR[[#This Row],[Age]]&lt;56,"46-55","56+"))))</f>
        <v>26-35</v>
      </c>
    </row>
    <row r="826" spans="1:37"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s="1">
        <v>4272</v>
      </c>
      <c r="T826">
        <v>9558</v>
      </c>
      <c r="U826">
        <v>4</v>
      </c>
      <c r="V826" t="s">
        <v>42</v>
      </c>
      <c r="W826" t="s">
        <v>43</v>
      </c>
      <c r="X826">
        <v>19</v>
      </c>
      <c r="Y826">
        <v>3</v>
      </c>
      <c r="Z826">
        <v>1</v>
      </c>
      <c r="AA826">
        <v>80</v>
      </c>
      <c r="AB826">
        <v>0</v>
      </c>
      <c r="AC826">
        <v>16</v>
      </c>
      <c r="AD826">
        <v>3</v>
      </c>
      <c r="AE826">
        <v>3</v>
      </c>
      <c r="AF826">
        <v>1</v>
      </c>
      <c r="AG826">
        <v>0</v>
      </c>
      <c r="AH826">
        <v>0</v>
      </c>
      <c r="AI826">
        <v>0</v>
      </c>
      <c r="AJ826" s="2">
        <f>IF(tblHR[[#This Row],[Attrition]]="Yes",1,0)</f>
        <v>0</v>
      </c>
      <c r="AK826" t="str">
        <f>IF(tblHR[[#This Row],[Age]]&lt;26,"18-25",IF(tblHR[[#This Row],[Age]]&lt;36,"26-35",IF(tblHR[[#This Row],[Age]]&lt;46,"36-45",IF(tblHR[[#This Row],[Age]]&lt;56,"46-55","56+"))))</f>
        <v>36-45</v>
      </c>
    </row>
    <row r="827" spans="1:37"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s="1">
        <v>5056</v>
      </c>
      <c r="T827">
        <v>17689</v>
      </c>
      <c r="U827">
        <v>1</v>
      </c>
      <c r="V827" t="s">
        <v>42</v>
      </c>
      <c r="W827" t="s">
        <v>35</v>
      </c>
      <c r="X827">
        <v>15</v>
      </c>
      <c r="Y827">
        <v>3</v>
      </c>
      <c r="Z827">
        <v>3</v>
      </c>
      <c r="AA827">
        <v>80</v>
      </c>
      <c r="AB827">
        <v>1</v>
      </c>
      <c r="AC827">
        <v>10</v>
      </c>
      <c r="AD827">
        <v>2</v>
      </c>
      <c r="AE827">
        <v>2</v>
      </c>
      <c r="AF827">
        <v>10</v>
      </c>
      <c r="AG827">
        <v>7</v>
      </c>
      <c r="AH827">
        <v>1</v>
      </c>
      <c r="AI827">
        <v>2</v>
      </c>
      <c r="AJ827" s="2">
        <f>IF(tblHR[[#This Row],[Attrition]]="Yes",1,0)</f>
        <v>0</v>
      </c>
      <c r="AK827" t="str">
        <f>IF(tblHR[[#This Row],[Age]]&lt;26,"18-25",IF(tblHR[[#This Row],[Age]]&lt;36,"26-35",IF(tblHR[[#This Row],[Age]]&lt;46,"36-45",IF(tblHR[[#This Row],[Age]]&lt;56,"46-55","56+"))))</f>
        <v>26-35</v>
      </c>
    </row>
    <row r="828" spans="1:37"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s="1">
        <v>2844</v>
      </c>
      <c r="T828">
        <v>6004</v>
      </c>
      <c r="U828">
        <v>1</v>
      </c>
      <c r="V828" t="s">
        <v>42</v>
      </c>
      <c r="W828" t="s">
        <v>43</v>
      </c>
      <c r="X828">
        <v>13</v>
      </c>
      <c r="Y828">
        <v>3</v>
      </c>
      <c r="Z828">
        <v>4</v>
      </c>
      <c r="AA828">
        <v>80</v>
      </c>
      <c r="AB828">
        <v>1</v>
      </c>
      <c r="AC828">
        <v>7</v>
      </c>
      <c r="AD828">
        <v>2</v>
      </c>
      <c r="AE828">
        <v>4</v>
      </c>
      <c r="AF828">
        <v>7</v>
      </c>
      <c r="AG828">
        <v>6</v>
      </c>
      <c r="AH828">
        <v>5</v>
      </c>
      <c r="AI828">
        <v>0</v>
      </c>
      <c r="AJ828" s="2">
        <f>IF(tblHR[[#This Row],[Attrition]]="Yes",1,0)</f>
        <v>0</v>
      </c>
      <c r="AK828" t="str">
        <f>IF(tblHR[[#This Row],[Age]]&lt;26,"18-25",IF(tblHR[[#This Row],[Age]]&lt;36,"26-35",IF(tblHR[[#This Row],[Age]]&lt;46,"36-45",IF(tblHR[[#This Row],[Age]]&lt;56,"46-55","56+"))))</f>
        <v>36-45</v>
      </c>
    </row>
    <row r="829" spans="1:37"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s="1">
        <v>2703</v>
      </c>
      <c r="T829">
        <v>22088</v>
      </c>
      <c r="U829">
        <v>1</v>
      </c>
      <c r="V829" t="s">
        <v>42</v>
      </c>
      <c r="W829" t="s">
        <v>35</v>
      </c>
      <c r="X829">
        <v>14</v>
      </c>
      <c r="Y829">
        <v>3</v>
      </c>
      <c r="Z829">
        <v>4</v>
      </c>
      <c r="AA829">
        <v>80</v>
      </c>
      <c r="AB829">
        <v>1</v>
      </c>
      <c r="AC829">
        <v>3</v>
      </c>
      <c r="AD829">
        <v>2</v>
      </c>
      <c r="AE829">
        <v>3</v>
      </c>
      <c r="AF829">
        <v>3</v>
      </c>
      <c r="AG829">
        <v>1</v>
      </c>
      <c r="AH829">
        <v>0</v>
      </c>
      <c r="AI829">
        <v>2</v>
      </c>
      <c r="AJ829" s="2">
        <f>IF(tblHR[[#This Row],[Attrition]]="Yes",1,0)</f>
        <v>0</v>
      </c>
      <c r="AK829" t="str">
        <f>IF(tblHR[[#This Row],[Age]]&lt;26,"18-25",IF(tblHR[[#This Row],[Age]]&lt;36,"26-35",IF(tblHR[[#This Row],[Age]]&lt;46,"36-45",IF(tblHR[[#This Row],[Age]]&lt;56,"46-55","56+"))))</f>
        <v>26-35</v>
      </c>
    </row>
    <row r="830" spans="1:37"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s="1">
        <v>1904</v>
      </c>
      <c r="T830">
        <v>13556</v>
      </c>
      <c r="U830">
        <v>1</v>
      </c>
      <c r="V830" t="s">
        <v>42</v>
      </c>
      <c r="W830" t="s">
        <v>43</v>
      </c>
      <c r="X830">
        <v>12</v>
      </c>
      <c r="Y830">
        <v>3</v>
      </c>
      <c r="Z830">
        <v>4</v>
      </c>
      <c r="AA830">
        <v>80</v>
      </c>
      <c r="AB830">
        <v>0</v>
      </c>
      <c r="AC830">
        <v>0</v>
      </c>
      <c r="AD830">
        <v>0</v>
      </c>
      <c r="AE830">
        <v>3</v>
      </c>
      <c r="AF830">
        <v>0</v>
      </c>
      <c r="AG830">
        <v>0</v>
      </c>
      <c r="AH830">
        <v>0</v>
      </c>
      <c r="AI830">
        <v>0</v>
      </c>
      <c r="AJ830" s="2">
        <f>IF(tblHR[[#This Row],[Attrition]]="Yes",1,0)</f>
        <v>1</v>
      </c>
      <c r="AK830" t="str">
        <f>IF(tblHR[[#This Row],[Age]]&lt;26,"18-25",IF(tblHR[[#This Row],[Age]]&lt;36,"26-35",IF(tblHR[[#This Row],[Age]]&lt;46,"36-45",IF(tblHR[[#This Row],[Age]]&lt;56,"46-55","56+"))))</f>
        <v>18-25</v>
      </c>
    </row>
    <row r="831" spans="1:37"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s="1">
        <v>8224</v>
      </c>
      <c r="T831">
        <v>18385</v>
      </c>
      <c r="U831">
        <v>0</v>
      </c>
      <c r="V831" t="s">
        <v>42</v>
      </c>
      <c r="W831" t="s">
        <v>35</v>
      </c>
      <c r="X831">
        <v>17</v>
      </c>
      <c r="Y831">
        <v>3</v>
      </c>
      <c r="Z831">
        <v>1</v>
      </c>
      <c r="AA831">
        <v>80</v>
      </c>
      <c r="AB831">
        <v>0</v>
      </c>
      <c r="AC831">
        <v>6</v>
      </c>
      <c r="AD831">
        <v>3</v>
      </c>
      <c r="AE831">
        <v>3</v>
      </c>
      <c r="AF831">
        <v>5</v>
      </c>
      <c r="AG831">
        <v>2</v>
      </c>
      <c r="AH831">
        <v>0</v>
      </c>
      <c r="AI831">
        <v>3</v>
      </c>
      <c r="AJ831" s="2">
        <f>IF(tblHR[[#This Row],[Attrition]]="Yes",1,0)</f>
        <v>1</v>
      </c>
      <c r="AK831" t="str">
        <f>IF(tblHR[[#This Row],[Age]]&lt;26,"18-25",IF(tblHR[[#This Row],[Age]]&lt;36,"26-35",IF(tblHR[[#This Row],[Age]]&lt;46,"36-45",IF(tblHR[[#This Row],[Age]]&lt;56,"46-55","56+"))))</f>
        <v>26-35</v>
      </c>
    </row>
    <row r="832" spans="1:37"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s="1">
        <v>4766</v>
      </c>
      <c r="T832">
        <v>9051</v>
      </c>
      <c r="U832">
        <v>3</v>
      </c>
      <c r="V832" t="s">
        <v>42</v>
      </c>
      <c r="W832" t="s">
        <v>35</v>
      </c>
      <c r="X832">
        <v>11</v>
      </c>
      <c r="Y832">
        <v>3</v>
      </c>
      <c r="Z832">
        <v>1</v>
      </c>
      <c r="AA832">
        <v>80</v>
      </c>
      <c r="AB832">
        <v>1</v>
      </c>
      <c r="AC832">
        <v>6</v>
      </c>
      <c r="AD832">
        <v>4</v>
      </c>
      <c r="AE832">
        <v>3</v>
      </c>
      <c r="AF832">
        <v>1</v>
      </c>
      <c r="AG832">
        <v>0</v>
      </c>
      <c r="AH832">
        <v>0</v>
      </c>
      <c r="AI832">
        <v>0</v>
      </c>
      <c r="AJ832" s="2">
        <f>IF(tblHR[[#This Row],[Attrition]]="Yes",1,0)</f>
        <v>0</v>
      </c>
      <c r="AK832" t="str">
        <f>IF(tblHR[[#This Row],[Age]]&lt;26,"18-25",IF(tblHR[[#This Row],[Age]]&lt;36,"26-35",IF(tblHR[[#This Row],[Age]]&lt;46,"36-45",IF(tblHR[[#This Row],[Age]]&lt;56,"46-55","56+"))))</f>
        <v>36-45</v>
      </c>
    </row>
    <row r="833" spans="1:37"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s="1">
        <v>2610</v>
      </c>
      <c r="T833">
        <v>6233</v>
      </c>
      <c r="U833">
        <v>1</v>
      </c>
      <c r="V833" t="s">
        <v>42</v>
      </c>
      <c r="W833" t="s">
        <v>43</v>
      </c>
      <c r="X833">
        <v>12</v>
      </c>
      <c r="Y833">
        <v>3</v>
      </c>
      <c r="Z833">
        <v>3</v>
      </c>
      <c r="AA833">
        <v>80</v>
      </c>
      <c r="AB833">
        <v>1</v>
      </c>
      <c r="AC833">
        <v>2</v>
      </c>
      <c r="AD833">
        <v>5</v>
      </c>
      <c r="AE833">
        <v>2</v>
      </c>
      <c r="AF833">
        <v>2</v>
      </c>
      <c r="AG833">
        <v>2</v>
      </c>
      <c r="AH833">
        <v>2</v>
      </c>
      <c r="AI833">
        <v>2</v>
      </c>
      <c r="AJ833" s="2">
        <f>IF(tblHR[[#This Row],[Attrition]]="Yes",1,0)</f>
        <v>1</v>
      </c>
      <c r="AK833" t="str">
        <f>IF(tblHR[[#This Row],[Age]]&lt;26,"18-25",IF(tblHR[[#This Row],[Age]]&lt;36,"26-35",IF(tblHR[[#This Row],[Age]]&lt;46,"36-45",IF(tblHR[[#This Row],[Age]]&lt;56,"46-55","56+"))))</f>
        <v>26-35</v>
      </c>
    </row>
    <row r="834" spans="1:37"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s="1">
        <v>5731</v>
      </c>
      <c r="T834">
        <v>17171</v>
      </c>
      <c r="U834">
        <v>7</v>
      </c>
      <c r="V834" t="s">
        <v>42</v>
      </c>
      <c r="W834" t="s">
        <v>43</v>
      </c>
      <c r="X834">
        <v>13</v>
      </c>
      <c r="Y834">
        <v>3</v>
      </c>
      <c r="Z834">
        <v>3</v>
      </c>
      <c r="AA834">
        <v>80</v>
      </c>
      <c r="AB834">
        <v>2</v>
      </c>
      <c r="AC834">
        <v>9</v>
      </c>
      <c r="AD834">
        <v>2</v>
      </c>
      <c r="AE834">
        <v>3</v>
      </c>
      <c r="AF834">
        <v>6</v>
      </c>
      <c r="AG834">
        <v>2</v>
      </c>
      <c r="AH834">
        <v>1</v>
      </c>
      <c r="AI834">
        <v>3</v>
      </c>
      <c r="AJ834" s="2">
        <f>IF(tblHR[[#This Row],[Attrition]]="Yes",1,0)</f>
        <v>0</v>
      </c>
      <c r="AK834" t="str">
        <f>IF(tblHR[[#This Row],[Age]]&lt;26,"18-25",IF(tblHR[[#This Row],[Age]]&lt;36,"26-35",IF(tblHR[[#This Row],[Age]]&lt;46,"36-45",IF(tblHR[[#This Row],[Age]]&lt;56,"46-55","56+"))))</f>
        <v>36-45</v>
      </c>
    </row>
    <row r="835" spans="1:37"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s="1">
        <v>2539</v>
      </c>
      <c r="T835">
        <v>7950</v>
      </c>
      <c r="U835">
        <v>1</v>
      </c>
      <c r="V835" t="s">
        <v>42</v>
      </c>
      <c r="W835" t="s">
        <v>43</v>
      </c>
      <c r="X835">
        <v>13</v>
      </c>
      <c r="Y835">
        <v>3</v>
      </c>
      <c r="Z835">
        <v>3</v>
      </c>
      <c r="AA835">
        <v>80</v>
      </c>
      <c r="AB835">
        <v>1</v>
      </c>
      <c r="AC835">
        <v>4</v>
      </c>
      <c r="AD835">
        <v>0</v>
      </c>
      <c r="AE835">
        <v>3</v>
      </c>
      <c r="AF835">
        <v>4</v>
      </c>
      <c r="AG835">
        <v>2</v>
      </c>
      <c r="AH835">
        <v>2</v>
      </c>
      <c r="AI835">
        <v>2</v>
      </c>
      <c r="AJ835" s="2">
        <f>IF(tblHR[[#This Row],[Attrition]]="Yes",1,0)</f>
        <v>0</v>
      </c>
      <c r="AK835" t="str">
        <f>IF(tblHR[[#This Row],[Age]]&lt;26,"18-25",IF(tblHR[[#This Row],[Age]]&lt;36,"26-35",IF(tblHR[[#This Row],[Age]]&lt;46,"36-45",IF(tblHR[[#This Row],[Age]]&lt;56,"46-55","56+"))))</f>
        <v>26-35</v>
      </c>
    </row>
    <row r="836" spans="1:37"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s="1">
        <v>5714</v>
      </c>
      <c r="T836">
        <v>5829</v>
      </c>
      <c r="U836">
        <v>1</v>
      </c>
      <c r="V836" t="s">
        <v>42</v>
      </c>
      <c r="W836" t="s">
        <v>43</v>
      </c>
      <c r="X836">
        <v>20</v>
      </c>
      <c r="Y836">
        <v>4</v>
      </c>
      <c r="Z836">
        <v>1</v>
      </c>
      <c r="AA836">
        <v>80</v>
      </c>
      <c r="AB836">
        <v>0</v>
      </c>
      <c r="AC836">
        <v>6</v>
      </c>
      <c r="AD836">
        <v>3</v>
      </c>
      <c r="AE836">
        <v>2</v>
      </c>
      <c r="AF836">
        <v>6</v>
      </c>
      <c r="AG836">
        <v>5</v>
      </c>
      <c r="AH836">
        <v>1</v>
      </c>
      <c r="AI836">
        <v>3</v>
      </c>
      <c r="AJ836" s="2">
        <f>IF(tblHR[[#This Row],[Attrition]]="Yes",1,0)</f>
        <v>0</v>
      </c>
      <c r="AK836" t="str">
        <f>IF(tblHR[[#This Row],[Age]]&lt;26,"18-25",IF(tblHR[[#This Row],[Age]]&lt;36,"26-35",IF(tblHR[[#This Row],[Age]]&lt;46,"36-45",IF(tblHR[[#This Row],[Age]]&lt;56,"46-55","56+"))))</f>
        <v>26-35</v>
      </c>
    </row>
    <row r="837" spans="1:37"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s="1">
        <v>4323</v>
      </c>
      <c r="T837">
        <v>7108</v>
      </c>
      <c r="U837">
        <v>1</v>
      </c>
      <c r="V837" t="s">
        <v>42</v>
      </c>
      <c r="W837" t="s">
        <v>43</v>
      </c>
      <c r="X837">
        <v>17</v>
      </c>
      <c r="Y837">
        <v>3</v>
      </c>
      <c r="Z837">
        <v>2</v>
      </c>
      <c r="AA837">
        <v>80</v>
      </c>
      <c r="AB837">
        <v>0</v>
      </c>
      <c r="AC837">
        <v>6</v>
      </c>
      <c r="AD837">
        <v>2</v>
      </c>
      <c r="AE837">
        <v>1</v>
      </c>
      <c r="AF837">
        <v>5</v>
      </c>
      <c r="AG837">
        <v>4</v>
      </c>
      <c r="AH837">
        <v>1</v>
      </c>
      <c r="AI837">
        <v>4</v>
      </c>
      <c r="AJ837" s="2">
        <f>IF(tblHR[[#This Row],[Attrition]]="Yes",1,0)</f>
        <v>0</v>
      </c>
      <c r="AK837" t="str">
        <f>IF(tblHR[[#This Row],[Age]]&lt;26,"18-25",IF(tblHR[[#This Row],[Age]]&lt;36,"26-35",IF(tblHR[[#This Row],[Age]]&lt;46,"36-45",IF(tblHR[[#This Row],[Age]]&lt;56,"46-55","56+"))))</f>
        <v>26-35</v>
      </c>
    </row>
    <row r="838" spans="1:37"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s="1">
        <v>7336</v>
      </c>
      <c r="T838">
        <v>11162</v>
      </c>
      <c r="U838">
        <v>1</v>
      </c>
      <c r="V838" t="s">
        <v>42</v>
      </c>
      <c r="W838" t="s">
        <v>43</v>
      </c>
      <c r="X838">
        <v>13</v>
      </c>
      <c r="Y838">
        <v>3</v>
      </c>
      <c r="Z838">
        <v>1</v>
      </c>
      <c r="AA838">
        <v>80</v>
      </c>
      <c r="AB838">
        <v>1</v>
      </c>
      <c r="AC838">
        <v>11</v>
      </c>
      <c r="AD838">
        <v>3</v>
      </c>
      <c r="AE838">
        <v>1</v>
      </c>
      <c r="AF838">
        <v>11</v>
      </c>
      <c r="AG838">
        <v>8</v>
      </c>
      <c r="AH838">
        <v>3</v>
      </c>
      <c r="AI838">
        <v>10</v>
      </c>
      <c r="AJ838" s="2">
        <f>IF(tblHR[[#This Row],[Attrition]]="Yes",1,0)</f>
        <v>1</v>
      </c>
      <c r="AK838" t="str">
        <f>IF(tblHR[[#This Row],[Age]]&lt;26,"18-25",IF(tblHR[[#This Row],[Age]]&lt;36,"26-35",IF(tblHR[[#This Row],[Age]]&lt;46,"36-45",IF(tblHR[[#This Row],[Age]]&lt;56,"46-55","56+"))))</f>
        <v>26-35</v>
      </c>
    </row>
    <row r="839" spans="1:37"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s="1">
        <v>13499</v>
      </c>
      <c r="T839">
        <v>13782</v>
      </c>
      <c r="U839">
        <v>9</v>
      </c>
      <c r="V839" t="s">
        <v>42</v>
      </c>
      <c r="W839" t="s">
        <v>43</v>
      </c>
      <c r="X839">
        <v>17</v>
      </c>
      <c r="Y839">
        <v>3</v>
      </c>
      <c r="Z839">
        <v>3</v>
      </c>
      <c r="AA839">
        <v>80</v>
      </c>
      <c r="AB839">
        <v>0</v>
      </c>
      <c r="AC839">
        <v>20</v>
      </c>
      <c r="AD839">
        <v>3</v>
      </c>
      <c r="AE839">
        <v>2</v>
      </c>
      <c r="AF839">
        <v>18</v>
      </c>
      <c r="AG839">
        <v>7</v>
      </c>
      <c r="AH839">
        <v>2</v>
      </c>
      <c r="AI839">
        <v>13</v>
      </c>
      <c r="AJ839" s="2">
        <f>IF(tblHR[[#This Row],[Attrition]]="Yes",1,0)</f>
        <v>0</v>
      </c>
      <c r="AK839" t="str">
        <f>IF(tblHR[[#This Row],[Age]]&lt;26,"18-25",IF(tblHR[[#This Row],[Age]]&lt;36,"26-35",IF(tblHR[[#This Row],[Age]]&lt;46,"36-45",IF(tblHR[[#This Row],[Age]]&lt;56,"46-55","56+"))))</f>
        <v>36-45</v>
      </c>
    </row>
    <row r="840" spans="1:37"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s="1">
        <v>13758</v>
      </c>
      <c r="T840">
        <v>2447</v>
      </c>
      <c r="U840">
        <v>0</v>
      </c>
      <c r="V840" t="s">
        <v>42</v>
      </c>
      <c r="W840" t="s">
        <v>35</v>
      </c>
      <c r="X840">
        <v>12</v>
      </c>
      <c r="Y840">
        <v>3</v>
      </c>
      <c r="Z840">
        <v>2</v>
      </c>
      <c r="AA840">
        <v>80</v>
      </c>
      <c r="AB840">
        <v>0</v>
      </c>
      <c r="AC840">
        <v>22</v>
      </c>
      <c r="AD840">
        <v>2</v>
      </c>
      <c r="AE840">
        <v>2</v>
      </c>
      <c r="AF840">
        <v>21</v>
      </c>
      <c r="AG840">
        <v>9</v>
      </c>
      <c r="AH840">
        <v>13</v>
      </c>
      <c r="AI840">
        <v>14</v>
      </c>
      <c r="AJ840" s="2">
        <f>IF(tblHR[[#This Row],[Attrition]]="Yes",1,0)</f>
        <v>1</v>
      </c>
      <c r="AK840" t="str">
        <f>IF(tblHR[[#This Row],[Age]]&lt;26,"18-25",IF(tblHR[[#This Row],[Age]]&lt;36,"26-35",IF(tblHR[[#This Row],[Age]]&lt;46,"36-45",IF(tblHR[[#This Row],[Age]]&lt;56,"46-55","56+"))))</f>
        <v>36-45</v>
      </c>
    </row>
    <row r="841" spans="1:37"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s="1">
        <v>5155</v>
      </c>
      <c r="T841">
        <v>2253</v>
      </c>
      <c r="U841">
        <v>7</v>
      </c>
      <c r="V841" t="s">
        <v>42</v>
      </c>
      <c r="W841" t="s">
        <v>43</v>
      </c>
      <c r="X841">
        <v>13</v>
      </c>
      <c r="Y841">
        <v>3</v>
      </c>
      <c r="Z841">
        <v>4</v>
      </c>
      <c r="AA841">
        <v>80</v>
      </c>
      <c r="AB841">
        <v>0</v>
      </c>
      <c r="AC841">
        <v>9</v>
      </c>
      <c r="AD841">
        <v>3</v>
      </c>
      <c r="AE841">
        <v>4</v>
      </c>
      <c r="AF841">
        <v>6</v>
      </c>
      <c r="AG841">
        <v>4</v>
      </c>
      <c r="AH841">
        <v>1</v>
      </c>
      <c r="AI841">
        <v>5</v>
      </c>
      <c r="AJ841" s="2">
        <f>IF(tblHR[[#This Row],[Attrition]]="Yes",1,0)</f>
        <v>0</v>
      </c>
      <c r="AK841" t="str">
        <f>IF(tblHR[[#This Row],[Age]]&lt;26,"18-25",IF(tblHR[[#This Row],[Age]]&lt;36,"26-35",IF(tblHR[[#This Row],[Age]]&lt;46,"36-45",IF(tblHR[[#This Row],[Age]]&lt;56,"46-55","56+"))))</f>
        <v>36-45</v>
      </c>
    </row>
    <row r="842" spans="1:37"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s="1">
        <v>2258</v>
      </c>
      <c r="T842">
        <v>16340</v>
      </c>
      <c r="U842">
        <v>6</v>
      </c>
      <c r="V842" t="s">
        <v>42</v>
      </c>
      <c r="W842" t="s">
        <v>43</v>
      </c>
      <c r="X842">
        <v>12</v>
      </c>
      <c r="Y842">
        <v>3</v>
      </c>
      <c r="Z842">
        <v>2</v>
      </c>
      <c r="AA842">
        <v>80</v>
      </c>
      <c r="AB842">
        <v>1</v>
      </c>
      <c r="AC842">
        <v>10</v>
      </c>
      <c r="AD842">
        <v>2</v>
      </c>
      <c r="AE842">
        <v>3</v>
      </c>
      <c r="AF842">
        <v>8</v>
      </c>
      <c r="AG842">
        <v>0</v>
      </c>
      <c r="AH842">
        <v>1</v>
      </c>
      <c r="AI842">
        <v>7</v>
      </c>
      <c r="AJ842" s="2">
        <f>IF(tblHR[[#This Row],[Attrition]]="Yes",1,0)</f>
        <v>0</v>
      </c>
      <c r="AK842" t="str">
        <f>IF(tblHR[[#This Row],[Age]]&lt;26,"18-25",IF(tblHR[[#This Row],[Age]]&lt;36,"26-35",IF(tblHR[[#This Row],[Age]]&lt;46,"36-45",IF(tblHR[[#This Row],[Age]]&lt;56,"46-55","56+"))))</f>
        <v>26-35</v>
      </c>
    </row>
    <row r="843" spans="1:37"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s="1">
        <v>3597</v>
      </c>
      <c r="T843">
        <v>6409</v>
      </c>
      <c r="U843">
        <v>8</v>
      </c>
      <c r="V843" t="s">
        <v>42</v>
      </c>
      <c r="W843" t="s">
        <v>43</v>
      </c>
      <c r="X843">
        <v>22</v>
      </c>
      <c r="Y843">
        <v>4</v>
      </c>
      <c r="Z843">
        <v>4</v>
      </c>
      <c r="AA843">
        <v>80</v>
      </c>
      <c r="AB843">
        <v>0</v>
      </c>
      <c r="AC843">
        <v>6</v>
      </c>
      <c r="AD843">
        <v>2</v>
      </c>
      <c r="AE843">
        <v>3</v>
      </c>
      <c r="AF843">
        <v>4</v>
      </c>
      <c r="AG843">
        <v>3</v>
      </c>
      <c r="AH843">
        <v>1</v>
      </c>
      <c r="AI843">
        <v>2</v>
      </c>
      <c r="AJ843" s="2">
        <f>IF(tblHR[[#This Row],[Attrition]]="Yes",1,0)</f>
        <v>0</v>
      </c>
      <c r="AK843" t="str">
        <f>IF(tblHR[[#This Row],[Age]]&lt;26,"18-25",IF(tblHR[[#This Row],[Age]]&lt;36,"26-35",IF(tblHR[[#This Row],[Age]]&lt;46,"36-45",IF(tblHR[[#This Row],[Age]]&lt;56,"46-55","56+"))))</f>
        <v>18-25</v>
      </c>
    </row>
    <row r="844" spans="1:37"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s="1">
        <v>2515</v>
      </c>
      <c r="T844">
        <v>22955</v>
      </c>
      <c r="U844">
        <v>1</v>
      </c>
      <c r="V844" t="s">
        <v>42</v>
      </c>
      <c r="W844" t="s">
        <v>35</v>
      </c>
      <c r="X844">
        <v>11</v>
      </c>
      <c r="Y844">
        <v>3</v>
      </c>
      <c r="Z844">
        <v>4</v>
      </c>
      <c r="AA844">
        <v>80</v>
      </c>
      <c r="AB844">
        <v>0</v>
      </c>
      <c r="AC844">
        <v>1</v>
      </c>
      <c r="AD844">
        <v>4</v>
      </c>
      <c r="AE844">
        <v>2</v>
      </c>
      <c r="AF844">
        <v>1</v>
      </c>
      <c r="AG844">
        <v>1</v>
      </c>
      <c r="AH844">
        <v>0</v>
      </c>
      <c r="AI844">
        <v>0</v>
      </c>
      <c r="AJ844" s="2">
        <f>IF(tblHR[[#This Row],[Attrition]]="Yes",1,0)</f>
        <v>1</v>
      </c>
      <c r="AK844" t="str">
        <f>IF(tblHR[[#This Row],[Age]]&lt;26,"18-25",IF(tblHR[[#This Row],[Age]]&lt;36,"26-35",IF(tblHR[[#This Row],[Age]]&lt;46,"36-45",IF(tblHR[[#This Row],[Age]]&lt;56,"46-55","56+"))))</f>
        <v>26-35</v>
      </c>
    </row>
    <row r="845" spans="1:37"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s="1">
        <v>4420</v>
      </c>
      <c r="T845">
        <v>13421</v>
      </c>
      <c r="U845">
        <v>1</v>
      </c>
      <c r="V845" t="s">
        <v>42</v>
      </c>
      <c r="W845" t="s">
        <v>43</v>
      </c>
      <c r="X845">
        <v>22</v>
      </c>
      <c r="Y845">
        <v>4</v>
      </c>
      <c r="Z845">
        <v>2</v>
      </c>
      <c r="AA845">
        <v>80</v>
      </c>
      <c r="AB845">
        <v>1</v>
      </c>
      <c r="AC845">
        <v>8</v>
      </c>
      <c r="AD845">
        <v>2</v>
      </c>
      <c r="AE845">
        <v>3</v>
      </c>
      <c r="AF845">
        <v>8</v>
      </c>
      <c r="AG845">
        <v>7</v>
      </c>
      <c r="AH845">
        <v>0</v>
      </c>
      <c r="AI845">
        <v>7</v>
      </c>
      <c r="AJ845" s="2">
        <f>IF(tblHR[[#This Row],[Attrition]]="Yes",1,0)</f>
        <v>0</v>
      </c>
      <c r="AK845" t="str">
        <f>IF(tblHR[[#This Row],[Age]]&lt;26,"18-25",IF(tblHR[[#This Row],[Age]]&lt;36,"26-35",IF(tblHR[[#This Row],[Age]]&lt;46,"36-45",IF(tblHR[[#This Row],[Age]]&lt;56,"46-55","56+"))))</f>
        <v>26-35</v>
      </c>
    </row>
    <row r="846" spans="1:37"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s="1">
        <v>6578</v>
      </c>
      <c r="T846">
        <v>2706</v>
      </c>
      <c r="U846">
        <v>1</v>
      </c>
      <c r="V846" t="s">
        <v>42</v>
      </c>
      <c r="W846" t="s">
        <v>43</v>
      </c>
      <c r="X846">
        <v>18</v>
      </c>
      <c r="Y846">
        <v>3</v>
      </c>
      <c r="Z846">
        <v>1</v>
      </c>
      <c r="AA846">
        <v>80</v>
      </c>
      <c r="AB846">
        <v>1</v>
      </c>
      <c r="AC846">
        <v>10</v>
      </c>
      <c r="AD846">
        <v>3</v>
      </c>
      <c r="AE846">
        <v>3</v>
      </c>
      <c r="AF846">
        <v>10</v>
      </c>
      <c r="AG846">
        <v>3</v>
      </c>
      <c r="AH846">
        <v>1</v>
      </c>
      <c r="AI846">
        <v>4</v>
      </c>
      <c r="AJ846" s="2">
        <f>IF(tblHR[[#This Row],[Attrition]]="Yes",1,0)</f>
        <v>0</v>
      </c>
      <c r="AK846" t="str">
        <f>IF(tblHR[[#This Row],[Age]]&lt;26,"18-25",IF(tblHR[[#This Row],[Age]]&lt;36,"26-35",IF(tblHR[[#This Row],[Age]]&lt;46,"36-45",IF(tblHR[[#This Row],[Age]]&lt;56,"46-55","56+"))))</f>
        <v>26-35</v>
      </c>
    </row>
    <row r="847" spans="1:37"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s="1">
        <v>4422</v>
      </c>
      <c r="T847">
        <v>21203</v>
      </c>
      <c r="U847">
        <v>3</v>
      </c>
      <c r="V847" t="s">
        <v>42</v>
      </c>
      <c r="W847" t="s">
        <v>35</v>
      </c>
      <c r="X847">
        <v>13</v>
      </c>
      <c r="Y847">
        <v>3</v>
      </c>
      <c r="Z847">
        <v>4</v>
      </c>
      <c r="AA847">
        <v>80</v>
      </c>
      <c r="AB847">
        <v>1</v>
      </c>
      <c r="AC847">
        <v>16</v>
      </c>
      <c r="AD847">
        <v>3</v>
      </c>
      <c r="AE847">
        <v>1</v>
      </c>
      <c r="AF847">
        <v>1</v>
      </c>
      <c r="AG847">
        <v>1</v>
      </c>
      <c r="AH847">
        <v>0</v>
      </c>
      <c r="AI847">
        <v>0</v>
      </c>
      <c r="AJ847" s="2">
        <f>IF(tblHR[[#This Row],[Attrition]]="Yes",1,0)</f>
        <v>0</v>
      </c>
      <c r="AK847" t="str">
        <f>IF(tblHR[[#This Row],[Age]]&lt;26,"18-25",IF(tblHR[[#This Row],[Age]]&lt;36,"26-35",IF(tblHR[[#This Row],[Age]]&lt;46,"36-45",IF(tblHR[[#This Row],[Age]]&lt;56,"46-55","56+"))))</f>
        <v>36-45</v>
      </c>
    </row>
    <row r="848" spans="1:37"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s="1">
        <v>10274</v>
      </c>
      <c r="T848">
        <v>19588</v>
      </c>
      <c r="U848">
        <v>2</v>
      </c>
      <c r="V848" t="s">
        <v>42</v>
      </c>
      <c r="W848" t="s">
        <v>43</v>
      </c>
      <c r="X848">
        <v>18</v>
      </c>
      <c r="Y848">
        <v>3</v>
      </c>
      <c r="Z848">
        <v>2</v>
      </c>
      <c r="AA848">
        <v>80</v>
      </c>
      <c r="AB848">
        <v>1</v>
      </c>
      <c r="AC848">
        <v>15</v>
      </c>
      <c r="AD848">
        <v>2</v>
      </c>
      <c r="AE848">
        <v>4</v>
      </c>
      <c r="AF848">
        <v>7</v>
      </c>
      <c r="AG848">
        <v>7</v>
      </c>
      <c r="AH848">
        <v>6</v>
      </c>
      <c r="AI848">
        <v>4</v>
      </c>
      <c r="AJ848" s="2">
        <f>IF(tblHR[[#This Row],[Attrition]]="Yes",1,0)</f>
        <v>0</v>
      </c>
      <c r="AK848" t="str">
        <f>IF(tblHR[[#This Row],[Age]]&lt;26,"18-25",IF(tblHR[[#This Row],[Age]]&lt;36,"26-35",IF(tblHR[[#This Row],[Age]]&lt;46,"36-45",IF(tblHR[[#This Row],[Age]]&lt;56,"46-55","56+"))))</f>
        <v>26-35</v>
      </c>
    </row>
    <row r="849" spans="1:37"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s="1">
        <v>5343</v>
      </c>
      <c r="T849">
        <v>25755</v>
      </c>
      <c r="U849">
        <v>0</v>
      </c>
      <c r="V849" t="s">
        <v>42</v>
      </c>
      <c r="W849" t="s">
        <v>43</v>
      </c>
      <c r="X849">
        <v>20</v>
      </c>
      <c r="Y849">
        <v>4</v>
      </c>
      <c r="Z849">
        <v>3</v>
      </c>
      <c r="AA849">
        <v>80</v>
      </c>
      <c r="AB849">
        <v>0</v>
      </c>
      <c r="AC849">
        <v>14</v>
      </c>
      <c r="AD849">
        <v>3</v>
      </c>
      <c r="AE849">
        <v>3</v>
      </c>
      <c r="AF849">
        <v>13</v>
      </c>
      <c r="AG849">
        <v>9</v>
      </c>
      <c r="AH849">
        <v>4</v>
      </c>
      <c r="AI849">
        <v>9</v>
      </c>
      <c r="AJ849" s="2">
        <f>IF(tblHR[[#This Row],[Attrition]]="Yes",1,0)</f>
        <v>0</v>
      </c>
      <c r="AK849" t="str">
        <f>IF(tblHR[[#This Row],[Age]]&lt;26,"18-25",IF(tblHR[[#This Row],[Age]]&lt;36,"26-35",IF(tblHR[[#This Row],[Age]]&lt;46,"36-45",IF(tblHR[[#This Row],[Age]]&lt;56,"46-55","56+"))))</f>
        <v>26-35</v>
      </c>
    </row>
    <row r="850" spans="1:37"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s="1">
        <v>2376</v>
      </c>
      <c r="T850">
        <v>26537</v>
      </c>
      <c r="U850">
        <v>1</v>
      </c>
      <c r="V850" t="s">
        <v>42</v>
      </c>
      <c r="W850" t="s">
        <v>43</v>
      </c>
      <c r="X850">
        <v>13</v>
      </c>
      <c r="Y850">
        <v>3</v>
      </c>
      <c r="Z850">
        <v>2</v>
      </c>
      <c r="AA850">
        <v>80</v>
      </c>
      <c r="AB850">
        <v>1</v>
      </c>
      <c r="AC850">
        <v>2</v>
      </c>
      <c r="AD850">
        <v>2</v>
      </c>
      <c r="AE850">
        <v>4</v>
      </c>
      <c r="AF850">
        <v>2</v>
      </c>
      <c r="AG850">
        <v>2</v>
      </c>
      <c r="AH850">
        <v>2</v>
      </c>
      <c r="AI850">
        <v>2</v>
      </c>
      <c r="AJ850" s="2">
        <f>IF(tblHR[[#This Row],[Attrition]]="Yes",1,0)</f>
        <v>0</v>
      </c>
      <c r="AK850" t="str">
        <f>IF(tblHR[[#This Row],[Age]]&lt;26,"18-25",IF(tblHR[[#This Row],[Age]]&lt;36,"26-35",IF(tblHR[[#This Row],[Age]]&lt;46,"36-45",IF(tblHR[[#This Row],[Age]]&lt;56,"46-55","56+"))))</f>
        <v>26-35</v>
      </c>
    </row>
    <row r="851" spans="1:37"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s="1">
        <v>5346</v>
      </c>
      <c r="T851">
        <v>9489</v>
      </c>
      <c r="U851">
        <v>8</v>
      </c>
      <c r="V851" t="s">
        <v>42</v>
      </c>
      <c r="W851" t="s">
        <v>43</v>
      </c>
      <c r="X851">
        <v>13</v>
      </c>
      <c r="Y851">
        <v>3</v>
      </c>
      <c r="Z851">
        <v>2</v>
      </c>
      <c r="AA851">
        <v>80</v>
      </c>
      <c r="AB851">
        <v>0</v>
      </c>
      <c r="AC851">
        <v>7</v>
      </c>
      <c r="AD851">
        <v>2</v>
      </c>
      <c r="AE851">
        <v>2</v>
      </c>
      <c r="AF851">
        <v>4</v>
      </c>
      <c r="AG851">
        <v>3</v>
      </c>
      <c r="AH851">
        <v>1</v>
      </c>
      <c r="AI851">
        <v>3</v>
      </c>
      <c r="AJ851" s="2">
        <f>IF(tblHR[[#This Row],[Attrition]]="Yes",1,0)</f>
        <v>1</v>
      </c>
      <c r="AK851" t="str">
        <f>IF(tblHR[[#This Row],[Age]]&lt;26,"18-25",IF(tblHR[[#This Row],[Age]]&lt;36,"26-35",IF(tblHR[[#This Row],[Age]]&lt;46,"36-45",IF(tblHR[[#This Row],[Age]]&lt;56,"46-55","56+"))))</f>
        <v>36-45</v>
      </c>
    </row>
    <row r="852" spans="1:37"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s="1">
        <v>2827</v>
      </c>
      <c r="T852">
        <v>14947</v>
      </c>
      <c r="U852">
        <v>1</v>
      </c>
      <c r="V852" t="s">
        <v>42</v>
      </c>
      <c r="W852" t="s">
        <v>43</v>
      </c>
      <c r="X852">
        <v>12</v>
      </c>
      <c r="Y852">
        <v>3</v>
      </c>
      <c r="Z852">
        <v>3</v>
      </c>
      <c r="AA852">
        <v>80</v>
      </c>
      <c r="AB852">
        <v>3</v>
      </c>
      <c r="AC852">
        <v>1</v>
      </c>
      <c r="AD852">
        <v>3</v>
      </c>
      <c r="AE852">
        <v>3</v>
      </c>
      <c r="AF852">
        <v>1</v>
      </c>
      <c r="AG852">
        <v>0</v>
      </c>
      <c r="AH852">
        <v>0</v>
      </c>
      <c r="AI852">
        <v>0</v>
      </c>
      <c r="AJ852" s="2">
        <f>IF(tblHR[[#This Row],[Attrition]]="Yes",1,0)</f>
        <v>0</v>
      </c>
      <c r="AK852" t="str">
        <f>IF(tblHR[[#This Row],[Age]]&lt;26,"18-25",IF(tblHR[[#This Row],[Age]]&lt;36,"26-35",IF(tblHR[[#This Row],[Age]]&lt;46,"36-45",IF(tblHR[[#This Row],[Age]]&lt;56,"46-55","56+"))))</f>
        <v>26-35</v>
      </c>
    </row>
    <row r="853" spans="1:37"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s="1">
        <v>19943</v>
      </c>
      <c r="T853">
        <v>18575</v>
      </c>
      <c r="U853">
        <v>4</v>
      </c>
      <c r="V853" t="s">
        <v>42</v>
      </c>
      <c r="W853" t="s">
        <v>43</v>
      </c>
      <c r="X853">
        <v>13</v>
      </c>
      <c r="Y853">
        <v>3</v>
      </c>
      <c r="Z853">
        <v>4</v>
      </c>
      <c r="AA853">
        <v>80</v>
      </c>
      <c r="AB853">
        <v>1</v>
      </c>
      <c r="AC853">
        <v>28</v>
      </c>
      <c r="AD853">
        <v>2</v>
      </c>
      <c r="AE853">
        <v>3</v>
      </c>
      <c r="AF853">
        <v>5</v>
      </c>
      <c r="AG853">
        <v>2</v>
      </c>
      <c r="AH853">
        <v>4</v>
      </c>
      <c r="AI853">
        <v>2</v>
      </c>
      <c r="AJ853" s="2">
        <f>IF(tblHR[[#This Row],[Attrition]]="Yes",1,0)</f>
        <v>0</v>
      </c>
      <c r="AK853" t="str">
        <f>IF(tblHR[[#This Row],[Age]]&lt;26,"18-25",IF(tblHR[[#This Row],[Age]]&lt;36,"26-35",IF(tblHR[[#This Row],[Age]]&lt;46,"36-45",IF(tblHR[[#This Row],[Age]]&lt;56,"46-55","56+"))))</f>
        <v>56+</v>
      </c>
    </row>
    <row r="854" spans="1:37"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s="1">
        <v>3131</v>
      </c>
      <c r="T854">
        <v>26342</v>
      </c>
      <c r="U854">
        <v>1</v>
      </c>
      <c r="V854" t="s">
        <v>42</v>
      </c>
      <c r="W854" t="s">
        <v>43</v>
      </c>
      <c r="X854">
        <v>13</v>
      </c>
      <c r="Y854">
        <v>3</v>
      </c>
      <c r="Z854">
        <v>1</v>
      </c>
      <c r="AA854">
        <v>80</v>
      </c>
      <c r="AB854">
        <v>1</v>
      </c>
      <c r="AC854">
        <v>10</v>
      </c>
      <c r="AD854">
        <v>5</v>
      </c>
      <c r="AE854">
        <v>3</v>
      </c>
      <c r="AF854">
        <v>10</v>
      </c>
      <c r="AG854">
        <v>8</v>
      </c>
      <c r="AH854">
        <v>0</v>
      </c>
      <c r="AI854">
        <v>8</v>
      </c>
      <c r="AJ854" s="2">
        <f>IF(tblHR[[#This Row],[Attrition]]="Yes",1,0)</f>
        <v>0</v>
      </c>
      <c r="AK854" t="str">
        <f>IF(tblHR[[#This Row],[Age]]&lt;26,"18-25",IF(tblHR[[#This Row],[Age]]&lt;36,"26-35",IF(tblHR[[#This Row],[Age]]&lt;46,"36-45",IF(tblHR[[#This Row],[Age]]&lt;56,"46-55","56+"))))</f>
        <v>26-35</v>
      </c>
    </row>
    <row r="855" spans="1:37"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s="1">
        <v>2552</v>
      </c>
      <c r="T855">
        <v>7172</v>
      </c>
      <c r="U855">
        <v>1</v>
      </c>
      <c r="V855" t="s">
        <v>42</v>
      </c>
      <c r="W855" t="s">
        <v>43</v>
      </c>
      <c r="X855">
        <v>25</v>
      </c>
      <c r="Y855">
        <v>4</v>
      </c>
      <c r="Z855">
        <v>3</v>
      </c>
      <c r="AA855">
        <v>80</v>
      </c>
      <c r="AB855">
        <v>0</v>
      </c>
      <c r="AC855">
        <v>1</v>
      </c>
      <c r="AD855">
        <v>4</v>
      </c>
      <c r="AE855">
        <v>3</v>
      </c>
      <c r="AF855">
        <v>1</v>
      </c>
      <c r="AG855">
        <v>1</v>
      </c>
      <c r="AH855">
        <v>0</v>
      </c>
      <c r="AI855">
        <v>0</v>
      </c>
      <c r="AJ855" s="2">
        <f>IF(tblHR[[#This Row],[Attrition]]="Yes",1,0)</f>
        <v>0</v>
      </c>
      <c r="AK855" t="str">
        <f>IF(tblHR[[#This Row],[Age]]&lt;26,"18-25",IF(tblHR[[#This Row],[Age]]&lt;36,"26-35",IF(tblHR[[#This Row],[Age]]&lt;46,"36-45",IF(tblHR[[#This Row],[Age]]&lt;56,"46-55","56+"))))</f>
        <v>18-25</v>
      </c>
    </row>
    <row r="856" spans="1:37"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s="1">
        <v>4477</v>
      </c>
      <c r="T856">
        <v>20100</v>
      </c>
      <c r="U856">
        <v>4</v>
      </c>
      <c r="V856" t="s">
        <v>42</v>
      </c>
      <c r="W856" t="s">
        <v>35</v>
      </c>
      <c r="X856">
        <v>19</v>
      </c>
      <c r="Y856">
        <v>3</v>
      </c>
      <c r="Z856">
        <v>3</v>
      </c>
      <c r="AA856">
        <v>80</v>
      </c>
      <c r="AB856">
        <v>1</v>
      </c>
      <c r="AC856">
        <v>7</v>
      </c>
      <c r="AD856">
        <v>2</v>
      </c>
      <c r="AE856">
        <v>2</v>
      </c>
      <c r="AF856">
        <v>3</v>
      </c>
      <c r="AG856">
        <v>2</v>
      </c>
      <c r="AH856">
        <v>0</v>
      </c>
      <c r="AI856">
        <v>2</v>
      </c>
      <c r="AJ856" s="2">
        <f>IF(tblHR[[#This Row],[Attrition]]="Yes",1,0)</f>
        <v>0</v>
      </c>
      <c r="AK856" t="str">
        <f>IF(tblHR[[#This Row],[Age]]&lt;26,"18-25",IF(tblHR[[#This Row],[Age]]&lt;36,"26-35",IF(tblHR[[#This Row],[Age]]&lt;46,"36-45",IF(tblHR[[#This Row],[Age]]&lt;56,"46-55","56+"))))</f>
        <v>36-45</v>
      </c>
    </row>
    <row r="857" spans="1:37"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s="1">
        <v>6474</v>
      </c>
      <c r="T857">
        <v>9961</v>
      </c>
      <c r="U857">
        <v>1</v>
      </c>
      <c r="V857" t="s">
        <v>42</v>
      </c>
      <c r="W857" t="s">
        <v>43</v>
      </c>
      <c r="X857">
        <v>13</v>
      </c>
      <c r="Y857">
        <v>3</v>
      </c>
      <c r="Z857">
        <v>2</v>
      </c>
      <c r="AA857">
        <v>80</v>
      </c>
      <c r="AB857">
        <v>1</v>
      </c>
      <c r="AC857">
        <v>14</v>
      </c>
      <c r="AD857">
        <v>2</v>
      </c>
      <c r="AE857">
        <v>2</v>
      </c>
      <c r="AF857">
        <v>14</v>
      </c>
      <c r="AG857">
        <v>8</v>
      </c>
      <c r="AH857">
        <v>3</v>
      </c>
      <c r="AI857">
        <v>11</v>
      </c>
      <c r="AJ857" s="2">
        <f>IF(tblHR[[#This Row],[Attrition]]="Yes",1,0)</f>
        <v>0</v>
      </c>
      <c r="AK857" t="str">
        <f>IF(tblHR[[#This Row],[Age]]&lt;26,"18-25",IF(tblHR[[#This Row],[Age]]&lt;36,"26-35",IF(tblHR[[#This Row],[Age]]&lt;46,"36-45",IF(tblHR[[#This Row],[Age]]&lt;56,"46-55","56+"))))</f>
        <v>36-45</v>
      </c>
    </row>
    <row r="858" spans="1:37"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s="1">
        <v>3033</v>
      </c>
      <c r="T858">
        <v>12828</v>
      </c>
      <c r="U858">
        <v>1</v>
      </c>
      <c r="V858" t="s">
        <v>42</v>
      </c>
      <c r="W858" t="s">
        <v>43</v>
      </c>
      <c r="X858">
        <v>12</v>
      </c>
      <c r="Y858">
        <v>3</v>
      </c>
      <c r="Z858">
        <v>1</v>
      </c>
      <c r="AA858">
        <v>80</v>
      </c>
      <c r="AB858">
        <v>0</v>
      </c>
      <c r="AC858">
        <v>2</v>
      </c>
      <c r="AD858">
        <v>2</v>
      </c>
      <c r="AE858">
        <v>2</v>
      </c>
      <c r="AF858">
        <v>2</v>
      </c>
      <c r="AG858">
        <v>2</v>
      </c>
      <c r="AH858">
        <v>1</v>
      </c>
      <c r="AI858">
        <v>2</v>
      </c>
      <c r="AJ858" s="2">
        <f>IF(tblHR[[#This Row],[Attrition]]="Yes",1,0)</f>
        <v>0</v>
      </c>
      <c r="AK858" t="str">
        <f>IF(tblHR[[#This Row],[Age]]&lt;26,"18-25",IF(tblHR[[#This Row],[Age]]&lt;36,"26-35",IF(tblHR[[#This Row],[Age]]&lt;46,"36-45",IF(tblHR[[#This Row],[Age]]&lt;56,"46-55","56+"))))</f>
        <v>18-25</v>
      </c>
    </row>
    <row r="859" spans="1:37"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s="1">
        <v>2936</v>
      </c>
      <c r="T859">
        <v>10826</v>
      </c>
      <c r="U859">
        <v>1</v>
      </c>
      <c r="V859" t="s">
        <v>42</v>
      </c>
      <c r="W859" t="s">
        <v>35</v>
      </c>
      <c r="X859">
        <v>11</v>
      </c>
      <c r="Y859">
        <v>3</v>
      </c>
      <c r="Z859">
        <v>3</v>
      </c>
      <c r="AA859">
        <v>80</v>
      </c>
      <c r="AB859">
        <v>0</v>
      </c>
      <c r="AC859">
        <v>6</v>
      </c>
      <c r="AD859">
        <v>4</v>
      </c>
      <c r="AE859">
        <v>3</v>
      </c>
      <c r="AF859">
        <v>6</v>
      </c>
      <c r="AG859">
        <v>4</v>
      </c>
      <c r="AH859">
        <v>0</v>
      </c>
      <c r="AI859">
        <v>2</v>
      </c>
      <c r="AJ859" s="2">
        <f>IF(tblHR[[#This Row],[Attrition]]="Yes",1,0)</f>
        <v>1</v>
      </c>
      <c r="AK859" t="str">
        <f>IF(tblHR[[#This Row],[Age]]&lt;26,"18-25",IF(tblHR[[#This Row],[Age]]&lt;36,"26-35",IF(tblHR[[#This Row],[Age]]&lt;46,"36-45",IF(tblHR[[#This Row],[Age]]&lt;56,"46-55","56+"))))</f>
        <v>36-45</v>
      </c>
    </row>
    <row r="860" spans="1:37"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s="1">
        <v>18606</v>
      </c>
      <c r="T860">
        <v>18640</v>
      </c>
      <c r="U860">
        <v>3</v>
      </c>
      <c r="V860" t="s">
        <v>42</v>
      </c>
      <c r="W860" t="s">
        <v>43</v>
      </c>
      <c r="X860">
        <v>18</v>
      </c>
      <c r="Y860">
        <v>3</v>
      </c>
      <c r="Z860">
        <v>2</v>
      </c>
      <c r="AA860">
        <v>80</v>
      </c>
      <c r="AB860">
        <v>1</v>
      </c>
      <c r="AC860">
        <v>26</v>
      </c>
      <c r="AD860">
        <v>6</v>
      </c>
      <c r="AE860">
        <v>3</v>
      </c>
      <c r="AF860">
        <v>7</v>
      </c>
      <c r="AG860">
        <v>7</v>
      </c>
      <c r="AH860">
        <v>4</v>
      </c>
      <c r="AI860">
        <v>7</v>
      </c>
      <c r="AJ860" s="2">
        <f>IF(tblHR[[#This Row],[Attrition]]="Yes",1,0)</f>
        <v>0</v>
      </c>
      <c r="AK860" t="str">
        <f>IF(tblHR[[#This Row],[Age]]&lt;26,"18-25",IF(tblHR[[#This Row],[Age]]&lt;36,"26-35",IF(tblHR[[#This Row],[Age]]&lt;46,"36-45",IF(tblHR[[#This Row],[Age]]&lt;56,"46-55","56+"))))</f>
        <v>46-55</v>
      </c>
    </row>
    <row r="861" spans="1:37"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s="1">
        <v>2168</v>
      </c>
      <c r="T861">
        <v>26933</v>
      </c>
      <c r="U861">
        <v>0</v>
      </c>
      <c r="V861" t="s">
        <v>42</v>
      </c>
      <c r="W861" t="s">
        <v>35</v>
      </c>
      <c r="X861">
        <v>18</v>
      </c>
      <c r="Y861">
        <v>3</v>
      </c>
      <c r="Z861">
        <v>1</v>
      </c>
      <c r="AA861">
        <v>80</v>
      </c>
      <c r="AB861">
        <v>1</v>
      </c>
      <c r="AC861">
        <v>6</v>
      </c>
      <c r="AD861">
        <v>2</v>
      </c>
      <c r="AE861">
        <v>2</v>
      </c>
      <c r="AF861">
        <v>5</v>
      </c>
      <c r="AG861">
        <v>4</v>
      </c>
      <c r="AH861">
        <v>1</v>
      </c>
      <c r="AI861">
        <v>3</v>
      </c>
      <c r="AJ861" s="2">
        <f>IF(tblHR[[#This Row],[Attrition]]="Yes",1,0)</f>
        <v>0</v>
      </c>
      <c r="AK861" t="str">
        <f>IF(tblHR[[#This Row],[Age]]&lt;26,"18-25",IF(tblHR[[#This Row],[Age]]&lt;36,"26-35",IF(tblHR[[#This Row],[Age]]&lt;46,"36-45",IF(tblHR[[#This Row],[Age]]&lt;56,"46-55","56+"))))</f>
        <v>26-35</v>
      </c>
    </row>
    <row r="862" spans="1:37"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s="1">
        <v>2853</v>
      </c>
      <c r="T862">
        <v>4223</v>
      </c>
      <c r="U862">
        <v>0</v>
      </c>
      <c r="V862" t="s">
        <v>42</v>
      </c>
      <c r="W862" t="s">
        <v>35</v>
      </c>
      <c r="X862">
        <v>11</v>
      </c>
      <c r="Y862">
        <v>3</v>
      </c>
      <c r="Z862">
        <v>2</v>
      </c>
      <c r="AA862">
        <v>80</v>
      </c>
      <c r="AB862">
        <v>1</v>
      </c>
      <c r="AC862">
        <v>1</v>
      </c>
      <c r="AD862">
        <v>5</v>
      </c>
      <c r="AE862">
        <v>3</v>
      </c>
      <c r="AF862">
        <v>0</v>
      </c>
      <c r="AG862">
        <v>0</v>
      </c>
      <c r="AH862">
        <v>0</v>
      </c>
      <c r="AI862">
        <v>0</v>
      </c>
      <c r="AJ862" s="2">
        <f>IF(tblHR[[#This Row],[Attrition]]="Yes",1,0)</f>
        <v>1</v>
      </c>
      <c r="AK862" t="str">
        <f>IF(tblHR[[#This Row],[Age]]&lt;26,"18-25",IF(tblHR[[#This Row],[Age]]&lt;36,"26-35",IF(tblHR[[#This Row],[Age]]&lt;46,"36-45",IF(tblHR[[#This Row],[Age]]&lt;56,"46-55","56+"))))</f>
        <v>18-25</v>
      </c>
    </row>
    <row r="863" spans="1:37"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s="1">
        <v>17048</v>
      </c>
      <c r="T863">
        <v>24097</v>
      </c>
      <c r="U863">
        <v>8</v>
      </c>
      <c r="V863" t="s">
        <v>42</v>
      </c>
      <c r="W863" t="s">
        <v>43</v>
      </c>
      <c r="X863">
        <v>23</v>
      </c>
      <c r="Y863">
        <v>4</v>
      </c>
      <c r="Z863">
        <v>1</v>
      </c>
      <c r="AA863">
        <v>80</v>
      </c>
      <c r="AB863">
        <v>0</v>
      </c>
      <c r="AC863">
        <v>28</v>
      </c>
      <c r="AD863">
        <v>2</v>
      </c>
      <c r="AE863">
        <v>3</v>
      </c>
      <c r="AF863">
        <v>26</v>
      </c>
      <c r="AG863">
        <v>15</v>
      </c>
      <c r="AH863">
        <v>15</v>
      </c>
      <c r="AI863">
        <v>9</v>
      </c>
      <c r="AJ863" s="2">
        <f>IF(tblHR[[#This Row],[Attrition]]="Yes",1,0)</f>
        <v>0</v>
      </c>
      <c r="AK863" t="str">
        <f>IF(tblHR[[#This Row],[Age]]&lt;26,"18-25",IF(tblHR[[#This Row],[Age]]&lt;36,"26-35",IF(tblHR[[#This Row],[Age]]&lt;46,"36-45",IF(tblHR[[#This Row],[Age]]&lt;56,"46-55","56+"))))</f>
        <v>46-55</v>
      </c>
    </row>
    <row r="864" spans="1:37"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s="1">
        <v>2290</v>
      </c>
      <c r="T864">
        <v>4279</v>
      </c>
      <c r="U864">
        <v>2</v>
      </c>
      <c r="V864" t="s">
        <v>42</v>
      </c>
      <c r="W864" t="s">
        <v>43</v>
      </c>
      <c r="X864">
        <v>13</v>
      </c>
      <c r="Y864">
        <v>3</v>
      </c>
      <c r="Z864">
        <v>4</v>
      </c>
      <c r="AA864">
        <v>80</v>
      </c>
      <c r="AB864">
        <v>0</v>
      </c>
      <c r="AC864">
        <v>6</v>
      </c>
      <c r="AD864">
        <v>3</v>
      </c>
      <c r="AE864">
        <v>3</v>
      </c>
      <c r="AF864">
        <v>0</v>
      </c>
      <c r="AG864">
        <v>0</v>
      </c>
      <c r="AH864">
        <v>0</v>
      </c>
      <c r="AI864">
        <v>0</v>
      </c>
      <c r="AJ864" s="2">
        <f>IF(tblHR[[#This Row],[Attrition]]="Yes",1,0)</f>
        <v>0</v>
      </c>
      <c r="AK864" t="str">
        <f>IF(tblHR[[#This Row],[Age]]&lt;26,"18-25",IF(tblHR[[#This Row],[Age]]&lt;36,"26-35",IF(tblHR[[#This Row],[Age]]&lt;46,"36-45",IF(tblHR[[#This Row],[Age]]&lt;56,"46-55","56+"))))</f>
        <v>36-45</v>
      </c>
    </row>
    <row r="865" spans="1:37"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s="1">
        <v>3600</v>
      </c>
      <c r="T865">
        <v>8429</v>
      </c>
      <c r="U865">
        <v>1</v>
      </c>
      <c r="V865" t="s">
        <v>42</v>
      </c>
      <c r="W865" t="s">
        <v>43</v>
      </c>
      <c r="X865">
        <v>13</v>
      </c>
      <c r="Y865">
        <v>3</v>
      </c>
      <c r="Z865">
        <v>4</v>
      </c>
      <c r="AA865">
        <v>80</v>
      </c>
      <c r="AB865">
        <v>1</v>
      </c>
      <c r="AC865">
        <v>5</v>
      </c>
      <c r="AD865">
        <v>2</v>
      </c>
      <c r="AE865">
        <v>3</v>
      </c>
      <c r="AF865">
        <v>5</v>
      </c>
      <c r="AG865">
        <v>4</v>
      </c>
      <c r="AH865">
        <v>1</v>
      </c>
      <c r="AI865">
        <v>4</v>
      </c>
      <c r="AJ865" s="2">
        <f>IF(tblHR[[#This Row],[Attrition]]="Yes",1,0)</f>
        <v>0</v>
      </c>
      <c r="AK865" t="str">
        <f>IF(tblHR[[#This Row],[Age]]&lt;26,"18-25",IF(tblHR[[#This Row],[Age]]&lt;36,"26-35",IF(tblHR[[#This Row],[Age]]&lt;46,"36-45",IF(tblHR[[#This Row],[Age]]&lt;56,"46-55","56+"))))</f>
        <v>26-35</v>
      </c>
    </row>
    <row r="866" spans="1:37"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s="1">
        <v>2107</v>
      </c>
      <c r="T866">
        <v>20293</v>
      </c>
      <c r="U866">
        <v>6</v>
      </c>
      <c r="V866" t="s">
        <v>42</v>
      </c>
      <c r="W866" t="s">
        <v>43</v>
      </c>
      <c r="X866">
        <v>17</v>
      </c>
      <c r="Y866">
        <v>3</v>
      </c>
      <c r="Z866">
        <v>1</v>
      </c>
      <c r="AA866">
        <v>80</v>
      </c>
      <c r="AB866">
        <v>1</v>
      </c>
      <c r="AC866">
        <v>5</v>
      </c>
      <c r="AD866">
        <v>2</v>
      </c>
      <c r="AE866">
        <v>1</v>
      </c>
      <c r="AF866">
        <v>1</v>
      </c>
      <c r="AG866">
        <v>0</v>
      </c>
      <c r="AH866">
        <v>0</v>
      </c>
      <c r="AI866">
        <v>0</v>
      </c>
      <c r="AJ866" s="2">
        <f>IF(tblHR[[#This Row],[Attrition]]="Yes",1,0)</f>
        <v>1</v>
      </c>
      <c r="AK866" t="str">
        <f>IF(tblHR[[#This Row],[Age]]&lt;26,"18-25",IF(tblHR[[#This Row],[Age]]&lt;36,"26-35",IF(tblHR[[#This Row],[Age]]&lt;46,"36-45",IF(tblHR[[#This Row],[Age]]&lt;56,"46-55","56+"))))</f>
        <v>36-45</v>
      </c>
    </row>
    <row r="867" spans="1:37"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s="1">
        <v>4115</v>
      </c>
      <c r="T867">
        <v>13192</v>
      </c>
      <c r="U867">
        <v>8</v>
      </c>
      <c r="V867" t="s">
        <v>42</v>
      </c>
      <c r="W867" t="s">
        <v>43</v>
      </c>
      <c r="X867">
        <v>19</v>
      </c>
      <c r="Y867">
        <v>3</v>
      </c>
      <c r="Z867">
        <v>3</v>
      </c>
      <c r="AA867">
        <v>80</v>
      </c>
      <c r="AB867">
        <v>3</v>
      </c>
      <c r="AC867">
        <v>8</v>
      </c>
      <c r="AD867">
        <v>3</v>
      </c>
      <c r="AE867">
        <v>3</v>
      </c>
      <c r="AF867">
        <v>4</v>
      </c>
      <c r="AG867">
        <v>3</v>
      </c>
      <c r="AH867">
        <v>0</v>
      </c>
      <c r="AI867">
        <v>3</v>
      </c>
      <c r="AJ867" s="2">
        <f>IF(tblHR[[#This Row],[Attrition]]="Yes",1,0)</f>
        <v>0</v>
      </c>
      <c r="AK867" t="str">
        <f>IF(tblHR[[#This Row],[Age]]&lt;26,"18-25",IF(tblHR[[#This Row],[Age]]&lt;36,"26-35",IF(tblHR[[#This Row],[Age]]&lt;46,"36-45",IF(tblHR[[#This Row],[Age]]&lt;56,"46-55","56+"))))</f>
        <v>26-35</v>
      </c>
    </row>
    <row r="868" spans="1:37"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s="1">
        <v>4327</v>
      </c>
      <c r="T868">
        <v>25440</v>
      </c>
      <c r="U868">
        <v>5</v>
      </c>
      <c r="V868" t="s">
        <v>42</v>
      </c>
      <c r="W868" t="s">
        <v>43</v>
      </c>
      <c r="X868">
        <v>12</v>
      </c>
      <c r="Y868">
        <v>3</v>
      </c>
      <c r="Z868">
        <v>4</v>
      </c>
      <c r="AA868">
        <v>80</v>
      </c>
      <c r="AB868">
        <v>3</v>
      </c>
      <c r="AC868">
        <v>5</v>
      </c>
      <c r="AD868">
        <v>2</v>
      </c>
      <c r="AE868">
        <v>3</v>
      </c>
      <c r="AF868">
        <v>0</v>
      </c>
      <c r="AG868">
        <v>0</v>
      </c>
      <c r="AH868">
        <v>0</v>
      </c>
      <c r="AI868">
        <v>0</v>
      </c>
      <c r="AJ868" s="2">
        <f>IF(tblHR[[#This Row],[Attrition]]="Yes",1,0)</f>
        <v>0</v>
      </c>
      <c r="AK868" t="str">
        <f>IF(tblHR[[#This Row],[Age]]&lt;26,"18-25",IF(tblHR[[#This Row],[Age]]&lt;36,"26-35",IF(tblHR[[#This Row],[Age]]&lt;46,"36-45",IF(tblHR[[#This Row],[Age]]&lt;56,"46-55","56+"))))</f>
        <v>36-45</v>
      </c>
    </row>
    <row r="869" spans="1:37"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s="1">
        <v>17856</v>
      </c>
      <c r="T869">
        <v>9490</v>
      </c>
      <c r="U869">
        <v>2</v>
      </c>
      <c r="V869" t="s">
        <v>42</v>
      </c>
      <c r="W869" t="s">
        <v>43</v>
      </c>
      <c r="X869">
        <v>22</v>
      </c>
      <c r="Y869">
        <v>4</v>
      </c>
      <c r="Z869">
        <v>3</v>
      </c>
      <c r="AA869">
        <v>80</v>
      </c>
      <c r="AB869">
        <v>1</v>
      </c>
      <c r="AC869">
        <v>32</v>
      </c>
      <c r="AD869">
        <v>3</v>
      </c>
      <c r="AE869">
        <v>3</v>
      </c>
      <c r="AF869">
        <v>2</v>
      </c>
      <c r="AG869">
        <v>2</v>
      </c>
      <c r="AH869">
        <v>2</v>
      </c>
      <c r="AI869">
        <v>2</v>
      </c>
      <c r="AJ869" s="2">
        <f>IF(tblHR[[#This Row],[Attrition]]="Yes",1,0)</f>
        <v>0</v>
      </c>
      <c r="AK869" t="str">
        <f>IF(tblHR[[#This Row],[Age]]&lt;26,"18-25",IF(tblHR[[#This Row],[Age]]&lt;36,"26-35",IF(tblHR[[#This Row],[Age]]&lt;46,"36-45",IF(tblHR[[#This Row],[Age]]&lt;56,"46-55","56+"))))</f>
        <v>46-55</v>
      </c>
    </row>
    <row r="870" spans="1:37"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s="1">
        <v>3196</v>
      </c>
      <c r="T870">
        <v>12449</v>
      </c>
      <c r="U870">
        <v>1</v>
      </c>
      <c r="V870" t="s">
        <v>42</v>
      </c>
      <c r="W870" t="s">
        <v>43</v>
      </c>
      <c r="X870">
        <v>12</v>
      </c>
      <c r="Y870">
        <v>3</v>
      </c>
      <c r="Z870">
        <v>3</v>
      </c>
      <c r="AA870">
        <v>80</v>
      </c>
      <c r="AB870">
        <v>3</v>
      </c>
      <c r="AC870">
        <v>6</v>
      </c>
      <c r="AD870">
        <v>2</v>
      </c>
      <c r="AE870">
        <v>3</v>
      </c>
      <c r="AF870">
        <v>6</v>
      </c>
      <c r="AG870">
        <v>5</v>
      </c>
      <c r="AH870">
        <v>3</v>
      </c>
      <c r="AI870">
        <v>3</v>
      </c>
      <c r="AJ870" s="2">
        <f>IF(tblHR[[#This Row],[Attrition]]="Yes",1,0)</f>
        <v>0</v>
      </c>
      <c r="AK870" t="str">
        <f>IF(tblHR[[#This Row],[Age]]&lt;26,"18-25",IF(tblHR[[#This Row],[Age]]&lt;36,"26-35",IF(tblHR[[#This Row],[Age]]&lt;46,"36-45",IF(tblHR[[#This Row],[Age]]&lt;56,"46-55","56+"))))</f>
        <v>26-35</v>
      </c>
    </row>
    <row r="871" spans="1:37"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s="1">
        <v>19081</v>
      </c>
      <c r="T871">
        <v>10849</v>
      </c>
      <c r="U871">
        <v>5</v>
      </c>
      <c r="V871" t="s">
        <v>42</v>
      </c>
      <c r="W871" t="s">
        <v>43</v>
      </c>
      <c r="X871">
        <v>11</v>
      </c>
      <c r="Y871">
        <v>3</v>
      </c>
      <c r="Z871">
        <v>1</v>
      </c>
      <c r="AA871">
        <v>80</v>
      </c>
      <c r="AB871">
        <v>1</v>
      </c>
      <c r="AC871">
        <v>25</v>
      </c>
      <c r="AD871">
        <v>2</v>
      </c>
      <c r="AE871">
        <v>3</v>
      </c>
      <c r="AF871">
        <v>4</v>
      </c>
      <c r="AG871">
        <v>2</v>
      </c>
      <c r="AH871">
        <v>0</v>
      </c>
      <c r="AI871">
        <v>3</v>
      </c>
      <c r="AJ871" s="2">
        <f>IF(tblHR[[#This Row],[Attrition]]="Yes",1,0)</f>
        <v>0</v>
      </c>
      <c r="AK871" t="str">
        <f>IF(tblHR[[#This Row],[Age]]&lt;26,"18-25",IF(tblHR[[#This Row],[Age]]&lt;36,"26-35",IF(tblHR[[#This Row],[Age]]&lt;46,"36-45",IF(tblHR[[#This Row],[Age]]&lt;56,"46-55","56+"))))</f>
        <v>46-55</v>
      </c>
    </row>
    <row r="872" spans="1:37"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s="1">
        <v>8966</v>
      </c>
      <c r="T872">
        <v>21026</v>
      </c>
      <c r="U872">
        <v>3</v>
      </c>
      <c r="V872" t="s">
        <v>42</v>
      </c>
      <c r="W872" t="s">
        <v>35</v>
      </c>
      <c r="X872">
        <v>15</v>
      </c>
      <c r="Y872">
        <v>3</v>
      </c>
      <c r="Z872">
        <v>4</v>
      </c>
      <c r="AA872">
        <v>80</v>
      </c>
      <c r="AB872">
        <v>3</v>
      </c>
      <c r="AC872">
        <v>15</v>
      </c>
      <c r="AD872">
        <v>2</v>
      </c>
      <c r="AE872">
        <v>3</v>
      </c>
      <c r="AF872">
        <v>7</v>
      </c>
      <c r="AG872">
        <v>7</v>
      </c>
      <c r="AH872">
        <v>1</v>
      </c>
      <c r="AI872">
        <v>7</v>
      </c>
      <c r="AJ872" s="2">
        <f>IF(tblHR[[#This Row],[Attrition]]="Yes",1,0)</f>
        <v>0</v>
      </c>
      <c r="AK872" t="str">
        <f>IF(tblHR[[#This Row],[Age]]&lt;26,"18-25",IF(tblHR[[#This Row],[Age]]&lt;36,"26-35",IF(tblHR[[#This Row],[Age]]&lt;46,"36-45",IF(tblHR[[#This Row],[Age]]&lt;56,"46-55","56+"))))</f>
        <v>26-35</v>
      </c>
    </row>
    <row r="873" spans="1:37"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s="1">
        <v>2210</v>
      </c>
      <c r="T873">
        <v>3372</v>
      </c>
      <c r="U873">
        <v>1</v>
      </c>
      <c r="V873" t="s">
        <v>42</v>
      </c>
      <c r="W873" t="s">
        <v>43</v>
      </c>
      <c r="X873">
        <v>13</v>
      </c>
      <c r="Y873">
        <v>3</v>
      </c>
      <c r="Z873">
        <v>1</v>
      </c>
      <c r="AA873">
        <v>80</v>
      </c>
      <c r="AB873">
        <v>1</v>
      </c>
      <c r="AC873">
        <v>1</v>
      </c>
      <c r="AD873">
        <v>3</v>
      </c>
      <c r="AE873">
        <v>1</v>
      </c>
      <c r="AF873">
        <v>1</v>
      </c>
      <c r="AG873">
        <v>0</v>
      </c>
      <c r="AH873">
        <v>0</v>
      </c>
      <c r="AI873">
        <v>0</v>
      </c>
      <c r="AJ873" s="2">
        <f>IF(tblHR[[#This Row],[Attrition]]="Yes",1,0)</f>
        <v>1</v>
      </c>
      <c r="AK873" t="str">
        <f>IF(tblHR[[#This Row],[Age]]&lt;26,"18-25",IF(tblHR[[#This Row],[Age]]&lt;36,"26-35",IF(tblHR[[#This Row],[Age]]&lt;46,"36-45",IF(tblHR[[#This Row],[Age]]&lt;56,"46-55","56+"))))</f>
        <v>18-25</v>
      </c>
    </row>
    <row r="874" spans="1:37"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s="1">
        <v>4539</v>
      </c>
      <c r="T874">
        <v>4905</v>
      </c>
      <c r="U874">
        <v>1</v>
      </c>
      <c r="V874" t="s">
        <v>42</v>
      </c>
      <c r="W874" t="s">
        <v>43</v>
      </c>
      <c r="X874">
        <v>12</v>
      </c>
      <c r="Y874">
        <v>3</v>
      </c>
      <c r="Z874">
        <v>1</v>
      </c>
      <c r="AA874">
        <v>80</v>
      </c>
      <c r="AB874">
        <v>1</v>
      </c>
      <c r="AC874">
        <v>10</v>
      </c>
      <c r="AD874">
        <v>3</v>
      </c>
      <c r="AE874">
        <v>2</v>
      </c>
      <c r="AF874">
        <v>10</v>
      </c>
      <c r="AG874">
        <v>7</v>
      </c>
      <c r="AH874">
        <v>0</v>
      </c>
      <c r="AI874">
        <v>1</v>
      </c>
      <c r="AJ874" s="2">
        <f>IF(tblHR[[#This Row],[Attrition]]="Yes",1,0)</f>
        <v>0</v>
      </c>
      <c r="AK874" t="str">
        <f>IF(tblHR[[#This Row],[Age]]&lt;26,"18-25",IF(tblHR[[#This Row],[Age]]&lt;36,"26-35",IF(tblHR[[#This Row],[Age]]&lt;46,"36-45",IF(tblHR[[#This Row],[Age]]&lt;56,"46-55","56+"))))</f>
        <v>26-35</v>
      </c>
    </row>
    <row r="875" spans="1:37"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s="1">
        <v>2741</v>
      </c>
      <c r="T875">
        <v>6865</v>
      </c>
      <c r="U875">
        <v>1</v>
      </c>
      <c r="V875" t="s">
        <v>42</v>
      </c>
      <c r="W875" t="s">
        <v>43</v>
      </c>
      <c r="X875">
        <v>14</v>
      </c>
      <c r="Y875">
        <v>3</v>
      </c>
      <c r="Z875">
        <v>3</v>
      </c>
      <c r="AA875">
        <v>80</v>
      </c>
      <c r="AB875">
        <v>1</v>
      </c>
      <c r="AC875">
        <v>7</v>
      </c>
      <c r="AD875">
        <v>4</v>
      </c>
      <c r="AE875">
        <v>3</v>
      </c>
      <c r="AF875">
        <v>7</v>
      </c>
      <c r="AG875">
        <v>7</v>
      </c>
      <c r="AH875">
        <v>1</v>
      </c>
      <c r="AI875">
        <v>7</v>
      </c>
      <c r="AJ875" s="2">
        <f>IF(tblHR[[#This Row],[Attrition]]="Yes",1,0)</f>
        <v>0</v>
      </c>
      <c r="AK875" t="str">
        <f>IF(tblHR[[#This Row],[Age]]&lt;26,"18-25",IF(tblHR[[#This Row],[Age]]&lt;36,"26-35",IF(tblHR[[#This Row],[Age]]&lt;46,"36-45",IF(tblHR[[#This Row],[Age]]&lt;56,"46-55","56+"))))</f>
        <v>36-45</v>
      </c>
    </row>
    <row r="876" spans="1:37"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s="1">
        <v>3491</v>
      </c>
      <c r="T876">
        <v>11309</v>
      </c>
      <c r="U876">
        <v>1</v>
      </c>
      <c r="V876" t="s">
        <v>42</v>
      </c>
      <c r="W876" t="s">
        <v>43</v>
      </c>
      <c r="X876">
        <v>13</v>
      </c>
      <c r="Y876">
        <v>3</v>
      </c>
      <c r="Z876">
        <v>1</v>
      </c>
      <c r="AA876">
        <v>80</v>
      </c>
      <c r="AB876">
        <v>3</v>
      </c>
      <c r="AC876">
        <v>10</v>
      </c>
      <c r="AD876">
        <v>4</v>
      </c>
      <c r="AE876">
        <v>2</v>
      </c>
      <c r="AF876">
        <v>10</v>
      </c>
      <c r="AG876">
        <v>7</v>
      </c>
      <c r="AH876">
        <v>8</v>
      </c>
      <c r="AI876">
        <v>9</v>
      </c>
      <c r="AJ876" s="2">
        <f>IF(tblHR[[#This Row],[Attrition]]="Yes",1,0)</f>
        <v>0</v>
      </c>
      <c r="AK876" t="str">
        <f>IF(tblHR[[#This Row],[Age]]&lt;26,"18-25",IF(tblHR[[#This Row],[Age]]&lt;36,"26-35",IF(tblHR[[#This Row],[Age]]&lt;46,"36-45",IF(tblHR[[#This Row],[Age]]&lt;56,"46-55","56+"))))</f>
        <v>26-35</v>
      </c>
    </row>
    <row r="877" spans="1:37"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s="1">
        <v>4541</v>
      </c>
      <c r="T877">
        <v>7744</v>
      </c>
      <c r="U877">
        <v>1</v>
      </c>
      <c r="V877" t="s">
        <v>42</v>
      </c>
      <c r="W877" t="s">
        <v>43</v>
      </c>
      <c r="X877">
        <v>25</v>
      </c>
      <c r="Y877">
        <v>4</v>
      </c>
      <c r="Z877">
        <v>2</v>
      </c>
      <c r="AA877">
        <v>80</v>
      </c>
      <c r="AB877">
        <v>0</v>
      </c>
      <c r="AC877">
        <v>20</v>
      </c>
      <c r="AD877">
        <v>3</v>
      </c>
      <c r="AE877">
        <v>3</v>
      </c>
      <c r="AF877">
        <v>20</v>
      </c>
      <c r="AG877">
        <v>11</v>
      </c>
      <c r="AH877">
        <v>13</v>
      </c>
      <c r="AI877">
        <v>17</v>
      </c>
      <c r="AJ877" s="2">
        <f>IF(tblHR[[#This Row],[Attrition]]="Yes",1,0)</f>
        <v>0</v>
      </c>
      <c r="AK877" t="str">
        <f>IF(tblHR[[#This Row],[Age]]&lt;26,"18-25",IF(tblHR[[#This Row],[Age]]&lt;36,"26-35",IF(tblHR[[#This Row],[Age]]&lt;46,"36-45",IF(tblHR[[#This Row],[Age]]&lt;56,"46-55","56+"))))</f>
        <v>36-45</v>
      </c>
    </row>
    <row r="878" spans="1:37"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s="1">
        <v>2678</v>
      </c>
      <c r="T878">
        <v>5050</v>
      </c>
      <c r="U878">
        <v>1</v>
      </c>
      <c r="V878" t="s">
        <v>42</v>
      </c>
      <c r="W878" t="s">
        <v>43</v>
      </c>
      <c r="X878">
        <v>17</v>
      </c>
      <c r="Y878">
        <v>3</v>
      </c>
      <c r="Z878">
        <v>4</v>
      </c>
      <c r="AA878">
        <v>80</v>
      </c>
      <c r="AB878">
        <v>0</v>
      </c>
      <c r="AC878">
        <v>2</v>
      </c>
      <c r="AD878">
        <v>2</v>
      </c>
      <c r="AE878">
        <v>3</v>
      </c>
      <c r="AF878">
        <v>2</v>
      </c>
      <c r="AG878">
        <v>1</v>
      </c>
      <c r="AH878">
        <v>2</v>
      </c>
      <c r="AI878">
        <v>2</v>
      </c>
      <c r="AJ878" s="2">
        <f>IF(tblHR[[#This Row],[Attrition]]="Yes",1,0)</f>
        <v>0</v>
      </c>
      <c r="AK878" t="str">
        <f>IF(tblHR[[#This Row],[Age]]&lt;26,"18-25",IF(tblHR[[#This Row],[Age]]&lt;36,"26-35",IF(tblHR[[#This Row],[Age]]&lt;46,"36-45",IF(tblHR[[#This Row],[Age]]&lt;56,"46-55","56+"))))</f>
        <v>18-25</v>
      </c>
    </row>
    <row r="879" spans="1:37"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s="1">
        <v>7379</v>
      </c>
      <c r="T879">
        <v>17433</v>
      </c>
      <c r="U879">
        <v>2</v>
      </c>
      <c r="V879" t="s">
        <v>42</v>
      </c>
      <c r="W879" t="s">
        <v>43</v>
      </c>
      <c r="X879">
        <v>11</v>
      </c>
      <c r="Y879">
        <v>3</v>
      </c>
      <c r="Z879">
        <v>3</v>
      </c>
      <c r="AA879">
        <v>80</v>
      </c>
      <c r="AB879">
        <v>1</v>
      </c>
      <c r="AC879">
        <v>12</v>
      </c>
      <c r="AD879">
        <v>3</v>
      </c>
      <c r="AE879">
        <v>2</v>
      </c>
      <c r="AF879">
        <v>6</v>
      </c>
      <c r="AG879">
        <v>3</v>
      </c>
      <c r="AH879">
        <v>1</v>
      </c>
      <c r="AI879">
        <v>4</v>
      </c>
      <c r="AJ879" s="2">
        <f>IF(tblHR[[#This Row],[Attrition]]="Yes",1,0)</f>
        <v>0</v>
      </c>
      <c r="AK879" t="str">
        <f>IF(tblHR[[#This Row],[Age]]&lt;26,"18-25",IF(tblHR[[#This Row],[Age]]&lt;36,"26-35",IF(tblHR[[#This Row],[Age]]&lt;46,"36-45",IF(tblHR[[#This Row],[Age]]&lt;56,"46-55","56+"))))</f>
        <v>46-55</v>
      </c>
    </row>
    <row r="880" spans="1:37"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s="1">
        <v>6272</v>
      </c>
      <c r="T880">
        <v>12858</v>
      </c>
      <c r="U880">
        <v>7</v>
      </c>
      <c r="V880" t="s">
        <v>42</v>
      </c>
      <c r="W880" t="s">
        <v>43</v>
      </c>
      <c r="X880">
        <v>16</v>
      </c>
      <c r="Y880">
        <v>3</v>
      </c>
      <c r="Z880">
        <v>1</v>
      </c>
      <c r="AA880">
        <v>80</v>
      </c>
      <c r="AB880">
        <v>1</v>
      </c>
      <c r="AC880">
        <v>10</v>
      </c>
      <c r="AD880">
        <v>3</v>
      </c>
      <c r="AE880">
        <v>4</v>
      </c>
      <c r="AF880">
        <v>4</v>
      </c>
      <c r="AG880">
        <v>3</v>
      </c>
      <c r="AH880">
        <v>0</v>
      </c>
      <c r="AI880">
        <v>3</v>
      </c>
      <c r="AJ880" s="2">
        <f>IF(tblHR[[#This Row],[Attrition]]="Yes",1,0)</f>
        <v>0</v>
      </c>
      <c r="AK880" t="str">
        <f>IF(tblHR[[#This Row],[Age]]&lt;26,"18-25",IF(tblHR[[#This Row],[Age]]&lt;36,"26-35",IF(tblHR[[#This Row],[Age]]&lt;46,"36-45",IF(tblHR[[#This Row],[Age]]&lt;56,"46-55","56+"))))</f>
        <v>36-45</v>
      </c>
    </row>
    <row r="881" spans="1:37"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s="1">
        <v>5220</v>
      </c>
      <c r="T881">
        <v>10893</v>
      </c>
      <c r="U881">
        <v>0</v>
      </c>
      <c r="V881" t="s">
        <v>42</v>
      </c>
      <c r="W881" t="s">
        <v>35</v>
      </c>
      <c r="X881">
        <v>18</v>
      </c>
      <c r="Y881">
        <v>3</v>
      </c>
      <c r="Z881">
        <v>2</v>
      </c>
      <c r="AA881">
        <v>80</v>
      </c>
      <c r="AB881">
        <v>1</v>
      </c>
      <c r="AC881">
        <v>12</v>
      </c>
      <c r="AD881">
        <v>3</v>
      </c>
      <c r="AE881">
        <v>3</v>
      </c>
      <c r="AF881">
        <v>11</v>
      </c>
      <c r="AG881">
        <v>7</v>
      </c>
      <c r="AH881">
        <v>1</v>
      </c>
      <c r="AI881">
        <v>9</v>
      </c>
      <c r="AJ881" s="2">
        <f>IF(tblHR[[#This Row],[Attrition]]="Yes",1,0)</f>
        <v>0</v>
      </c>
      <c r="AK881" t="str">
        <f>IF(tblHR[[#This Row],[Age]]&lt;26,"18-25",IF(tblHR[[#This Row],[Age]]&lt;36,"26-35",IF(tblHR[[#This Row],[Age]]&lt;46,"36-45",IF(tblHR[[#This Row],[Age]]&lt;56,"46-55","56+"))))</f>
        <v>56+</v>
      </c>
    </row>
    <row r="882" spans="1:37"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s="1">
        <v>2743</v>
      </c>
      <c r="T882">
        <v>7331</v>
      </c>
      <c r="U882">
        <v>1</v>
      </c>
      <c r="V882" t="s">
        <v>42</v>
      </c>
      <c r="W882" t="s">
        <v>43</v>
      </c>
      <c r="X882">
        <v>20</v>
      </c>
      <c r="Y882">
        <v>4</v>
      </c>
      <c r="Z882">
        <v>3</v>
      </c>
      <c r="AA882">
        <v>80</v>
      </c>
      <c r="AB882">
        <v>1</v>
      </c>
      <c r="AC882">
        <v>2</v>
      </c>
      <c r="AD882">
        <v>2</v>
      </c>
      <c r="AE882">
        <v>3</v>
      </c>
      <c r="AF882">
        <v>2</v>
      </c>
      <c r="AG882">
        <v>2</v>
      </c>
      <c r="AH882">
        <v>2</v>
      </c>
      <c r="AI882">
        <v>2</v>
      </c>
      <c r="AJ882" s="2">
        <f>IF(tblHR[[#This Row],[Attrition]]="Yes",1,0)</f>
        <v>0</v>
      </c>
      <c r="AK882" t="str">
        <f>IF(tblHR[[#This Row],[Age]]&lt;26,"18-25",IF(tblHR[[#This Row],[Age]]&lt;36,"26-35",IF(tblHR[[#This Row],[Age]]&lt;46,"36-45",IF(tblHR[[#This Row],[Age]]&lt;56,"46-55","56+"))))</f>
        <v>26-35</v>
      </c>
    </row>
    <row r="883" spans="1:37"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s="1">
        <v>4998</v>
      </c>
      <c r="T883">
        <v>2338</v>
      </c>
      <c r="U883">
        <v>4</v>
      </c>
      <c r="V883" t="s">
        <v>42</v>
      </c>
      <c r="W883" t="s">
        <v>35</v>
      </c>
      <c r="X883">
        <v>14</v>
      </c>
      <c r="Y883">
        <v>3</v>
      </c>
      <c r="Z883">
        <v>4</v>
      </c>
      <c r="AA883">
        <v>80</v>
      </c>
      <c r="AB883">
        <v>0</v>
      </c>
      <c r="AC883">
        <v>10</v>
      </c>
      <c r="AD883">
        <v>2</v>
      </c>
      <c r="AE883">
        <v>3</v>
      </c>
      <c r="AF883">
        <v>8</v>
      </c>
      <c r="AG883">
        <v>7</v>
      </c>
      <c r="AH883">
        <v>0</v>
      </c>
      <c r="AI883">
        <v>7</v>
      </c>
      <c r="AJ883" s="2">
        <f>IF(tblHR[[#This Row],[Attrition]]="Yes",1,0)</f>
        <v>0</v>
      </c>
      <c r="AK883" t="str">
        <f>IF(tblHR[[#This Row],[Age]]&lt;26,"18-25",IF(tblHR[[#This Row],[Age]]&lt;36,"26-35",IF(tblHR[[#This Row],[Age]]&lt;46,"36-45",IF(tblHR[[#This Row],[Age]]&lt;56,"46-55","56+"))))</f>
        <v>26-35</v>
      </c>
    </row>
    <row r="884" spans="1:37"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s="1">
        <v>10252</v>
      </c>
      <c r="T884">
        <v>4235</v>
      </c>
      <c r="U884">
        <v>2</v>
      </c>
      <c r="V884" t="s">
        <v>42</v>
      </c>
      <c r="W884" t="s">
        <v>35</v>
      </c>
      <c r="X884">
        <v>21</v>
      </c>
      <c r="Y884">
        <v>4</v>
      </c>
      <c r="Z884">
        <v>3</v>
      </c>
      <c r="AA884">
        <v>80</v>
      </c>
      <c r="AB884">
        <v>1</v>
      </c>
      <c r="AC884">
        <v>17</v>
      </c>
      <c r="AD884">
        <v>2</v>
      </c>
      <c r="AE884">
        <v>3</v>
      </c>
      <c r="AF884">
        <v>7</v>
      </c>
      <c r="AG884">
        <v>7</v>
      </c>
      <c r="AH884">
        <v>7</v>
      </c>
      <c r="AI884">
        <v>7</v>
      </c>
      <c r="AJ884" s="2">
        <f>IF(tblHR[[#This Row],[Attrition]]="Yes",1,0)</f>
        <v>0</v>
      </c>
      <c r="AK884" t="str">
        <f>IF(tblHR[[#This Row],[Age]]&lt;26,"18-25",IF(tblHR[[#This Row],[Age]]&lt;36,"26-35",IF(tblHR[[#This Row],[Age]]&lt;46,"36-45",IF(tblHR[[#This Row],[Age]]&lt;56,"46-55","56+"))))</f>
        <v>36-45</v>
      </c>
    </row>
    <row r="885" spans="1:37"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s="1">
        <v>2781</v>
      </c>
      <c r="T885">
        <v>6311</v>
      </c>
      <c r="U885">
        <v>0</v>
      </c>
      <c r="V885" t="s">
        <v>42</v>
      </c>
      <c r="W885" t="s">
        <v>43</v>
      </c>
      <c r="X885">
        <v>13</v>
      </c>
      <c r="Y885">
        <v>3</v>
      </c>
      <c r="Z885">
        <v>2</v>
      </c>
      <c r="AA885">
        <v>80</v>
      </c>
      <c r="AB885">
        <v>1</v>
      </c>
      <c r="AC885">
        <v>15</v>
      </c>
      <c r="AD885">
        <v>5</v>
      </c>
      <c r="AE885">
        <v>3</v>
      </c>
      <c r="AF885">
        <v>14</v>
      </c>
      <c r="AG885">
        <v>10</v>
      </c>
      <c r="AH885">
        <v>4</v>
      </c>
      <c r="AI885">
        <v>10</v>
      </c>
      <c r="AJ885" s="2">
        <f>IF(tblHR[[#This Row],[Attrition]]="Yes",1,0)</f>
        <v>0</v>
      </c>
      <c r="AK885" t="str">
        <f>IF(tblHR[[#This Row],[Age]]&lt;26,"18-25",IF(tblHR[[#This Row],[Age]]&lt;36,"26-35",IF(tblHR[[#This Row],[Age]]&lt;46,"36-45",IF(tblHR[[#This Row],[Age]]&lt;56,"46-55","56+"))))</f>
        <v>26-35</v>
      </c>
    </row>
    <row r="886" spans="1:37"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s="1">
        <v>6852</v>
      </c>
      <c r="T886">
        <v>11591</v>
      </c>
      <c r="U886">
        <v>7</v>
      </c>
      <c r="V886" t="s">
        <v>42</v>
      </c>
      <c r="W886" t="s">
        <v>43</v>
      </c>
      <c r="X886">
        <v>12</v>
      </c>
      <c r="Y886">
        <v>3</v>
      </c>
      <c r="Z886">
        <v>2</v>
      </c>
      <c r="AA886">
        <v>80</v>
      </c>
      <c r="AB886">
        <v>1</v>
      </c>
      <c r="AC886">
        <v>7</v>
      </c>
      <c r="AD886">
        <v>2</v>
      </c>
      <c r="AE886">
        <v>4</v>
      </c>
      <c r="AF886">
        <v>5</v>
      </c>
      <c r="AG886">
        <v>1</v>
      </c>
      <c r="AH886">
        <v>1</v>
      </c>
      <c r="AI886">
        <v>3</v>
      </c>
      <c r="AJ886" s="2">
        <f>IF(tblHR[[#This Row],[Attrition]]="Yes",1,0)</f>
        <v>0</v>
      </c>
      <c r="AK886" t="str">
        <f>IF(tblHR[[#This Row],[Age]]&lt;26,"18-25",IF(tblHR[[#This Row],[Age]]&lt;36,"26-35",IF(tblHR[[#This Row],[Age]]&lt;46,"36-45",IF(tblHR[[#This Row],[Age]]&lt;56,"46-55","56+"))))</f>
        <v>36-45</v>
      </c>
    </row>
    <row r="887" spans="1:37"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s="1">
        <v>4950</v>
      </c>
      <c r="T887">
        <v>20623</v>
      </c>
      <c r="U887">
        <v>0</v>
      </c>
      <c r="V887" t="s">
        <v>42</v>
      </c>
      <c r="W887" t="s">
        <v>43</v>
      </c>
      <c r="X887">
        <v>14</v>
      </c>
      <c r="Y887">
        <v>3</v>
      </c>
      <c r="Z887">
        <v>2</v>
      </c>
      <c r="AA887">
        <v>80</v>
      </c>
      <c r="AB887">
        <v>0</v>
      </c>
      <c r="AC887">
        <v>5</v>
      </c>
      <c r="AD887">
        <v>4</v>
      </c>
      <c r="AE887">
        <v>3</v>
      </c>
      <c r="AF887">
        <v>4</v>
      </c>
      <c r="AG887">
        <v>3</v>
      </c>
      <c r="AH887">
        <v>1</v>
      </c>
      <c r="AI887">
        <v>1</v>
      </c>
      <c r="AJ887" s="2">
        <f>IF(tblHR[[#This Row],[Attrition]]="Yes",1,0)</f>
        <v>0</v>
      </c>
      <c r="AK887" t="str">
        <f>IF(tblHR[[#This Row],[Age]]&lt;26,"18-25",IF(tblHR[[#This Row],[Age]]&lt;36,"26-35",IF(tblHR[[#This Row],[Age]]&lt;46,"36-45",IF(tblHR[[#This Row],[Age]]&lt;56,"46-55","56+"))))</f>
        <v>18-25</v>
      </c>
    </row>
    <row r="888" spans="1:37"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s="1">
        <v>3579</v>
      </c>
      <c r="T888">
        <v>9369</v>
      </c>
      <c r="U888">
        <v>0</v>
      </c>
      <c r="V888" t="s">
        <v>42</v>
      </c>
      <c r="W888" t="s">
        <v>35</v>
      </c>
      <c r="X888">
        <v>21</v>
      </c>
      <c r="Y888">
        <v>4</v>
      </c>
      <c r="Z888">
        <v>1</v>
      </c>
      <c r="AA888">
        <v>80</v>
      </c>
      <c r="AB888">
        <v>1</v>
      </c>
      <c r="AC888">
        <v>12</v>
      </c>
      <c r="AD888">
        <v>2</v>
      </c>
      <c r="AE888">
        <v>3</v>
      </c>
      <c r="AF888">
        <v>11</v>
      </c>
      <c r="AG888">
        <v>9</v>
      </c>
      <c r="AH888">
        <v>5</v>
      </c>
      <c r="AI888">
        <v>7</v>
      </c>
      <c r="AJ888" s="2">
        <f>IF(tblHR[[#This Row],[Attrition]]="Yes",1,0)</f>
        <v>0</v>
      </c>
      <c r="AK888" t="str">
        <f>IF(tblHR[[#This Row],[Age]]&lt;26,"18-25",IF(tblHR[[#This Row],[Age]]&lt;36,"26-35",IF(tblHR[[#This Row],[Age]]&lt;46,"36-45",IF(tblHR[[#This Row],[Age]]&lt;56,"46-55","56+"))))</f>
        <v>26-35</v>
      </c>
    </row>
    <row r="889" spans="1:37"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s="1">
        <v>13191</v>
      </c>
      <c r="T889">
        <v>23281</v>
      </c>
      <c r="U889">
        <v>3</v>
      </c>
      <c r="V889" t="s">
        <v>42</v>
      </c>
      <c r="W889" t="s">
        <v>35</v>
      </c>
      <c r="X889">
        <v>17</v>
      </c>
      <c r="Y889">
        <v>3</v>
      </c>
      <c r="Z889">
        <v>3</v>
      </c>
      <c r="AA889">
        <v>80</v>
      </c>
      <c r="AB889">
        <v>0</v>
      </c>
      <c r="AC889">
        <v>20</v>
      </c>
      <c r="AD889">
        <v>6</v>
      </c>
      <c r="AE889">
        <v>3</v>
      </c>
      <c r="AF889">
        <v>1</v>
      </c>
      <c r="AG889">
        <v>0</v>
      </c>
      <c r="AH889">
        <v>0</v>
      </c>
      <c r="AI889">
        <v>0</v>
      </c>
      <c r="AJ889" s="2">
        <f>IF(tblHR[[#This Row],[Attrition]]="Yes",1,0)</f>
        <v>0</v>
      </c>
      <c r="AK889" t="str">
        <f>IF(tblHR[[#This Row],[Age]]&lt;26,"18-25",IF(tblHR[[#This Row],[Age]]&lt;36,"26-35",IF(tblHR[[#This Row],[Age]]&lt;46,"36-45",IF(tblHR[[#This Row],[Age]]&lt;56,"46-55","56+"))))</f>
        <v>36-45</v>
      </c>
    </row>
    <row r="890" spans="1:37"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s="1">
        <v>10377</v>
      </c>
      <c r="T890">
        <v>13755</v>
      </c>
      <c r="U890">
        <v>4</v>
      </c>
      <c r="V890" t="s">
        <v>42</v>
      </c>
      <c r="W890" t="s">
        <v>35</v>
      </c>
      <c r="X890">
        <v>11</v>
      </c>
      <c r="Y890">
        <v>3</v>
      </c>
      <c r="Z890">
        <v>2</v>
      </c>
      <c r="AA890">
        <v>80</v>
      </c>
      <c r="AB890">
        <v>1</v>
      </c>
      <c r="AC890">
        <v>16</v>
      </c>
      <c r="AD890">
        <v>6</v>
      </c>
      <c r="AE890">
        <v>2</v>
      </c>
      <c r="AF890">
        <v>13</v>
      </c>
      <c r="AG890">
        <v>2</v>
      </c>
      <c r="AH890">
        <v>4</v>
      </c>
      <c r="AI890">
        <v>12</v>
      </c>
      <c r="AJ890" s="2">
        <f>IF(tblHR[[#This Row],[Attrition]]="Yes",1,0)</f>
        <v>0</v>
      </c>
      <c r="AK890" t="str">
        <f>IF(tblHR[[#This Row],[Age]]&lt;26,"18-25",IF(tblHR[[#This Row],[Age]]&lt;36,"26-35",IF(tblHR[[#This Row],[Age]]&lt;46,"36-45",IF(tblHR[[#This Row],[Age]]&lt;56,"46-55","56+"))))</f>
        <v>26-35</v>
      </c>
    </row>
    <row r="891" spans="1:37"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s="1">
        <v>2235</v>
      </c>
      <c r="T891">
        <v>14377</v>
      </c>
      <c r="U891">
        <v>1</v>
      </c>
      <c r="V891" t="s">
        <v>42</v>
      </c>
      <c r="W891" t="s">
        <v>35</v>
      </c>
      <c r="X891">
        <v>14</v>
      </c>
      <c r="Y891">
        <v>3</v>
      </c>
      <c r="Z891">
        <v>4</v>
      </c>
      <c r="AA891">
        <v>80</v>
      </c>
      <c r="AB891">
        <v>2</v>
      </c>
      <c r="AC891">
        <v>9</v>
      </c>
      <c r="AD891">
        <v>3</v>
      </c>
      <c r="AE891">
        <v>2</v>
      </c>
      <c r="AF891">
        <v>9</v>
      </c>
      <c r="AG891">
        <v>7</v>
      </c>
      <c r="AH891">
        <v>6</v>
      </c>
      <c r="AI891">
        <v>8</v>
      </c>
      <c r="AJ891" s="2">
        <f>IF(tblHR[[#This Row],[Attrition]]="Yes",1,0)</f>
        <v>0</v>
      </c>
      <c r="AK891" t="str">
        <f>IF(tblHR[[#This Row],[Age]]&lt;26,"18-25",IF(tblHR[[#This Row],[Age]]&lt;36,"26-35",IF(tblHR[[#This Row],[Age]]&lt;46,"36-45",IF(tblHR[[#This Row],[Age]]&lt;56,"46-55","56+"))))</f>
        <v>26-35</v>
      </c>
    </row>
    <row r="892" spans="1:37"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s="1">
        <v>10502</v>
      </c>
      <c r="T892">
        <v>9659</v>
      </c>
      <c r="U892">
        <v>7</v>
      </c>
      <c r="V892" t="s">
        <v>42</v>
      </c>
      <c r="W892" t="s">
        <v>43</v>
      </c>
      <c r="X892">
        <v>17</v>
      </c>
      <c r="Y892">
        <v>3</v>
      </c>
      <c r="Z892">
        <v>1</v>
      </c>
      <c r="AA892">
        <v>80</v>
      </c>
      <c r="AB892">
        <v>1</v>
      </c>
      <c r="AC892">
        <v>33</v>
      </c>
      <c r="AD892">
        <v>2</v>
      </c>
      <c r="AE892">
        <v>1</v>
      </c>
      <c r="AF892">
        <v>5</v>
      </c>
      <c r="AG892">
        <v>4</v>
      </c>
      <c r="AH892">
        <v>1</v>
      </c>
      <c r="AI892">
        <v>4</v>
      </c>
      <c r="AJ892" s="2">
        <f>IF(tblHR[[#This Row],[Attrition]]="Yes",1,0)</f>
        <v>0</v>
      </c>
      <c r="AK892" t="str">
        <f>IF(tblHR[[#This Row],[Age]]&lt;26,"18-25",IF(tblHR[[#This Row],[Age]]&lt;36,"26-35",IF(tblHR[[#This Row],[Age]]&lt;46,"36-45",IF(tblHR[[#This Row],[Age]]&lt;56,"46-55","56+"))))</f>
        <v>46-55</v>
      </c>
    </row>
    <row r="893" spans="1:37"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s="1">
        <v>2011</v>
      </c>
      <c r="T893">
        <v>19982</v>
      </c>
      <c r="U893">
        <v>1</v>
      </c>
      <c r="V893" t="s">
        <v>42</v>
      </c>
      <c r="W893" t="s">
        <v>43</v>
      </c>
      <c r="X893">
        <v>13</v>
      </c>
      <c r="Y893">
        <v>3</v>
      </c>
      <c r="Z893">
        <v>4</v>
      </c>
      <c r="AA893">
        <v>80</v>
      </c>
      <c r="AB893">
        <v>1</v>
      </c>
      <c r="AC893">
        <v>10</v>
      </c>
      <c r="AD893">
        <v>5</v>
      </c>
      <c r="AE893">
        <v>3</v>
      </c>
      <c r="AF893">
        <v>10</v>
      </c>
      <c r="AG893">
        <v>5</v>
      </c>
      <c r="AH893">
        <v>7</v>
      </c>
      <c r="AI893">
        <v>7</v>
      </c>
      <c r="AJ893" s="2">
        <f>IF(tblHR[[#This Row],[Attrition]]="Yes",1,0)</f>
        <v>0</v>
      </c>
      <c r="AK893" t="str">
        <f>IF(tblHR[[#This Row],[Age]]&lt;26,"18-25",IF(tblHR[[#This Row],[Age]]&lt;36,"26-35",IF(tblHR[[#This Row],[Age]]&lt;46,"36-45",IF(tblHR[[#This Row],[Age]]&lt;56,"46-55","56+"))))</f>
        <v>36-45</v>
      </c>
    </row>
    <row r="894" spans="1:37"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s="1">
        <v>1859</v>
      </c>
      <c r="T894">
        <v>6148</v>
      </c>
      <c r="U894">
        <v>1</v>
      </c>
      <c r="V894" t="s">
        <v>42</v>
      </c>
      <c r="W894" t="s">
        <v>35</v>
      </c>
      <c r="X894">
        <v>25</v>
      </c>
      <c r="Y894">
        <v>4</v>
      </c>
      <c r="Z894">
        <v>2</v>
      </c>
      <c r="AA894">
        <v>80</v>
      </c>
      <c r="AB894">
        <v>0</v>
      </c>
      <c r="AC894">
        <v>1</v>
      </c>
      <c r="AD894">
        <v>2</v>
      </c>
      <c r="AE894">
        <v>4</v>
      </c>
      <c r="AF894">
        <v>1</v>
      </c>
      <c r="AG894">
        <v>1</v>
      </c>
      <c r="AH894">
        <v>0</v>
      </c>
      <c r="AI894">
        <v>0</v>
      </c>
      <c r="AJ894" s="2">
        <f>IF(tblHR[[#This Row],[Attrition]]="Yes",1,0)</f>
        <v>1</v>
      </c>
      <c r="AK894" t="str">
        <f>IF(tblHR[[#This Row],[Age]]&lt;26,"18-25",IF(tblHR[[#This Row],[Age]]&lt;36,"26-35",IF(tblHR[[#This Row],[Age]]&lt;46,"36-45",IF(tblHR[[#This Row],[Age]]&lt;56,"46-55","56+"))))</f>
        <v>18-25</v>
      </c>
    </row>
    <row r="895" spans="1:37"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s="1">
        <v>3760</v>
      </c>
      <c r="T895">
        <v>5598</v>
      </c>
      <c r="U895">
        <v>1</v>
      </c>
      <c r="V895" t="s">
        <v>42</v>
      </c>
      <c r="W895" t="s">
        <v>43</v>
      </c>
      <c r="X895">
        <v>15</v>
      </c>
      <c r="Y895">
        <v>3</v>
      </c>
      <c r="Z895">
        <v>1</v>
      </c>
      <c r="AA895">
        <v>80</v>
      </c>
      <c r="AB895">
        <v>3</v>
      </c>
      <c r="AC895">
        <v>3</v>
      </c>
      <c r="AD895">
        <v>5</v>
      </c>
      <c r="AE895">
        <v>3</v>
      </c>
      <c r="AF895">
        <v>3</v>
      </c>
      <c r="AG895">
        <v>2</v>
      </c>
      <c r="AH895">
        <v>1</v>
      </c>
      <c r="AI895">
        <v>2</v>
      </c>
      <c r="AJ895" s="2">
        <f>IF(tblHR[[#This Row],[Attrition]]="Yes",1,0)</f>
        <v>0</v>
      </c>
      <c r="AK895" t="str">
        <f>IF(tblHR[[#This Row],[Age]]&lt;26,"18-25",IF(tblHR[[#This Row],[Age]]&lt;36,"26-35",IF(tblHR[[#This Row],[Age]]&lt;46,"36-45",IF(tblHR[[#This Row],[Age]]&lt;56,"46-55","56+"))))</f>
        <v>26-35</v>
      </c>
    </row>
    <row r="896" spans="1:37"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s="1">
        <v>17779</v>
      </c>
      <c r="T896">
        <v>23474</v>
      </c>
      <c r="U896">
        <v>3</v>
      </c>
      <c r="V896" t="s">
        <v>42</v>
      </c>
      <c r="W896" t="s">
        <v>43</v>
      </c>
      <c r="X896">
        <v>14</v>
      </c>
      <c r="Y896">
        <v>3</v>
      </c>
      <c r="Z896">
        <v>1</v>
      </c>
      <c r="AA896">
        <v>80</v>
      </c>
      <c r="AB896">
        <v>0</v>
      </c>
      <c r="AC896">
        <v>36</v>
      </c>
      <c r="AD896">
        <v>2</v>
      </c>
      <c r="AE896">
        <v>3</v>
      </c>
      <c r="AF896">
        <v>10</v>
      </c>
      <c r="AG896">
        <v>9</v>
      </c>
      <c r="AH896">
        <v>0</v>
      </c>
      <c r="AI896">
        <v>9</v>
      </c>
      <c r="AJ896" s="2">
        <f>IF(tblHR[[#This Row],[Attrition]]="Yes",1,0)</f>
        <v>0</v>
      </c>
      <c r="AK896" t="str">
        <f>IF(tblHR[[#This Row],[Age]]&lt;26,"18-25",IF(tblHR[[#This Row],[Age]]&lt;36,"26-35",IF(tblHR[[#This Row],[Age]]&lt;46,"36-45",IF(tblHR[[#This Row],[Age]]&lt;56,"46-55","56+"))))</f>
        <v>46-55</v>
      </c>
    </row>
    <row r="897" spans="1:37"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s="1">
        <v>6833</v>
      </c>
      <c r="T897">
        <v>17089</v>
      </c>
      <c r="U897">
        <v>1</v>
      </c>
      <c r="V897" t="s">
        <v>42</v>
      </c>
      <c r="W897" t="s">
        <v>35</v>
      </c>
      <c r="X897">
        <v>12</v>
      </c>
      <c r="Y897">
        <v>3</v>
      </c>
      <c r="Z897">
        <v>4</v>
      </c>
      <c r="AA897">
        <v>80</v>
      </c>
      <c r="AB897">
        <v>0</v>
      </c>
      <c r="AC897">
        <v>6</v>
      </c>
      <c r="AD897">
        <v>2</v>
      </c>
      <c r="AE897">
        <v>2</v>
      </c>
      <c r="AF897">
        <v>6</v>
      </c>
      <c r="AG897">
        <v>5</v>
      </c>
      <c r="AH897">
        <v>0</v>
      </c>
      <c r="AI897">
        <v>1</v>
      </c>
      <c r="AJ897" s="2">
        <f>IF(tblHR[[#This Row],[Attrition]]="Yes",1,0)</f>
        <v>0</v>
      </c>
      <c r="AK897" t="str">
        <f>IF(tblHR[[#This Row],[Age]]&lt;26,"18-25",IF(tblHR[[#This Row],[Age]]&lt;36,"26-35",IF(tblHR[[#This Row],[Age]]&lt;46,"36-45",IF(tblHR[[#This Row],[Age]]&lt;56,"46-55","56+"))))</f>
        <v>26-35</v>
      </c>
    </row>
    <row r="898" spans="1:37"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s="1">
        <v>6812</v>
      </c>
      <c r="T898">
        <v>17198</v>
      </c>
      <c r="U898">
        <v>1</v>
      </c>
      <c r="V898" t="s">
        <v>42</v>
      </c>
      <c r="W898" t="s">
        <v>43</v>
      </c>
      <c r="X898">
        <v>19</v>
      </c>
      <c r="Y898">
        <v>3</v>
      </c>
      <c r="Z898">
        <v>2</v>
      </c>
      <c r="AA898">
        <v>80</v>
      </c>
      <c r="AB898">
        <v>0</v>
      </c>
      <c r="AC898">
        <v>10</v>
      </c>
      <c r="AD898">
        <v>2</v>
      </c>
      <c r="AE898">
        <v>3</v>
      </c>
      <c r="AF898">
        <v>10</v>
      </c>
      <c r="AG898">
        <v>9</v>
      </c>
      <c r="AH898">
        <v>1</v>
      </c>
      <c r="AI898">
        <v>8</v>
      </c>
      <c r="AJ898" s="2">
        <f>IF(tblHR[[#This Row],[Attrition]]="Yes",1,0)</f>
        <v>0</v>
      </c>
      <c r="AK898" t="str">
        <f>IF(tblHR[[#This Row],[Age]]&lt;26,"18-25",IF(tblHR[[#This Row],[Age]]&lt;36,"26-35",IF(tblHR[[#This Row],[Age]]&lt;46,"36-45",IF(tblHR[[#This Row],[Age]]&lt;56,"46-55","56+"))))</f>
        <v>26-35</v>
      </c>
    </row>
    <row r="899" spans="1:37"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s="1">
        <v>5171</v>
      </c>
      <c r="T899">
        <v>16490</v>
      </c>
      <c r="U899">
        <v>5</v>
      </c>
      <c r="V899" t="s">
        <v>42</v>
      </c>
      <c r="W899" t="s">
        <v>43</v>
      </c>
      <c r="X899">
        <v>17</v>
      </c>
      <c r="Y899">
        <v>3</v>
      </c>
      <c r="Z899">
        <v>4</v>
      </c>
      <c r="AA899">
        <v>80</v>
      </c>
      <c r="AB899">
        <v>0</v>
      </c>
      <c r="AC899">
        <v>13</v>
      </c>
      <c r="AD899">
        <v>2</v>
      </c>
      <c r="AE899">
        <v>3</v>
      </c>
      <c r="AF899">
        <v>6</v>
      </c>
      <c r="AG899">
        <v>1</v>
      </c>
      <c r="AH899">
        <v>0</v>
      </c>
      <c r="AI899">
        <v>5</v>
      </c>
      <c r="AJ899" s="2">
        <f>IF(tblHR[[#This Row],[Attrition]]="Yes",1,0)</f>
        <v>0</v>
      </c>
      <c r="AK899" t="str">
        <f>IF(tblHR[[#This Row],[Age]]&lt;26,"18-25",IF(tblHR[[#This Row],[Age]]&lt;36,"26-35",IF(tblHR[[#This Row],[Age]]&lt;46,"36-45",IF(tblHR[[#This Row],[Age]]&lt;56,"46-55","56+"))))</f>
        <v>56+</v>
      </c>
    </row>
    <row r="900" spans="1:37"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s="1">
        <v>19740</v>
      </c>
      <c r="T900">
        <v>18625</v>
      </c>
      <c r="U900">
        <v>3</v>
      </c>
      <c r="V900" t="s">
        <v>42</v>
      </c>
      <c r="W900" t="s">
        <v>43</v>
      </c>
      <c r="X900">
        <v>14</v>
      </c>
      <c r="Y900">
        <v>3</v>
      </c>
      <c r="Z900">
        <v>2</v>
      </c>
      <c r="AA900">
        <v>80</v>
      </c>
      <c r="AB900">
        <v>1</v>
      </c>
      <c r="AC900">
        <v>25</v>
      </c>
      <c r="AD900">
        <v>2</v>
      </c>
      <c r="AE900">
        <v>3</v>
      </c>
      <c r="AF900">
        <v>8</v>
      </c>
      <c r="AG900">
        <v>7</v>
      </c>
      <c r="AH900">
        <v>0</v>
      </c>
      <c r="AI900">
        <v>7</v>
      </c>
      <c r="AJ900" s="2">
        <f>IF(tblHR[[#This Row],[Attrition]]="Yes",1,0)</f>
        <v>0</v>
      </c>
      <c r="AK900" t="str">
        <f>IF(tblHR[[#This Row],[Age]]&lt;26,"18-25",IF(tblHR[[#This Row],[Age]]&lt;36,"26-35",IF(tblHR[[#This Row],[Age]]&lt;46,"36-45",IF(tblHR[[#This Row],[Age]]&lt;56,"46-55","56+"))))</f>
        <v>36-45</v>
      </c>
    </row>
    <row r="901" spans="1:37"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s="1">
        <v>18711</v>
      </c>
      <c r="T901">
        <v>12124</v>
      </c>
      <c r="U901">
        <v>2</v>
      </c>
      <c r="V901" t="s">
        <v>42</v>
      </c>
      <c r="W901" t="s">
        <v>43</v>
      </c>
      <c r="X901">
        <v>13</v>
      </c>
      <c r="Y901">
        <v>3</v>
      </c>
      <c r="Z901">
        <v>3</v>
      </c>
      <c r="AA901">
        <v>80</v>
      </c>
      <c r="AB901">
        <v>1</v>
      </c>
      <c r="AC901">
        <v>23</v>
      </c>
      <c r="AD901">
        <v>2</v>
      </c>
      <c r="AE901">
        <v>4</v>
      </c>
      <c r="AF901">
        <v>1</v>
      </c>
      <c r="AG901">
        <v>0</v>
      </c>
      <c r="AH901">
        <v>0</v>
      </c>
      <c r="AI901">
        <v>0</v>
      </c>
      <c r="AJ901" s="2">
        <f>IF(tblHR[[#This Row],[Attrition]]="Yes",1,0)</f>
        <v>0</v>
      </c>
      <c r="AK901" t="str">
        <f>IF(tblHR[[#This Row],[Age]]&lt;26,"18-25",IF(tblHR[[#This Row],[Age]]&lt;36,"26-35",IF(tblHR[[#This Row],[Age]]&lt;46,"36-45",IF(tblHR[[#This Row],[Age]]&lt;56,"46-55","56+"))))</f>
        <v>46-55</v>
      </c>
    </row>
    <row r="902" spans="1:37"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s="1">
        <v>3692</v>
      </c>
      <c r="T902">
        <v>9256</v>
      </c>
      <c r="U902">
        <v>1</v>
      </c>
      <c r="V902" t="s">
        <v>42</v>
      </c>
      <c r="W902" t="s">
        <v>43</v>
      </c>
      <c r="X902">
        <v>12</v>
      </c>
      <c r="Y902">
        <v>3</v>
      </c>
      <c r="Z902">
        <v>3</v>
      </c>
      <c r="AA902">
        <v>80</v>
      </c>
      <c r="AB902">
        <v>0</v>
      </c>
      <c r="AC902">
        <v>12</v>
      </c>
      <c r="AD902">
        <v>2</v>
      </c>
      <c r="AE902">
        <v>2</v>
      </c>
      <c r="AF902">
        <v>11</v>
      </c>
      <c r="AG902">
        <v>10</v>
      </c>
      <c r="AH902">
        <v>0</v>
      </c>
      <c r="AI902">
        <v>7</v>
      </c>
      <c r="AJ902" s="2">
        <f>IF(tblHR[[#This Row],[Attrition]]="Yes",1,0)</f>
        <v>0</v>
      </c>
      <c r="AK902" t="str">
        <f>IF(tblHR[[#This Row],[Age]]&lt;26,"18-25",IF(tblHR[[#This Row],[Age]]&lt;36,"26-35",IF(tblHR[[#This Row],[Age]]&lt;46,"36-45",IF(tblHR[[#This Row],[Age]]&lt;56,"46-55","56+"))))</f>
        <v>36-45</v>
      </c>
    </row>
    <row r="903" spans="1:37"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s="1">
        <v>2559</v>
      </c>
      <c r="T903">
        <v>16620</v>
      </c>
      <c r="U903">
        <v>5</v>
      </c>
      <c r="V903" t="s">
        <v>42</v>
      </c>
      <c r="W903" t="s">
        <v>43</v>
      </c>
      <c r="X903">
        <v>11</v>
      </c>
      <c r="Y903">
        <v>3</v>
      </c>
      <c r="Z903">
        <v>3</v>
      </c>
      <c r="AA903">
        <v>80</v>
      </c>
      <c r="AB903">
        <v>0</v>
      </c>
      <c r="AC903">
        <v>7</v>
      </c>
      <c r="AD903">
        <v>4</v>
      </c>
      <c r="AE903">
        <v>2</v>
      </c>
      <c r="AF903">
        <v>1</v>
      </c>
      <c r="AG903">
        <v>0</v>
      </c>
      <c r="AH903">
        <v>0</v>
      </c>
      <c r="AI903">
        <v>0</v>
      </c>
      <c r="AJ903" s="2">
        <f>IF(tblHR[[#This Row],[Attrition]]="Yes",1,0)</f>
        <v>0</v>
      </c>
      <c r="AK903" t="str">
        <f>IF(tblHR[[#This Row],[Age]]&lt;26,"18-25",IF(tblHR[[#This Row],[Age]]&lt;36,"26-35",IF(tblHR[[#This Row],[Age]]&lt;46,"36-45",IF(tblHR[[#This Row],[Age]]&lt;56,"46-55","56+"))))</f>
        <v>46-55</v>
      </c>
    </row>
    <row r="904" spans="1:37"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s="1">
        <v>2517</v>
      </c>
      <c r="T904">
        <v>3208</v>
      </c>
      <c r="U904">
        <v>1</v>
      </c>
      <c r="V904" t="s">
        <v>42</v>
      </c>
      <c r="W904" t="s">
        <v>43</v>
      </c>
      <c r="X904">
        <v>11</v>
      </c>
      <c r="Y904">
        <v>3</v>
      </c>
      <c r="Z904">
        <v>2</v>
      </c>
      <c r="AA904">
        <v>80</v>
      </c>
      <c r="AB904">
        <v>3</v>
      </c>
      <c r="AC904">
        <v>5</v>
      </c>
      <c r="AD904">
        <v>2</v>
      </c>
      <c r="AE904">
        <v>3</v>
      </c>
      <c r="AF904">
        <v>5</v>
      </c>
      <c r="AG904">
        <v>3</v>
      </c>
      <c r="AH904">
        <v>0</v>
      </c>
      <c r="AI904">
        <v>3</v>
      </c>
      <c r="AJ904" s="2">
        <f>IF(tblHR[[#This Row],[Attrition]]="Yes",1,0)</f>
        <v>0</v>
      </c>
      <c r="AK904" t="str">
        <f>IF(tblHR[[#This Row],[Age]]&lt;26,"18-25",IF(tblHR[[#This Row],[Age]]&lt;36,"26-35",IF(tblHR[[#This Row],[Age]]&lt;46,"36-45",IF(tblHR[[#This Row],[Age]]&lt;56,"46-55","56+"))))</f>
        <v>26-35</v>
      </c>
    </row>
    <row r="905" spans="1:37"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s="1">
        <v>6623</v>
      </c>
      <c r="T905">
        <v>4204</v>
      </c>
      <c r="U905">
        <v>1</v>
      </c>
      <c r="V905" t="s">
        <v>42</v>
      </c>
      <c r="W905" t="s">
        <v>35</v>
      </c>
      <c r="X905">
        <v>11</v>
      </c>
      <c r="Y905">
        <v>3</v>
      </c>
      <c r="Z905">
        <v>2</v>
      </c>
      <c r="AA905">
        <v>80</v>
      </c>
      <c r="AB905">
        <v>2</v>
      </c>
      <c r="AC905">
        <v>6</v>
      </c>
      <c r="AD905">
        <v>2</v>
      </c>
      <c r="AE905">
        <v>3</v>
      </c>
      <c r="AF905">
        <v>6</v>
      </c>
      <c r="AG905">
        <v>0</v>
      </c>
      <c r="AH905">
        <v>1</v>
      </c>
      <c r="AI905">
        <v>0</v>
      </c>
      <c r="AJ905" s="2">
        <f>IF(tblHR[[#This Row],[Attrition]]="Yes",1,0)</f>
        <v>0</v>
      </c>
      <c r="AK905" t="str">
        <f>IF(tblHR[[#This Row],[Age]]&lt;26,"18-25",IF(tblHR[[#This Row],[Age]]&lt;36,"26-35",IF(tblHR[[#This Row],[Age]]&lt;46,"36-45",IF(tblHR[[#This Row],[Age]]&lt;56,"46-55","56+"))))</f>
        <v>26-35</v>
      </c>
    </row>
    <row r="906" spans="1:37"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s="1">
        <v>18265</v>
      </c>
      <c r="T906">
        <v>8733</v>
      </c>
      <c r="U906">
        <v>6</v>
      </c>
      <c r="V906" t="s">
        <v>42</v>
      </c>
      <c r="W906" t="s">
        <v>43</v>
      </c>
      <c r="X906">
        <v>12</v>
      </c>
      <c r="Y906">
        <v>3</v>
      </c>
      <c r="Z906">
        <v>3</v>
      </c>
      <c r="AA906">
        <v>80</v>
      </c>
      <c r="AB906">
        <v>0</v>
      </c>
      <c r="AC906">
        <v>25</v>
      </c>
      <c r="AD906">
        <v>3</v>
      </c>
      <c r="AE906">
        <v>4</v>
      </c>
      <c r="AF906">
        <v>1</v>
      </c>
      <c r="AG906">
        <v>0</v>
      </c>
      <c r="AH906">
        <v>0</v>
      </c>
      <c r="AI906">
        <v>0</v>
      </c>
      <c r="AJ906" s="2">
        <f>IF(tblHR[[#This Row],[Attrition]]="Yes",1,0)</f>
        <v>0</v>
      </c>
      <c r="AK906" t="str">
        <f>IF(tblHR[[#This Row],[Age]]&lt;26,"18-25",IF(tblHR[[#This Row],[Age]]&lt;36,"26-35",IF(tblHR[[#This Row],[Age]]&lt;46,"36-45",IF(tblHR[[#This Row],[Age]]&lt;56,"46-55","56+"))))</f>
        <v>46-55</v>
      </c>
    </row>
    <row r="907" spans="1:37"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s="1">
        <v>16124</v>
      </c>
      <c r="T907">
        <v>3423</v>
      </c>
      <c r="U907">
        <v>3</v>
      </c>
      <c r="V907" t="s">
        <v>42</v>
      </c>
      <c r="W907" t="s">
        <v>43</v>
      </c>
      <c r="X907">
        <v>14</v>
      </c>
      <c r="Y907">
        <v>3</v>
      </c>
      <c r="Z907">
        <v>2</v>
      </c>
      <c r="AA907">
        <v>80</v>
      </c>
      <c r="AB907">
        <v>2</v>
      </c>
      <c r="AC907">
        <v>9</v>
      </c>
      <c r="AD907">
        <v>2</v>
      </c>
      <c r="AE907">
        <v>2</v>
      </c>
      <c r="AF907">
        <v>7</v>
      </c>
      <c r="AG907">
        <v>7</v>
      </c>
      <c r="AH907">
        <v>1</v>
      </c>
      <c r="AI907">
        <v>7</v>
      </c>
      <c r="AJ907" s="2">
        <f>IF(tblHR[[#This Row],[Attrition]]="Yes",1,0)</f>
        <v>0</v>
      </c>
      <c r="AK907" t="str">
        <f>IF(tblHR[[#This Row],[Age]]&lt;26,"18-25",IF(tblHR[[#This Row],[Age]]&lt;36,"26-35",IF(tblHR[[#This Row],[Age]]&lt;46,"36-45",IF(tblHR[[#This Row],[Age]]&lt;56,"46-55","56+"))))</f>
        <v>26-35</v>
      </c>
    </row>
    <row r="908" spans="1:37"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s="1">
        <v>2585</v>
      </c>
      <c r="T908">
        <v>21643</v>
      </c>
      <c r="U908">
        <v>0</v>
      </c>
      <c r="V908" t="s">
        <v>42</v>
      </c>
      <c r="W908" t="s">
        <v>43</v>
      </c>
      <c r="X908">
        <v>17</v>
      </c>
      <c r="Y908">
        <v>3</v>
      </c>
      <c r="Z908">
        <v>4</v>
      </c>
      <c r="AA908">
        <v>80</v>
      </c>
      <c r="AB908">
        <v>0</v>
      </c>
      <c r="AC908">
        <v>2</v>
      </c>
      <c r="AD908">
        <v>5</v>
      </c>
      <c r="AE908">
        <v>2</v>
      </c>
      <c r="AF908">
        <v>1</v>
      </c>
      <c r="AG908">
        <v>0</v>
      </c>
      <c r="AH908">
        <v>0</v>
      </c>
      <c r="AI908">
        <v>0</v>
      </c>
      <c r="AJ908" s="2">
        <f>IF(tblHR[[#This Row],[Attrition]]="Yes",1,0)</f>
        <v>0</v>
      </c>
      <c r="AK908" t="str">
        <f>IF(tblHR[[#This Row],[Age]]&lt;26,"18-25",IF(tblHR[[#This Row],[Age]]&lt;36,"26-35",IF(tblHR[[#This Row],[Age]]&lt;46,"36-45",IF(tblHR[[#This Row],[Age]]&lt;56,"46-55","56+"))))</f>
        <v>26-35</v>
      </c>
    </row>
    <row r="909" spans="1:37"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s="1">
        <v>18213</v>
      </c>
      <c r="T909">
        <v>8751</v>
      </c>
      <c r="U909">
        <v>7</v>
      </c>
      <c r="V909" t="s">
        <v>42</v>
      </c>
      <c r="W909" t="s">
        <v>43</v>
      </c>
      <c r="X909">
        <v>11</v>
      </c>
      <c r="Y909">
        <v>3</v>
      </c>
      <c r="Z909">
        <v>3</v>
      </c>
      <c r="AA909">
        <v>80</v>
      </c>
      <c r="AB909">
        <v>1</v>
      </c>
      <c r="AC909">
        <v>26</v>
      </c>
      <c r="AD909">
        <v>5</v>
      </c>
      <c r="AE909">
        <v>3</v>
      </c>
      <c r="AF909">
        <v>22</v>
      </c>
      <c r="AG909">
        <v>9</v>
      </c>
      <c r="AH909">
        <v>3</v>
      </c>
      <c r="AI909">
        <v>10</v>
      </c>
      <c r="AJ909" s="2">
        <f>IF(tblHR[[#This Row],[Attrition]]="Yes",1,0)</f>
        <v>0</v>
      </c>
      <c r="AK909" t="str">
        <f>IF(tblHR[[#This Row],[Age]]&lt;26,"18-25",IF(tblHR[[#This Row],[Age]]&lt;36,"26-35",IF(tblHR[[#This Row],[Age]]&lt;46,"36-45",IF(tblHR[[#This Row],[Age]]&lt;56,"46-55","56+"))))</f>
        <v>36-45</v>
      </c>
    </row>
    <row r="910" spans="1:37"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s="1">
        <v>8380</v>
      </c>
      <c r="T910">
        <v>21708</v>
      </c>
      <c r="U910">
        <v>0</v>
      </c>
      <c r="V910" t="s">
        <v>42</v>
      </c>
      <c r="W910" t="s">
        <v>35</v>
      </c>
      <c r="X910">
        <v>14</v>
      </c>
      <c r="Y910">
        <v>3</v>
      </c>
      <c r="Z910">
        <v>4</v>
      </c>
      <c r="AA910">
        <v>80</v>
      </c>
      <c r="AB910">
        <v>2</v>
      </c>
      <c r="AC910">
        <v>10</v>
      </c>
      <c r="AD910">
        <v>3</v>
      </c>
      <c r="AE910">
        <v>3</v>
      </c>
      <c r="AF910">
        <v>9</v>
      </c>
      <c r="AG910">
        <v>8</v>
      </c>
      <c r="AH910">
        <v>0</v>
      </c>
      <c r="AI910">
        <v>8</v>
      </c>
      <c r="AJ910" s="2">
        <f>IF(tblHR[[#This Row],[Attrition]]="Yes",1,0)</f>
        <v>0</v>
      </c>
      <c r="AK910" t="str">
        <f>IF(tblHR[[#This Row],[Age]]&lt;26,"18-25",IF(tblHR[[#This Row],[Age]]&lt;36,"26-35",IF(tblHR[[#This Row],[Age]]&lt;46,"36-45",IF(tblHR[[#This Row],[Age]]&lt;56,"46-55","56+"))))</f>
        <v>26-35</v>
      </c>
    </row>
    <row r="911" spans="1:37"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s="1">
        <v>2994</v>
      </c>
      <c r="T911">
        <v>21221</v>
      </c>
      <c r="U911">
        <v>1</v>
      </c>
      <c r="V911" t="s">
        <v>42</v>
      </c>
      <c r="W911" t="s">
        <v>35</v>
      </c>
      <c r="X911">
        <v>12</v>
      </c>
      <c r="Y911">
        <v>3</v>
      </c>
      <c r="Z911">
        <v>4</v>
      </c>
      <c r="AA911">
        <v>80</v>
      </c>
      <c r="AB911">
        <v>0</v>
      </c>
      <c r="AC911">
        <v>1</v>
      </c>
      <c r="AD911">
        <v>2</v>
      </c>
      <c r="AE911">
        <v>3</v>
      </c>
      <c r="AF911">
        <v>1</v>
      </c>
      <c r="AG911">
        <v>0</v>
      </c>
      <c r="AH911">
        <v>0</v>
      </c>
      <c r="AI911">
        <v>1</v>
      </c>
      <c r="AJ911" s="2">
        <f>IF(tblHR[[#This Row],[Attrition]]="Yes",1,0)</f>
        <v>0</v>
      </c>
      <c r="AK911" t="str">
        <f>IF(tblHR[[#This Row],[Age]]&lt;26,"18-25",IF(tblHR[[#This Row],[Age]]&lt;36,"26-35",IF(tblHR[[#This Row],[Age]]&lt;46,"36-45",IF(tblHR[[#This Row],[Age]]&lt;56,"46-55","56+"))))</f>
        <v>18-25</v>
      </c>
    </row>
    <row r="912" spans="1:37"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s="1">
        <v>1223</v>
      </c>
      <c r="T912">
        <v>16901</v>
      </c>
      <c r="U912">
        <v>1</v>
      </c>
      <c r="V912" t="s">
        <v>42</v>
      </c>
      <c r="W912" t="s">
        <v>43</v>
      </c>
      <c r="X912">
        <v>22</v>
      </c>
      <c r="Y912">
        <v>4</v>
      </c>
      <c r="Z912">
        <v>4</v>
      </c>
      <c r="AA912">
        <v>80</v>
      </c>
      <c r="AB912">
        <v>1</v>
      </c>
      <c r="AC912">
        <v>1</v>
      </c>
      <c r="AD912">
        <v>2</v>
      </c>
      <c r="AE912">
        <v>3</v>
      </c>
      <c r="AF912">
        <v>1</v>
      </c>
      <c r="AG912">
        <v>0</v>
      </c>
      <c r="AH912">
        <v>0</v>
      </c>
      <c r="AI912">
        <v>1</v>
      </c>
      <c r="AJ912" s="2">
        <f>IF(tblHR[[#This Row],[Attrition]]="Yes",1,0)</f>
        <v>0</v>
      </c>
      <c r="AK912" t="str">
        <f>IF(tblHR[[#This Row],[Age]]&lt;26,"18-25",IF(tblHR[[#This Row],[Age]]&lt;36,"26-35",IF(tblHR[[#This Row],[Age]]&lt;46,"36-45",IF(tblHR[[#This Row],[Age]]&lt;56,"46-55","56+"))))</f>
        <v>18-25</v>
      </c>
    </row>
    <row r="913" spans="1:37"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s="1">
        <v>1118</v>
      </c>
      <c r="T913">
        <v>8040</v>
      </c>
      <c r="U913">
        <v>1</v>
      </c>
      <c r="V913" t="s">
        <v>42</v>
      </c>
      <c r="W913" t="s">
        <v>35</v>
      </c>
      <c r="X913">
        <v>14</v>
      </c>
      <c r="Y913">
        <v>3</v>
      </c>
      <c r="Z913">
        <v>4</v>
      </c>
      <c r="AA913">
        <v>80</v>
      </c>
      <c r="AB913">
        <v>0</v>
      </c>
      <c r="AC913">
        <v>1</v>
      </c>
      <c r="AD913">
        <v>4</v>
      </c>
      <c r="AE913">
        <v>3</v>
      </c>
      <c r="AF913">
        <v>1</v>
      </c>
      <c r="AG913">
        <v>0</v>
      </c>
      <c r="AH913">
        <v>1</v>
      </c>
      <c r="AI913">
        <v>0</v>
      </c>
      <c r="AJ913" s="2">
        <f>IF(tblHR[[#This Row],[Attrition]]="Yes",1,0)</f>
        <v>1</v>
      </c>
      <c r="AK913" t="str">
        <f>IF(tblHR[[#This Row],[Age]]&lt;26,"18-25",IF(tblHR[[#This Row],[Age]]&lt;36,"26-35",IF(tblHR[[#This Row],[Age]]&lt;46,"36-45",IF(tblHR[[#This Row],[Age]]&lt;56,"46-55","56+"))))</f>
        <v>18-25</v>
      </c>
    </row>
    <row r="914" spans="1:37"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s="1">
        <v>2875</v>
      </c>
      <c r="T914">
        <v>9973</v>
      </c>
      <c r="U914">
        <v>1</v>
      </c>
      <c r="V914" t="s">
        <v>42</v>
      </c>
      <c r="W914" t="s">
        <v>35</v>
      </c>
      <c r="X914">
        <v>20</v>
      </c>
      <c r="Y914">
        <v>4</v>
      </c>
      <c r="Z914">
        <v>2</v>
      </c>
      <c r="AA914">
        <v>80</v>
      </c>
      <c r="AB914">
        <v>0</v>
      </c>
      <c r="AC914">
        <v>8</v>
      </c>
      <c r="AD914">
        <v>2</v>
      </c>
      <c r="AE914">
        <v>2</v>
      </c>
      <c r="AF914">
        <v>8</v>
      </c>
      <c r="AG914">
        <v>5</v>
      </c>
      <c r="AH914">
        <v>2</v>
      </c>
      <c r="AI914">
        <v>2</v>
      </c>
      <c r="AJ914" s="2">
        <f>IF(tblHR[[#This Row],[Attrition]]="Yes",1,0)</f>
        <v>0</v>
      </c>
      <c r="AK914" t="str">
        <f>IF(tblHR[[#This Row],[Age]]&lt;26,"18-25",IF(tblHR[[#This Row],[Age]]&lt;36,"26-35",IF(tblHR[[#This Row],[Age]]&lt;46,"36-45",IF(tblHR[[#This Row],[Age]]&lt;56,"46-55","56+"))))</f>
        <v>26-35</v>
      </c>
    </row>
    <row r="915" spans="1:37"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s="1">
        <v>18824</v>
      </c>
      <c r="T915">
        <v>2493</v>
      </c>
      <c r="U915">
        <v>2</v>
      </c>
      <c r="V915" t="s">
        <v>42</v>
      </c>
      <c r="W915" t="s">
        <v>35</v>
      </c>
      <c r="X915">
        <v>16</v>
      </c>
      <c r="Y915">
        <v>3</v>
      </c>
      <c r="Z915">
        <v>1</v>
      </c>
      <c r="AA915">
        <v>80</v>
      </c>
      <c r="AB915">
        <v>0</v>
      </c>
      <c r="AC915">
        <v>26</v>
      </c>
      <c r="AD915">
        <v>2</v>
      </c>
      <c r="AE915">
        <v>3</v>
      </c>
      <c r="AF915">
        <v>24</v>
      </c>
      <c r="AG915">
        <v>10</v>
      </c>
      <c r="AH915">
        <v>1</v>
      </c>
      <c r="AI915">
        <v>11</v>
      </c>
      <c r="AJ915" s="2">
        <f>IF(tblHR[[#This Row],[Attrition]]="Yes",1,0)</f>
        <v>1</v>
      </c>
      <c r="AK915" t="str">
        <f>IF(tblHR[[#This Row],[Age]]&lt;26,"18-25",IF(tblHR[[#This Row],[Age]]&lt;36,"26-35",IF(tblHR[[#This Row],[Age]]&lt;46,"36-45",IF(tblHR[[#This Row],[Age]]&lt;56,"46-55","56+"))))</f>
        <v>36-45</v>
      </c>
    </row>
    <row r="916" spans="1:37"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s="1">
        <v>13577</v>
      </c>
      <c r="T916">
        <v>25592</v>
      </c>
      <c r="U916">
        <v>1</v>
      </c>
      <c r="V916" t="s">
        <v>42</v>
      </c>
      <c r="W916" t="s">
        <v>35</v>
      </c>
      <c r="X916">
        <v>15</v>
      </c>
      <c r="Y916">
        <v>3</v>
      </c>
      <c r="Z916">
        <v>4</v>
      </c>
      <c r="AA916">
        <v>80</v>
      </c>
      <c r="AB916">
        <v>1</v>
      </c>
      <c r="AC916">
        <v>34</v>
      </c>
      <c r="AD916">
        <v>3</v>
      </c>
      <c r="AE916">
        <v>3</v>
      </c>
      <c r="AF916">
        <v>33</v>
      </c>
      <c r="AG916">
        <v>9</v>
      </c>
      <c r="AH916">
        <v>15</v>
      </c>
      <c r="AI916">
        <v>0</v>
      </c>
      <c r="AJ916" s="2">
        <f>IF(tblHR[[#This Row],[Attrition]]="Yes",1,0)</f>
        <v>0</v>
      </c>
      <c r="AK916" t="str">
        <f>IF(tblHR[[#This Row],[Age]]&lt;26,"18-25",IF(tblHR[[#This Row],[Age]]&lt;36,"26-35",IF(tblHR[[#This Row],[Age]]&lt;46,"36-45",IF(tblHR[[#This Row],[Age]]&lt;56,"46-55","56+"))))</f>
        <v>46-55</v>
      </c>
    </row>
    <row r="917" spans="1:37"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s="1">
        <v>2625</v>
      </c>
      <c r="T917">
        <v>25308</v>
      </c>
      <c r="U917">
        <v>1</v>
      </c>
      <c r="V917" t="s">
        <v>42</v>
      </c>
      <c r="W917" t="s">
        <v>43</v>
      </c>
      <c r="X917">
        <v>20</v>
      </c>
      <c r="Y917">
        <v>4</v>
      </c>
      <c r="Z917">
        <v>3</v>
      </c>
      <c r="AA917">
        <v>80</v>
      </c>
      <c r="AB917">
        <v>0</v>
      </c>
      <c r="AC917">
        <v>2</v>
      </c>
      <c r="AD917">
        <v>2</v>
      </c>
      <c r="AE917">
        <v>1</v>
      </c>
      <c r="AF917">
        <v>2</v>
      </c>
      <c r="AG917">
        <v>2</v>
      </c>
      <c r="AH917">
        <v>2</v>
      </c>
      <c r="AI917">
        <v>2</v>
      </c>
      <c r="AJ917" s="2">
        <f>IF(tblHR[[#This Row],[Attrition]]="Yes",1,0)</f>
        <v>1</v>
      </c>
      <c r="AK917" t="str">
        <f>IF(tblHR[[#This Row],[Age]]&lt;26,"18-25",IF(tblHR[[#This Row],[Age]]&lt;36,"26-35",IF(tblHR[[#This Row],[Age]]&lt;46,"36-45",IF(tblHR[[#This Row],[Age]]&lt;56,"46-55","56+"))))</f>
        <v>18-25</v>
      </c>
    </row>
    <row r="918" spans="1:37"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s="1">
        <v>18789</v>
      </c>
      <c r="T918">
        <v>9946</v>
      </c>
      <c r="U918">
        <v>2</v>
      </c>
      <c r="V918" t="s">
        <v>42</v>
      </c>
      <c r="W918" t="s">
        <v>43</v>
      </c>
      <c r="X918">
        <v>14</v>
      </c>
      <c r="Y918">
        <v>3</v>
      </c>
      <c r="Z918">
        <v>3</v>
      </c>
      <c r="AA918">
        <v>80</v>
      </c>
      <c r="AB918">
        <v>1</v>
      </c>
      <c r="AC918">
        <v>26</v>
      </c>
      <c r="AD918">
        <v>2</v>
      </c>
      <c r="AE918">
        <v>3</v>
      </c>
      <c r="AF918">
        <v>11</v>
      </c>
      <c r="AG918">
        <v>4</v>
      </c>
      <c r="AH918">
        <v>0</v>
      </c>
      <c r="AI918">
        <v>8</v>
      </c>
      <c r="AJ918" s="2">
        <f>IF(tblHR[[#This Row],[Attrition]]="Yes",1,0)</f>
        <v>0</v>
      </c>
      <c r="AK918" t="str">
        <f>IF(tblHR[[#This Row],[Age]]&lt;26,"18-25",IF(tblHR[[#This Row],[Age]]&lt;36,"26-35",IF(tblHR[[#This Row],[Age]]&lt;46,"36-45",IF(tblHR[[#This Row],[Age]]&lt;56,"46-55","56+"))))</f>
        <v>46-55</v>
      </c>
    </row>
    <row r="919" spans="1:37"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s="1">
        <v>4538</v>
      </c>
      <c r="T919">
        <v>6039</v>
      </c>
      <c r="U919">
        <v>0</v>
      </c>
      <c r="V919" t="s">
        <v>42</v>
      </c>
      <c r="W919" t="s">
        <v>35</v>
      </c>
      <c r="X919">
        <v>12</v>
      </c>
      <c r="Y919">
        <v>3</v>
      </c>
      <c r="Z919">
        <v>4</v>
      </c>
      <c r="AA919">
        <v>80</v>
      </c>
      <c r="AB919">
        <v>0</v>
      </c>
      <c r="AC919">
        <v>4</v>
      </c>
      <c r="AD919">
        <v>3</v>
      </c>
      <c r="AE919">
        <v>3</v>
      </c>
      <c r="AF919">
        <v>3</v>
      </c>
      <c r="AG919">
        <v>2</v>
      </c>
      <c r="AH919">
        <v>0</v>
      </c>
      <c r="AI919">
        <v>2</v>
      </c>
      <c r="AJ919" s="2">
        <f>IF(tblHR[[#This Row],[Attrition]]="Yes",1,0)</f>
        <v>0</v>
      </c>
      <c r="AK919" t="str">
        <f>IF(tblHR[[#This Row],[Age]]&lt;26,"18-25",IF(tblHR[[#This Row],[Age]]&lt;36,"26-35",IF(tblHR[[#This Row],[Age]]&lt;46,"36-45",IF(tblHR[[#This Row],[Age]]&lt;56,"46-55","56+"))))</f>
        <v>26-35</v>
      </c>
    </row>
    <row r="920" spans="1:37"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s="1">
        <v>19847</v>
      </c>
      <c r="T920">
        <v>19196</v>
      </c>
      <c r="U920">
        <v>4</v>
      </c>
      <c r="V920" t="s">
        <v>42</v>
      </c>
      <c r="W920" t="s">
        <v>35</v>
      </c>
      <c r="X920">
        <v>24</v>
      </c>
      <c r="Y920">
        <v>4</v>
      </c>
      <c r="Z920">
        <v>1</v>
      </c>
      <c r="AA920">
        <v>80</v>
      </c>
      <c r="AB920">
        <v>1</v>
      </c>
      <c r="AC920">
        <v>31</v>
      </c>
      <c r="AD920">
        <v>5</v>
      </c>
      <c r="AE920">
        <v>2</v>
      </c>
      <c r="AF920">
        <v>29</v>
      </c>
      <c r="AG920">
        <v>10</v>
      </c>
      <c r="AH920">
        <v>11</v>
      </c>
      <c r="AI920">
        <v>10</v>
      </c>
      <c r="AJ920" s="2">
        <f>IF(tblHR[[#This Row],[Attrition]]="Yes",1,0)</f>
        <v>0</v>
      </c>
      <c r="AK920" t="str">
        <f>IF(tblHR[[#This Row],[Age]]&lt;26,"18-25",IF(tblHR[[#This Row],[Age]]&lt;36,"26-35",IF(tblHR[[#This Row],[Age]]&lt;46,"36-45",IF(tblHR[[#This Row],[Age]]&lt;56,"46-55","56+"))))</f>
        <v>46-55</v>
      </c>
    </row>
    <row r="921" spans="1:37"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s="1">
        <v>10512</v>
      </c>
      <c r="T921">
        <v>20002</v>
      </c>
      <c r="U921">
        <v>6</v>
      </c>
      <c r="V921" t="s">
        <v>42</v>
      </c>
      <c r="W921" t="s">
        <v>43</v>
      </c>
      <c r="X921">
        <v>12</v>
      </c>
      <c r="Y921">
        <v>3</v>
      </c>
      <c r="Z921">
        <v>4</v>
      </c>
      <c r="AA921">
        <v>80</v>
      </c>
      <c r="AB921">
        <v>0</v>
      </c>
      <c r="AC921">
        <v>25</v>
      </c>
      <c r="AD921">
        <v>6</v>
      </c>
      <c r="AE921">
        <v>2</v>
      </c>
      <c r="AF921">
        <v>9</v>
      </c>
      <c r="AG921">
        <v>7</v>
      </c>
      <c r="AH921">
        <v>5</v>
      </c>
      <c r="AI921">
        <v>4</v>
      </c>
      <c r="AJ921" s="2">
        <f>IF(tblHR[[#This Row],[Attrition]]="Yes",1,0)</f>
        <v>0</v>
      </c>
      <c r="AK921" t="str">
        <f>IF(tblHR[[#This Row],[Age]]&lt;26,"18-25",IF(tblHR[[#This Row],[Age]]&lt;36,"26-35",IF(tblHR[[#This Row],[Age]]&lt;46,"36-45",IF(tblHR[[#This Row],[Age]]&lt;56,"46-55","56+"))))</f>
        <v>56+</v>
      </c>
    </row>
    <row r="922" spans="1:37"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s="1">
        <v>4444</v>
      </c>
      <c r="T922">
        <v>22534</v>
      </c>
      <c r="U922">
        <v>4</v>
      </c>
      <c r="V922" t="s">
        <v>42</v>
      </c>
      <c r="W922" t="s">
        <v>43</v>
      </c>
      <c r="X922">
        <v>13</v>
      </c>
      <c r="Y922">
        <v>3</v>
      </c>
      <c r="Z922">
        <v>3</v>
      </c>
      <c r="AA922">
        <v>80</v>
      </c>
      <c r="AB922">
        <v>2</v>
      </c>
      <c r="AC922">
        <v>15</v>
      </c>
      <c r="AD922">
        <v>2</v>
      </c>
      <c r="AE922">
        <v>4</v>
      </c>
      <c r="AF922">
        <v>11</v>
      </c>
      <c r="AG922">
        <v>8</v>
      </c>
      <c r="AH922">
        <v>5</v>
      </c>
      <c r="AI922">
        <v>10</v>
      </c>
      <c r="AJ922" s="2">
        <f>IF(tblHR[[#This Row],[Attrition]]="Yes",1,0)</f>
        <v>0</v>
      </c>
      <c r="AK922" t="str">
        <f>IF(tblHR[[#This Row],[Age]]&lt;26,"18-25",IF(tblHR[[#This Row],[Age]]&lt;36,"26-35",IF(tblHR[[#This Row],[Age]]&lt;46,"36-45",IF(tblHR[[#This Row],[Age]]&lt;56,"46-55","56+"))))</f>
        <v>26-35</v>
      </c>
    </row>
    <row r="923" spans="1:37"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s="1">
        <v>2154</v>
      </c>
      <c r="T923">
        <v>6842</v>
      </c>
      <c r="U923">
        <v>0</v>
      </c>
      <c r="V923" t="s">
        <v>42</v>
      </c>
      <c r="W923" t="s">
        <v>35</v>
      </c>
      <c r="X923">
        <v>11</v>
      </c>
      <c r="Y923">
        <v>3</v>
      </c>
      <c r="Z923">
        <v>3</v>
      </c>
      <c r="AA923">
        <v>80</v>
      </c>
      <c r="AB923">
        <v>0</v>
      </c>
      <c r="AC923">
        <v>5</v>
      </c>
      <c r="AD923">
        <v>2</v>
      </c>
      <c r="AE923">
        <v>2</v>
      </c>
      <c r="AF923">
        <v>4</v>
      </c>
      <c r="AG923">
        <v>2</v>
      </c>
      <c r="AH923">
        <v>0</v>
      </c>
      <c r="AI923">
        <v>2</v>
      </c>
      <c r="AJ923" s="2">
        <f>IF(tblHR[[#This Row],[Attrition]]="Yes",1,0)</f>
        <v>0</v>
      </c>
      <c r="AK923" t="str">
        <f>IF(tblHR[[#This Row],[Age]]&lt;26,"18-25",IF(tblHR[[#This Row],[Age]]&lt;36,"26-35",IF(tblHR[[#This Row],[Age]]&lt;46,"36-45",IF(tblHR[[#This Row],[Age]]&lt;56,"46-55","56+"))))</f>
        <v>26-35</v>
      </c>
    </row>
    <row r="924" spans="1:37"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s="1">
        <v>19190</v>
      </c>
      <c r="T924">
        <v>17477</v>
      </c>
      <c r="U924">
        <v>1</v>
      </c>
      <c r="V924" t="s">
        <v>42</v>
      </c>
      <c r="W924" t="s">
        <v>43</v>
      </c>
      <c r="X924">
        <v>14</v>
      </c>
      <c r="Y924">
        <v>3</v>
      </c>
      <c r="Z924">
        <v>4</v>
      </c>
      <c r="AA924">
        <v>80</v>
      </c>
      <c r="AB924">
        <v>2</v>
      </c>
      <c r="AC924">
        <v>26</v>
      </c>
      <c r="AD924">
        <v>4</v>
      </c>
      <c r="AE924">
        <v>2</v>
      </c>
      <c r="AF924">
        <v>25</v>
      </c>
      <c r="AG924">
        <v>9</v>
      </c>
      <c r="AH924">
        <v>14</v>
      </c>
      <c r="AI924">
        <v>13</v>
      </c>
      <c r="AJ924" s="2">
        <f>IF(tblHR[[#This Row],[Attrition]]="Yes",1,0)</f>
        <v>0</v>
      </c>
      <c r="AK924" t="str">
        <f>IF(tblHR[[#This Row],[Age]]&lt;26,"18-25",IF(tblHR[[#This Row],[Age]]&lt;36,"26-35",IF(tblHR[[#This Row],[Age]]&lt;46,"36-45",IF(tblHR[[#This Row],[Age]]&lt;56,"46-55","56+"))))</f>
        <v>36-45</v>
      </c>
    </row>
    <row r="925" spans="1:37"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s="1">
        <v>4490</v>
      </c>
      <c r="T925">
        <v>21833</v>
      </c>
      <c r="U925">
        <v>4</v>
      </c>
      <c r="V925" t="s">
        <v>42</v>
      </c>
      <c r="W925" t="s">
        <v>43</v>
      </c>
      <c r="X925">
        <v>11</v>
      </c>
      <c r="Y925">
        <v>3</v>
      </c>
      <c r="Z925">
        <v>4</v>
      </c>
      <c r="AA925">
        <v>80</v>
      </c>
      <c r="AB925">
        <v>2</v>
      </c>
      <c r="AC925">
        <v>14</v>
      </c>
      <c r="AD925">
        <v>5</v>
      </c>
      <c r="AE925">
        <v>4</v>
      </c>
      <c r="AF925">
        <v>10</v>
      </c>
      <c r="AG925">
        <v>9</v>
      </c>
      <c r="AH925">
        <v>1</v>
      </c>
      <c r="AI925">
        <v>8</v>
      </c>
      <c r="AJ925" s="2">
        <f>IF(tblHR[[#This Row],[Attrition]]="Yes",1,0)</f>
        <v>0</v>
      </c>
      <c r="AK925" t="str">
        <f>IF(tblHR[[#This Row],[Age]]&lt;26,"18-25",IF(tblHR[[#This Row],[Age]]&lt;36,"26-35",IF(tblHR[[#This Row],[Age]]&lt;46,"36-45",IF(tblHR[[#This Row],[Age]]&lt;56,"46-55","56+"))))</f>
        <v>26-35</v>
      </c>
    </row>
    <row r="926" spans="1:37"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s="1">
        <v>3506</v>
      </c>
      <c r="T926">
        <v>6020</v>
      </c>
      <c r="U926">
        <v>0</v>
      </c>
      <c r="V926" t="s">
        <v>42</v>
      </c>
      <c r="W926" t="s">
        <v>35</v>
      </c>
      <c r="X926">
        <v>14</v>
      </c>
      <c r="Y926">
        <v>3</v>
      </c>
      <c r="Z926">
        <v>4</v>
      </c>
      <c r="AA926">
        <v>80</v>
      </c>
      <c r="AB926">
        <v>0</v>
      </c>
      <c r="AC926">
        <v>4</v>
      </c>
      <c r="AD926">
        <v>3</v>
      </c>
      <c r="AE926">
        <v>3</v>
      </c>
      <c r="AF926">
        <v>3</v>
      </c>
      <c r="AG926">
        <v>2</v>
      </c>
      <c r="AH926">
        <v>2</v>
      </c>
      <c r="AI926">
        <v>2</v>
      </c>
      <c r="AJ926" s="2">
        <f>IF(tblHR[[#This Row],[Attrition]]="Yes",1,0)</f>
        <v>0</v>
      </c>
      <c r="AK926" t="str">
        <f>IF(tblHR[[#This Row],[Age]]&lt;26,"18-25",IF(tblHR[[#This Row],[Age]]&lt;36,"26-35",IF(tblHR[[#This Row],[Age]]&lt;46,"36-45",IF(tblHR[[#This Row],[Age]]&lt;56,"46-55","56+"))))</f>
        <v>26-35</v>
      </c>
    </row>
    <row r="927" spans="1:37"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s="1">
        <v>2372</v>
      </c>
      <c r="T927">
        <v>5628</v>
      </c>
      <c r="U927">
        <v>6</v>
      </c>
      <c r="V927" t="s">
        <v>42</v>
      </c>
      <c r="W927" t="s">
        <v>35</v>
      </c>
      <c r="X927">
        <v>16</v>
      </c>
      <c r="Y927">
        <v>3</v>
      </c>
      <c r="Z927">
        <v>4</v>
      </c>
      <c r="AA927">
        <v>80</v>
      </c>
      <c r="AB927">
        <v>0</v>
      </c>
      <c r="AC927">
        <v>18</v>
      </c>
      <c r="AD927">
        <v>2</v>
      </c>
      <c r="AE927">
        <v>3</v>
      </c>
      <c r="AF927">
        <v>1</v>
      </c>
      <c r="AG927">
        <v>0</v>
      </c>
      <c r="AH927">
        <v>0</v>
      </c>
      <c r="AI927">
        <v>0</v>
      </c>
      <c r="AJ927" s="2">
        <f>IF(tblHR[[#This Row],[Attrition]]="Yes",1,0)</f>
        <v>0</v>
      </c>
      <c r="AK927" t="str">
        <f>IF(tblHR[[#This Row],[Age]]&lt;26,"18-25",IF(tblHR[[#This Row],[Age]]&lt;36,"26-35",IF(tblHR[[#This Row],[Age]]&lt;46,"36-45",IF(tblHR[[#This Row],[Age]]&lt;56,"46-55","56+"))))</f>
        <v>36-45</v>
      </c>
    </row>
    <row r="928" spans="1:37"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s="1">
        <v>10231</v>
      </c>
      <c r="T928">
        <v>20364</v>
      </c>
      <c r="U928">
        <v>3</v>
      </c>
      <c r="V928" t="s">
        <v>42</v>
      </c>
      <c r="W928" t="s">
        <v>43</v>
      </c>
      <c r="X928">
        <v>14</v>
      </c>
      <c r="Y928">
        <v>3</v>
      </c>
      <c r="Z928">
        <v>4</v>
      </c>
      <c r="AA928">
        <v>80</v>
      </c>
      <c r="AB928">
        <v>0</v>
      </c>
      <c r="AC928">
        <v>23</v>
      </c>
      <c r="AD928">
        <v>3</v>
      </c>
      <c r="AE928">
        <v>4</v>
      </c>
      <c r="AF928">
        <v>21</v>
      </c>
      <c r="AG928">
        <v>7</v>
      </c>
      <c r="AH928">
        <v>15</v>
      </c>
      <c r="AI928">
        <v>17</v>
      </c>
      <c r="AJ928" s="2">
        <f>IF(tblHR[[#This Row],[Attrition]]="Yes",1,0)</f>
        <v>0</v>
      </c>
      <c r="AK928" t="str">
        <f>IF(tblHR[[#This Row],[Age]]&lt;26,"18-25",IF(tblHR[[#This Row],[Age]]&lt;36,"26-35",IF(tblHR[[#This Row],[Age]]&lt;46,"36-45",IF(tblHR[[#This Row],[Age]]&lt;56,"46-55","56+"))))</f>
        <v>36-45</v>
      </c>
    </row>
    <row r="929" spans="1:37"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s="1">
        <v>5410</v>
      </c>
      <c r="T929">
        <v>2323</v>
      </c>
      <c r="U929">
        <v>9</v>
      </c>
      <c r="V929" t="s">
        <v>42</v>
      </c>
      <c r="W929" t="s">
        <v>35</v>
      </c>
      <c r="X929">
        <v>11</v>
      </c>
      <c r="Y929">
        <v>3</v>
      </c>
      <c r="Z929">
        <v>4</v>
      </c>
      <c r="AA929">
        <v>80</v>
      </c>
      <c r="AB929">
        <v>0</v>
      </c>
      <c r="AC929">
        <v>18</v>
      </c>
      <c r="AD929">
        <v>2</v>
      </c>
      <c r="AE929">
        <v>3</v>
      </c>
      <c r="AF929">
        <v>16</v>
      </c>
      <c r="AG929">
        <v>14</v>
      </c>
      <c r="AH929">
        <v>5</v>
      </c>
      <c r="AI929">
        <v>12</v>
      </c>
      <c r="AJ929" s="2">
        <f>IF(tblHR[[#This Row],[Attrition]]="Yes",1,0)</f>
        <v>0</v>
      </c>
      <c r="AK929" t="str">
        <f>IF(tblHR[[#This Row],[Age]]&lt;26,"18-25",IF(tblHR[[#This Row],[Age]]&lt;36,"26-35",IF(tblHR[[#This Row],[Age]]&lt;46,"36-45",IF(tblHR[[#This Row],[Age]]&lt;56,"46-55","56+"))))</f>
        <v>36-45</v>
      </c>
    </row>
    <row r="930" spans="1:37"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s="1">
        <v>7978</v>
      </c>
      <c r="T930">
        <v>14075</v>
      </c>
      <c r="U930">
        <v>1</v>
      </c>
      <c r="V930" t="s">
        <v>42</v>
      </c>
      <c r="W930" t="s">
        <v>43</v>
      </c>
      <c r="X930">
        <v>11</v>
      </c>
      <c r="Y930">
        <v>3</v>
      </c>
      <c r="Z930">
        <v>4</v>
      </c>
      <c r="AA930">
        <v>80</v>
      </c>
      <c r="AB930">
        <v>1</v>
      </c>
      <c r="AC930">
        <v>10</v>
      </c>
      <c r="AD930">
        <v>2</v>
      </c>
      <c r="AE930">
        <v>3</v>
      </c>
      <c r="AF930">
        <v>10</v>
      </c>
      <c r="AG930">
        <v>7</v>
      </c>
      <c r="AH930">
        <v>0</v>
      </c>
      <c r="AI930">
        <v>5</v>
      </c>
      <c r="AJ930" s="2">
        <f>IF(tblHR[[#This Row],[Attrition]]="Yes",1,0)</f>
        <v>1</v>
      </c>
      <c r="AK930" t="str">
        <f>IF(tblHR[[#This Row],[Age]]&lt;26,"18-25",IF(tblHR[[#This Row],[Age]]&lt;36,"26-35",IF(tblHR[[#This Row],[Age]]&lt;46,"36-45",IF(tblHR[[#This Row],[Age]]&lt;56,"46-55","56+"))))</f>
        <v>36-45</v>
      </c>
    </row>
    <row r="931" spans="1:37"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s="1">
        <v>3867</v>
      </c>
      <c r="T931">
        <v>14222</v>
      </c>
      <c r="U931">
        <v>1</v>
      </c>
      <c r="V931" t="s">
        <v>42</v>
      </c>
      <c r="W931" t="s">
        <v>35</v>
      </c>
      <c r="X931">
        <v>12</v>
      </c>
      <c r="Y931">
        <v>3</v>
      </c>
      <c r="Z931">
        <v>2</v>
      </c>
      <c r="AA931">
        <v>80</v>
      </c>
      <c r="AB931">
        <v>1</v>
      </c>
      <c r="AC931">
        <v>2</v>
      </c>
      <c r="AD931">
        <v>2</v>
      </c>
      <c r="AE931">
        <v>3</v>
      </c>
      <c r="AF931">
        <v>2</v>
      </c>
      <c r="AG931">
        <v>2</v>
      </c>
      <c r="AH931">
        <v>2</v>
      </c>
      <c r="AI931">
        <v>2</v>
      </c>
      <c r="AJ931" s="2">
        <f>IF(tblHR[[#This Row],[Attrition]]="Yes",1,0)</f>
        <v>0</v>
      </c>
      <c r="AK931" t="str">
        <f>IF(tblHR[[#This Row],[Age]]&lt;26,"18-25",IF(tblHR[[#This Row],[Age]]&lt;36,"26-35",IF(tblHR[[#This Row],[Age]]&lt;46,"36-45",IF(tblHR[[#This Row],[Age]]&lt;56,"46-55","56+"))))</f>
        <v>26-35</v>
      </c>
    </row>
    <row r="932" spans="1:37"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s="1">
        <v>2838</v>
      </c>
      <c r="T932">
        <v>4257</v>
      </c>
      <c r="U932">
        <v>0</v>
      </c>
      <c r="V932" t="s">
        <v>42</v>
      </c>
      <c r="W932" t="s">
        <v>43</v>
      </c>
      <c r="X932">
        <v>14</v>
      </c>
      <c r="Y932">
        <v>3</v>
      </c>
      <c r="Z932">
        <v>2</v>
      </c>
      <c r="AA932">
        <v>80</v>
      </c>
      <c r="AB932">
        <v>0</v>
      </c>
      <c r="AC932">
        <v>8</v>
      </c>
      <c r="AD932">
        <v>6</v>
      </c>
      <c r="AE932">
        <v>2</v>
      </c>
      <c r="AF932">
        <v>7</v>
      </c>
      <c r="AG932">
        <v>0</v>
      </c>
      <c r="AH932">
        <v>7</v>
      </c>
      <c r="AI932">
        <v>7</v>
      </c>
      <c r="AJ932" s="2">
        <f>IF(tblHR[[#This Row],[Attrition]]="Yes",1,0)</f>
        <v>0</v>
      </c>
      <c r="AK932" t="str">
        <f>IF(tblHR[[#This Row],[Age]]&lt;26,"18-25",IF(tblHR[[#This Row],[Age]]&lt;36,"26-35",IF(tblHR[[#This Row],[Age]]&lt;46,"36-45",IF(tblHR[[#This Row],[Age]]&lt;56,"46-55","56+"))))</f>
        <v>46-55</v>
      </c>
    </row>
    <row r="933" spans="1:37"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s="1">
        <v>4695</v>
      </c>
      <c r="T933">
        <v>12858</v>
      </c>
      <c r="U933">
        <v>7</v>
      </c>
      <c r="V933" t="s">
        <v>42</v>
      </c>
      <c r="W933" t="s">
        <v>35</v>
      </c>
      <c r="X933">
        <v>18</v>
      </c>
      <c r="Y933">
        <v>3</v>
      </c>
      <c r="Z933">
        <v>3</v>
      </c>
      <c r="AA933">
        <v>80</v>
      </c>
      <c r="AB933">
        <v>0</v>
      </c>
      <c r="AC933">
        <v>10</v>
      </c>
      <c r="AD933">
        <v>3</v>
      </c>
      <c r="AE933">
        <v>3</v>
      </c>
      <c r="AF933">
        <v>8</v>
      </c>
      <c r="AG933">
        <v>4</v>
      </c>
      <c r="AH933">
        <v>1</v>
      </c>
      <c r="AI933">
        <v>7</v>
      </c>
      <c r="AJ933" s="2">
        <f>IF(tblHR[[#This Row],[Attrition]]="Yes",1,0)</f>
        <v>0</v>
      </c>
      <c r="AK933" t="str">
        <f>IF(tblHR[[#This Row],[Age]]&lt;26,"18-25",IF(tblHR[[#This Row],[Age]]&lt;36,"26-35",IF(tblHR[[#This Row],[Age]]&lt;46,"36-45",IF(tblHR[[#This Row],[Age]]&lt;56,"46-55","56+"))))</f>
        <v>26-35</v>
      </c>
    </row>
    <row r="934" spans="1:37"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s="1">
        <v>3339</v>
      </c>
      <c r="T934">
        <v>17285</v>
      </c>
      <c r="U934">
        <v>3</v>
      </c>
      <c r="V934" t="s">
        <v>42</v>
      </c>
      <c r="W934" t="s">
        <v>35</v>
      </c>
      <c r="X934">
        <v>13</v>
      </c>
      <c r="Y934">
        <v>3</v>
      </c>
      <c r="Z934">
        <v>1</v>
      </c>
      <c r="AA934">
        <v>80</v>
      </c>
      <c r="AB934">
        <v>2</v>
      </c>
      <c r="AC934">
        <v>10</v>
      </c>
      <c r="AD934">
        <v>2</v>
      </c>
      <c r="AE934">
        <v>3</v>
      </c>
      <c r="AF934">
        <v>7</v>
      </c>
      <c r="AG934">
        <v>7</v>
      </c>
      <c r="AH934">
        <v>7</v>
      </c>
      <c r="AI934">
        <v>7</v>
      </c>
      <c r="AJ934" s="2">
        <f>IF(tblHR[[#This Row],[Attrition]]="Yes",1,0)</f>
        <v>1</v>
      </c>
      <c r="AK934" t="str">
        <f>IF(tblHR[[#This Row],[Age]]&lt;26,"18-25",IF(tblHR[[#This Row],[Age]]&lt;36,"26-35",IF(tblHR[[#This Row],[Age]]&lt;46,"36-45",IF(tblHR[[#This Row],[Age]]&lt;56,"46-55","56+"))))</f>
        <v>26-35</v>
      </c>
    </row>
    <row r="935" spans="1:37"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s="1">
        <v>2080</v>
      </c>
      <c r="T935">
        <v>4732</v>
      </c>
      <c r="U935">
        <v>2</v>
      </c>
      <c r="V935" t="s">
        <v>42</v>
      </c>
      <c r="W935" t="s">
        <v>43</v>
      </c>
      <c r="X935">
        <v>11</v>
      </c>
      <c r="Y935">
        <v>3</v>
      </c>
      <c r="Z935">
        <v>2</v>
      </c>
      <c r="AA935">
        <v>80</v>
      </c>
      <c r="AB935">
        <v>0</v>
      </c>
      <c r="AC935">
        <v>5</v>
      </c>
      <c r="AD935">
        <v>2</v>
      </c>
      <c r="AE935">
        <v>2</v>
      </c>
      <c r="AF935">
        <v>3</v>
      </c>
      <c r="AG935">
        <v>2</v>
      </c>
      <c r="AH935">
        <v>1</v>
      </c>
      <c r="AI935">
        <v>2</v>
      </c>
      <c r="AJ935" s="2">
        <f>IF(tblHR[[#This Row],[Attrition]]="Yes",1,0)</f>
        <v>0</v>
      </c>
      <c r="AK935" t="str">
        <f>IF(tblHR[[#This Row],[Age]]&lt;26,"18-25",IF(tblHR[[#This Row],[Age]]&lt;36,"26-35",IF(tblHR[[#This Row],[Age]]&lt;46,"36-45",IF(tblHR[[#This Row],[Age]]&lt;56,"46-55","56+"))))</f>
        <v>26-35</v>
      </c>
    </row>
    <row r="936" spans="1:37"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s="1">
        <v>2096</v>
      </c>
      <c r="T936">
        <v>18830</v>
      </c>
      <c r="U936">
        <v>1</v>
      </c>
      <c r="V936" t="s">
        <v>42</v>
      </c>
      <c r="W936" t="s">
        <v>43</v>
      </c>
      <c r="X936">
        <v>18</v>
      </c>
      <c r="Y936">
        <v>3</v>
      </c>
      <c r="Z936">
        <v>4</v>
      </c>
      <c r="AA936">
        <v>80</v>
      </c>
      <c r="AB936">
        <v>0</v>
      </c>
      <c r="AC936">
        <v>2</v>
      </c>
      <c r="AD936">
        <v>3</v>
      </c>
      <c r="AE936">
        <v>2</v>
      </c>
      <c r="AF936">
        <v>2</v>
      </c>
      <c r="AG936">
        <v>2</v>
      </c>
      <c r="AH936">
        <v>2</v>
      </c>
      <c r="AI936">
        <v>1</v>
      </c>
      <c r="AJ936" s="2">
        <f>IF(tblHR[[#This Row],[Attrition]]="Yes",1,0)</f>
        <v>0</v>
      </c>
      <c r="AK936" t="str">
        <f>IF(tblHR[[#This Row],[Age]]&lt;26,"18-25",IF(tblHR[[#This Row],[Age]]&lt;36,"26-35",IF(tblHR[[#This Row],[Age]]&lt;46,"36-45",IF(tblHR[[#This Row],[Age]]&lt;56,"46-55","56+"))))</f>
        <v>18-25</v>
      </c>
    </row>
    <row r="937" spans="1:37"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s="1">
        <v>6209</v>
      </c>
      <c r="T937">
        <v>11693</v>
      </c>
      <c r="U937">
        <v>1</v>
      </c>
      <c r="V937" t="s">
        <v>42</v>
      </c>
      <c r="W937" t="s">
        <v>43</v>
      </c>
      <c r="X937">
        <v>15</v>
      </c>
      <c r="Y937">
        <v>3</v>
      </c>
      <c r="Z937">
        <v>3</v>
      </c>
      <c r="AA937">
        <v>80</v>
      </c>
      <c r="AB937">
        <v>2</v>
      </c>
      <c r="AC937">
        <v>10</v>
      </c>
      <c r="AD937">
        <v>4</v>
      </c>
      <c r="AE937">
        <v>4</v>
      </c>
      <c r="AF937">
        <v>10</v>
      </c>
      <c r="AG937">
        <v>7</v>
      </c>
      <c r="AH937">
        <v>0</v>
      </c>
      <c r="AI937">
        <v>8</v>
      </c>
      <c r="AJ937" s="2">
        <f>IF(tblHR[[#This Row],[Attrition]]="Yes",1,0)</f>
        <v>0</v>
      </c>
      <c r="AK937" t="str">
        <f>IF(tblHR[[#This Row],[Age]]&lt;26,"18-25",IF(tblHR[[#This Row],[Age]]&lt;36,"26-35",IF(tblHR[[#This Row],[Age]]&lt;46,"36-45",IF(tblHR[[#This Row],[Age]]&lt;56,"46-55","56+"))))</f>
        <v>26-35</v>
      </c>
    </row>
    <row r="938" spans="1:37"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s="1">
        <v>18061</v>
      </c>
      <c r="T938">
        <v>13035</v>
      </c>
      <c r="U938">
        <v>3</v>
      </c>
      <c r="V938" t="s">
        <v>42</v>
      </c>
      <c r="W938" t="s">
        <v>43</v>
      </c>
      <c r="X938">
        <v>22</v>
      </c>
      <c r="Y938">
        <v>4</v>
      </c>
      <c r="Z938">
        <v>3</v>
      </c>
      <c r="AA938">
        <v>80</v>
      </c>
      <c r="AB938">
        <v>0</v>
      </c>
      <c r="AC938">
        <v>22</v>
      </c>
      <c r="AD938">
        <v>4</v>
      </c>
      <c r="AE938">
        <v>3</v>
      </c>
      <c r="AF938">
        <v>0</v>
      </c>
      <c r="AG938">
        <v>0</v>
      </c>
      <c r="AH938">
        <v>0</v>
      </c>
      <c r="AI938">
        <v>0</v>
      </c>
      <c r="AJ938" s="2">
        <f>IF(tblHR[[#This Row],[Attrition]]="Yes",1,0)</f>
        <v>0</v>
      </c>
      <c r="AK938" t="str">
        <f>IF(tblHR[[#This Row],[Age]]&lt;26,"18-25",IF(tblHR[[#This Row],[Age]]&lt;36,"26-35",IF(tblHR[[#This Row],[Age]]&lt;46,"36-45",IF(tblHR[[#This Row],[Age]]&lt;56,"46-55","56+"))))</f>
        <v>36-45</v>
      </c>
    </row>
    <row r="939" spans="1:37"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s="1">
        <v>17123</v>
      </c>
      <c r="T939">
        <v>17334</v>
      </c>
      <c r="U939">
        <v>6</v>
      </c>
      <c r="V939" t="s">
        <v>42</v>
      </c>
      <c r="W939" t="s">
        <v>35</v>
      </c>
      <c r="X939">
        <v>13</v>
      </c>
      <c r="Y939">
        <v>3</v>
      </c>
      <c r="Z939">
        <v>4</v>
      </c>
      <c r="AA939">
        <v>80</v>
      </c>
      <c r="AB939">
        <v>2</v>
      </c>
      <c r="AC939">
        <v>21</v>
      </c>
      <c r="AD939">
        <v>4</v>
      </c>
      <c r="AE939">
        <v>3</v>
      </c>
      <c r="AF939">
        <v>19</v>
      </c>
      <c r="AG939">
        <v>9</v>
      </c>
      <c r="AH939">
        <v>15</v>
      </c>
      <c r="AI939">
        <v>2</v>
      </c>
      <c r="AJ939" s="2">
        <f>IF(tblHR[[#This Row],[Attrition]]="Yes",1,0)</f>
        <v>0</v>
      </c>
      <c r="AK939" t="str">
        <f>IF(tblHR[[#This Row],[Age]]&lt;26,"18-25",IF(tblHR[[#This Row],[Age]]&lt;36,"26-35",IF(tblHR[[#This Row],[Age]]&lt;46,"36-45",IF(tblHR[[#This Row],[Age]]&lt;56,"46-55","56+"))))</f>
        <v>36-45</v>
      </c>
    </row>
    <row r="940" spans="1:37"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s="1">
        <v>2372</v>
      </c>
      <c r="T940">
        <v>26076</v>
      </c>
      <c r="U940">
        <v>1</v>
      </c>
      <c r="V940" t="s">
        <v>42</v>
      </c>
      <c r="W940" t="s">
        <v>43</v>
      </c>
      <c r="X940">
        <v>12</v>
      </c>
      <c r="Y940">
        <v>3</v>
      </c>
      <c r="Z940">
        <v>4</v>
      </c>
      <c r="AA940">
        <v>80</v>
      </c>
      <c r="AB940">
        <v>2</v>
      </c>
      <c r="AC940">
        <v>2</v>
      </c>
      <c r="AD940">
        <v>3</v>
      </c>
      <c r="AE940">
        <v>3</v>
      </c>
      <c r="AF940">
        <v>2</v>
      </c>
      <c r="AG940">
        <v>2</v>
      </c>
      <c r="AH940">
        <v>2</v>
      </c>
      <c r="AI940">
        <v>2</v>
      </c>
      <c r="AJ940" s="2">
        <f>IF(tblHR[[#This Row],[Attrition]]="Yes",1,0)</f>
        <v>0</v>
      </c>
      <c r="AK940" t="str">
        <f>IF(tblHR[[#This Row],[Age]]&lt;26,"18-25",IF(tblHR[[#This Row],[Age]]&lt;36,"26-35",IF(tblHR[[#This Row],[Age]]&lt;46,"36-45",IF(tblHR[[#This Row],[Age]]&lt;56,"46-55","56+"))))</f>
        <v>56+</v>
      </c>
    </row>
    <row r="941" spans="1:37"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s="1">
        <v>4883</v>
      </c>
      <c r="T941">
        <v>22845</v>
      </c>
      <c r="U941">
        <v>1</v>
      </c>
      <c r="V941" t="s">
        <v>42</v>
      </c>
      <c r="W941" t="s">
        <v>43</v>
      </c>
      <c r="X941">
        <v>18</v>
      </c>
      <c r="Y941">
        <v>3</v>
      </c>
      <c r="Z941">
        <v>1</v>
      </c>
      <c r="AA941">
        <v>80</v>
      </c>
      <c r="AB941">
        <v>1</v>
      </c>
      <c r="AC941">
        <v>10</v>
      </c>
      <c r="AD941">
        <v>3</v>
      </c>
      <c r="AE941">
        <v>3</v>
      </c>
      <c r="AF941">
        <v>10</v>
      </c>
      <c r="AG941">
        <v>4</v>
      </c>
      <c r="AH941">
        <v>1</v>
      </c>
      <c r="AI941">
        <v>1</v>
      </c>
      <c r="AJ941" s="2">
        <f>IF(tblHR[[#This Row],[Attrition]]="Yes",1,0)</f>
        <v>1</v>
      </c>
      <c r="AK941" t="str">
        <f>IF(tblHR[[#This Row],[Age]]&lt;26,"18-25",IF(tblHR[[#This Row],[Age]]&lt;36,"26-35",IF(tblHR[[#This Row],[Age]]&lt;46,"36-45",IF(tblHR[[#This Row],[Age]]&lt;56,"46-55","56+"))))</f>
        <v>26-35</v>
      </c>
    </row>
    <row r="942" spans="1:37"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s="1">
        <v>3904</v>
      </c>
      <c r="T942">
        <v>22154</v>
      </c>
      <c r="U942">
        <v>0</v>
      </c>
      <c r="V942" t="s">
        <v>42</v>
      </c>
      <c r="W942" t="s">
        <v>43</v>
      </c>
      <c r="X942">
        <v>13</v>
      </c>
      <c r="Y942">
        <v>3</v>
      </c>
      <c r="Z942">
        <v>1</v>
      </c>
      <c r="AA942">
        <v>80</v>
      </c>
      <c r="AB942">
        <v>0</v>
      </c>
      <c r="AC942">
        <v>6</v>
      </c>
      <c r="AD942">
        <v>2</v>
      </c>
      <c r="AE942">
        <v>3</v>
      </c>
      <c r="AF942">
        <v>5</v>
      </c>
      <c r="AG942">
        <v>2</v>
      </c>
      <c r="AH942">
        <v>0</v>
      </c>
      <c r="AI942">
        <v>3</v>
      </c>
      <c r="AJ942" s="2">
        <f>IF(tblHR[[#This Row],[Attrition]]="Yes",1,0)</f>
        <v>1</v>
      </c>
      <c r="AK942" t="str">
        <f>IF(tblHR[[#This Row],[Age]]&lt;26,"18-25",IF(tblHR[[#This Row],[Age]]&lt;36,"26-35",IF(tblHR[[#This Row],[Age]]&lt;46,"36-45",IF(tblHR[[#This Row],[Age]]&lt;56,"46-55","56+"))))</f>
        <v>36-45</v>
      </c>
    </row>
    <row r="943" spans="1:37"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s="1">
        <v>4627</v>
      </c>
      <c r="T943">
        <v>23631</v>
      </c>
      <c r="U943">
        <v>0</v>
      </c>
      <c r="V943" t="s">
        <v>42</v>
      </c>
      <c r="W943" t="s">
        <v>43</v>
      </c>
      <c r="X943">
        <v>12</v>
      </c>
      <c r="Y943">
        <v>3</v>
      </c>
      <c r="Z943">
        <v>1</v>
      </c>
      <c r="AA943">
        <v>80</v>
      </c>
      <c r="AB943">
        <v>1</v>
      </c>
      <c r="AC943">
        <v>10</v>
      </c>
      <c r="AD943">
        <v>6</v>
      </c>
      <c r="AE943">
        <v>3</v>
      </c>
      <c r="AF943">
        <v>9</v>
      </c>
      <c r="AG943">
        <v>2</v>
      </c>
      <c r="AH943">
        <v>6</v>
      </c>
      <c r="AI943">
        <v>7</v>
      </c>
      <c r="AJ943" s="2">
        <f>IF(tblHR[[#This Row],[Attrition]]="Yes",1,0)</f>
        <v>0</v>
      </c>
      <c r="AK943" t="str">
        <f>IF(tblHR[[#This Row],[Age]]&lt;26,"18-25",IF(tblHR[[#This Row],[Age]]&lt;36,"26-35",IF(tblHR[[#This Row],[Age]]&lt;46,"36-45",IF(tblHR[[#This Row],[Age]]&lt;56,"46-55","56+"))))</f>
        <v>26-35</v>
      </c>
    </row>
    <row r="944" spans="1:37"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s="1">
        <v>7094</v>
      </c>
      <c r="T944">
        <v>5747</v>
      </c>
      <c r="U944">
        <v>3</v>
      </c>
      <c r="V944" t="s">
        <v>42</v>
      </c>
      <c r="W944" t="s">
        <v>43</v>
      </c>
      <c r="X944">
        <v>12</v>
      </c>
      <c r="Y944">
        <v>3</v>
      </c>
      <c r="Z944">
        <v>1</v>
      </c>
      <c r="AA944">
        <v>80</v>
      </c>
      <c r="AB944">
        <v>0</v>
      </c>
      <c r="AC944">
        <v>10</v>
      </c>
      <c r="AD944">
        <v>0</v>
      </c>
      <c r="AE944">
        <v>3</v>
      </c>
      <c r="AF944">
        <v>7</v>
      </c>
      <c r="AG944">
        <v>7</v>
      </c>
      <c r="AH944">
        <v>1</v>
      </c>
      <c r="AI944">
        <v>7</v>
      </c>
      <c r="AJ944" s="2">
        <f>IF(tblHR[[#This Row],[Attrition]]="Yes",1,0)</f>
        <v>0</v>
      </c>
      <c r="AK944" t="str">
        <f>IF(tblHR[[#This Row],[Age]]&lt;26,"18-25",IF(tblHR[[#This Row],[Age]]&lt;36,"26-35",IF(tblHR[[#This Row],[Age]]&lt;46,"36-45",IF(tblHR[[#This Row],[Age]]&lt;56,"46-55","56+"))))</f>
        <v>36-45</v>
      </c>
    </row>
    <row r="945" spans="1:37"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s="1">
        <v>3423</v>
      </c>
      <c r="T945">
        <v>22957</v>
      </c>
      <c r="U945">
        <v>6</v>
      </c>
      <c r="V945" t="s">
        <v>42</v>
      </c>
      <c r="W945" t="s">
        <v>43</v>
      </c>
      <c r="X945">
        <v>12</v>
      </c>
      <c r="Y945">
        <v>3</v>
      </c>
      <c r="Z945">
        <v>3</v>
      </c>
      <c r="AA945">
        <v>80</v>
      </c>
      <c r="AB945">
        <v>0</v>
      </c>
      <c r="AC945">
        <v>10</v>
      </c>
      <c r="AD945">
        <v>3</v>
      </c>
      <c r="AE945">
        <v>4</v>
      </c>
      <c r="AF945">
        <v>7</v>
      </c>
      <c r="AG945">
        <v>6</v>
      </c>
      <c r="AH945">
        <v>5</v>
      </c>
      <c r="AI945">
        <v>7</v>
      </c>
      <c r="AJ945" s="2">
        <f>IF(tblHR[[#This Row],[Attrition]]="Yes",1,0)</f>
        <v>0</v>
      </c>
      <c r="AK945" t="str">
        <f>IF(tblHR[[#This Row],[Age]]&lt;26,"18-25",IF(tblHR[[#This Row],[Age]]&lt;36,"26-35",IF(tblHR[[#This Row],[Age]]&lt;46,"36-45",IF(tblHR[[#This Row],[Age]]&lt;56,"46-55","56+"))))</f>
        <v>46-55</v>
      </c>
    </row>
    <row r="946" spans="1:37"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s="1">
        <v>6674</v>
      </c>
      <c r="T946">
        <v>16392</v>
      </c>
      <c r="U946">
        <v>0</v>
      </c>
      <c r="V946" t="s">
        <v>42</v>
      </c>
      <c r="W946" t="s">
        <v>43</v>
      </c>
      <c r="X946">
        <v>11</v>
      </c>
      <c r="Y946">
        <v>3</v>
      </c>
      <c r="Z946">
        <v>1</v>
      </c>
      <c r="AA946">
        <v>80</v>
      </c>
      <c r="AB946">
        <v>3</v>
      </c>
      <c r="AC946">
        <v>10</v>
      </c>
      <c r="AD946">
        <v>6</v>
      </c>
      <c r="AE946">
        <v>3</v>
      </c>
      <c r="AF946">
        <v>9</v>
      </c>
      <c r="AG946">
        <v>8</v>
      </c>
      <c r="AH946">
        <v>7</v>
      </c>
      <c r="AI946">
        <v>5</v>
      </c>
      <c r="AJ946" s="2">
        <f>IF(tblHR[[#This Row],[Attrition]]="Yes",1,0)</f>
        <v>0</v>
      </c>
      <c r="AK946" t="str">
        <f>IF(tblHR[[#This Row],[Age]]&lt;26,"18-25",IF(tblHR[[#This Row],[Age]]&lt;36,"26-35",IF(tblHR[[#This Row],[Age]]&lt;46,"36-45",IF(tblHR[[#This Row],[Age]]&lt;56,"46-55","56+"))))</f>
        <v>26-35</v>
      </c>
    </row>
    <row r="947" spans="1:37"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s="1">
        <v>16880</v>
      </c>
      <c r="T947">
        <v>22422</v>
      </c>
      <c r="U947">
        <v>4</v>
      </c>
      <c r="V947" t="s">
        <v>42</v>
      </c>
      <c r="W947" t="s">
        <v>35</v>
      </c>
      <c r="X947">
        <v>11</v>
      </c>
      <c r="Y947">
        <v>3</v>
      </c>
      <c r="Z947">
        <v>2</v>
      </c>
      <c r="AA947">
        <v>80</v>
      </c>
      <c r="AB947">
        <v>0</v>
      </c>
      <c r="AC947">
        <v>25</v>
      </c>
      <c r="AD947">
        <v>2</v>
      </c>
      <c r="AE947">
        <v>3</v>
      </c>
      <c r="AF947">
        <v>3</v>
      </c>
      <c r="AG947">
        <v>2</v>
      </c>
      <c r="AH947">
        <v>1</v>
      </c>
      <c r="AI947">
        <v>2</v>
      </c>
      <c r="AJ947" s="2">
        <f>IF(tblHR[[#This Row],[Attrition]]="Yes",1,0)</f>
        <v>0</v>
      </c>
      <c r="AK947" t="str">
        <f>IF(tblHR[[#This Row],[Age]]&lt;26,"18-25",IF(tblHR[[#This Row],[Age]]&lt;36,"26-35",IF(tblHR[[#This Row],[Age]]&lt;46,"36-45",IF(tblHR[[#This Row],[Age]]&lt;56,"46-55","56+"))))</f>
        <v>46-55</v>
      </c>
    </row>
    <row r="948" spans="1:37"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s="1">
        <v>9094</v>
      </c>
      <c r="T948">
        <v>17235</v>
      </c>
      <c r="U948">
        <v>2</v>
      </c>
      <c r="V948" t="s">
        <v>42</v>
      </c>
      <c r="W948" t="s">
        <v>35</v>
      </c>
      <c r="X948">
        <v>12</v>
      </c>
      <c r="Y948">
        <v>3</v>
      </c>
      <c r="Z948">
        <v>3</v>
      </c>
      <c r="AA948">
        <v>80</v>
      </c>
      <c r="AB948">
        <v>0</v>
      </c>
      <c r="AC948">
        <v>9</v>
      </c>
      <c r="AD948">
        <v>2</v>
      </c>
      <c r="AE948">
        <v>3</v>
      </c>
      <c r="AF948">
        <v>5</v>
      </c>
      <c r="AG948">
        <v>4</v>
      </c>
      <c r="AH948">
        <v>1</v>
      </c>
      <c r="AI948">
        <v>0</v>
      </c>
      <c r="AJ948" s="2">
        <f>IF(tblHR[[#This Row],[Attrition]]="Yes",1,0)</f>
        <v>1</v>
      </c>
      <c r="AK948" t="str">
        <f>IF(tblHR[[#This Row],[Age]]&lt;26,"18-25",IF(tblHR[[#This Row],[Age]]&lt;36,"26-35",IF(tblHR[[#This Row],[Age]]&lt;46,"36-45",IF(tblHR[[#This Row],[Age]]&lt;56,"46-55","56+"))))</f>
        <v>36-45</v>
      </c>
    </row>
    <row r="949" spans="1:37"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s="1">
        <v>8446</v>
      </c>
      <c r="T949">
        <v>21534</v>
      </c>
      <c r="U949">
        <v>9</v>
      </c>
      <c r="V949" t="s">
        <v>42</v>
      </c>
      <c r="W949" t="s">
        <v>35</v>
      </c>
      <c r="X949">
        <v>19</v>
      </c>
      <c r="Y949">
        <v>3</v>
      </c>
      <c r="Z949">
        <v>3</v>
      </c>
      <c r="AA949">
        <v>80</v>
      </c>
      <c r="AB949">
        <v>0</v>
      </c>
      <c r="AC949">
        <v>10</v>
      </c>
      <c r="AD949">
        <v>2</v>
      </c>
      <c r="AE949">
        <v>2</v>
      </c>
      <c r="AF949">
        <v>8</v>
      </c>
      <c r="AG949">
        <v>7</v>
      </c>
      <c r="AH949">
        <v>7</v>
      </c>
      <c r="AI949">
        <v>7</v>
      </c>
      <c r="AJ949" s="2">
        <f>IF(tblHR[[#This Row],[Attrition]]="Yes",1,0)</f>
        <v>1</v>
      </c>
      <c r="AK949" t="str">
        <f>IF(tblHR[[#This Row],[Age]]&lt;26,"18-25",IF(tblHR[[#This Row],[Age]]&lt;36,"26-35",IF(tblHR[[#This Row],[Age]]&lt;46,"36-45",IF(tblHR[[#This Row],[Age]]&lt;56,"46-55","56+"))))</f>
        <v>46-55</v>
      </c>
    </row>
    <row r="950" spans="1:37"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s="1">
        <v>11916</v>
      </c>
      <c r="T950">
        <v>25927</v>
      </c>
      <c r="U950">
        <v>1</v>
      </c>
      <c r="V950" t="s">
        <v>42</v>
      </c>
      <c r="W950" t="s">
        <v>35</v>
      </c>
      <c r="X950">
        <v>23</v>
      </c>
      <c r="Y950">
        <v>4</v>
      </c>
      <c r="Z950">
        <v>4</v>
      </c>
      <c r="AA950">
        <v>80</v>
      </c>
      <c r="AB950">
        <v>2</v>
      </c>
      <c r="AC950">
        <v>9</v>
      </c>
      <c r="AD950">
        <v>2</v>
      </c>
      <c r="AE950">
        <v>3</v>
      </c>
      <c r="AF950">
        <v>9</v>
      </c>
      <c r="AG950">
        <v>1</v>
      </c>
      <c r="AH950">
        <v>0</v>
      </c>
      <c r="AI950">
        <v>8</v>
      </c>
      <c r="AJ950" s="2">
        <f>IF(tblHR[[#This Row],[Attrition]]="Yes",1,0)</f>
        <v>0</v>
      </c>
      <c r="AK950" t="str">
        <f>IF(tblHR[[#This Row],[Age]]&lt;26,"18-25",IF(tblHR[[#This Row],[Age]]&lt;36,"26-35",IF(tblHR[[#This Row],[Age]]&lt;46,"36-45",IF(tblHR[[#This Row],[Age]]&lt;56,"46-55","56+"))))</f>
        <v>26-35</v>
      </c>
    </row>
    <row r="951" spans="1:37"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s="1">
        <v>4534</v>
      </c>
      <c r="T951">
        <v>13352</v>
      </c>
      <c r="U951">
        <v>0</v>
      </c>
      <c r="V951" t="s">
        <v>42</v>
      </c>
      <c r="W951" t="s">
        <v>43</v>
      </c>
      <c r="X951">
        <v>11</v>
      </c>
      <c r="Y951">
        <v>3</v>
      </c>
      <c r="Z951">
        <v>1</v>
      </c>
      <c r="AA951">
        <v>80</v>
      </c>
      <c r="AB951">
        <v>0</v>
      </c>
      <c r="AC951">
        <v>9</v>
      </c>
      <c r="AD951">
        <v>6</v>
      </c>
      <c r="AE951">
        <v>3</v>
      </c>
      <c r="AF951">
        <v>8</v>
      </c>
      <c r="AG951">
        <v>7</v>
      </c>
      <c r="AH951">
        <v>1</v>
      </c>
      <c r="AI951">
        <v>7</v>
      </c>
      <c r="AJ951" s="2">
        <f>IF(tblHR[[#This Row],[Attrition]]="Yes",1,0)</f>
        <v>0</v>
      </c>
      <c r="AK951" t="str">
        <f>IF(tblHR[[#This Row],[Age]]&lt;26,"18-25",IF(tblHR[[#This Row],[Age]]&lt;36,"26-35",IF(tblHR[[#This Row],[Age]]&lt;46,"36-45",IF(tblHR[[#This Row],[Age]]&lt;56,"46-55","56+"))))</f>
        <v>36-45</v>
      </c>
    </row>
    <row r="952" spans="1:37"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s="1">
        <v>9852</v>
      </c>
      <c r="T952">
        <v>8935</v>
      </c>
      <c r="U952">
        <v>1</v>
      </c>
      <c r="V952" t="s">
        <v>42</v>
      </c>
      <c r="W952" t="s">
        <v>35</v>
      </c>
      <c r="X952">
        <v>19</v>
      </c>
      <c r="Y952">
        <v>3</v>
      </c>
      <c r="Z952">
        <v>1</v>
      </c>
      <c r="AA952">
        <v>80</v>
      </c>
      <c r="AB952">
        <v>1</v>
      </c>
      <c r="AC952">
        <v>10</v>
      </c>
      <c r="AD952">
        <v>5</v>
      </c>
      <c r="AE952">
        <v>2</v>
      </c>
      <c r="AF952">
        <v>10</v>
      </c>
      <c r="AG952">
        <v>8</v>
      </c>
      <c r="AH952">
        <v>9</v>
      </c>
      <c r="AI952">
        <v>6</v>
      </c>
      <c r="AJ952" s="2">
        <f>IF(tblHR[[#This Row],[Attrition]]="Yes",1,0)</f>
        <v>0</v>
      </c>
      <c r="AK952" t="str">
        <f>IF(tblHR[[#This Row],[Age]]&lt;26,"18-25",IF(tblHR[[#This Row],[Age]]&lt;36,"26-35",IF(tblHR[[#This Row],[Age]]&lt;46,"36-45",IF(tblHR[[#This Row],[Age]]&lt;56,"46-55","56+"))))</f>
        <v>26-35</v>
      </c>
    </row>
    <row r="953" spans="1:37"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s="1">
        <v>6151</v>
      </c>
      <c r="T953">
        <v>22074</v>
      </c>
      <c r="U953">
        <v>1</v>
      </c>
      <c r="V953" t="s">
        <v>42</v>
      </c>
      <c r="W953" t="s">
        <v>43</v>
      </c>
      <c r="X953">
        <v>13</v>
      </c>
      <c r="Y953">
        <v>3</v>
      </c>
      <c r="Z953">
        <v>1</v>
      </c>
      <c r="AA953">
        <v>80</v>
      </c>
      <c r="AB953">
        <v>0</v>
      </c>
      <c r="AC953">
        <v>19</v>
      </c>
      <c r="AD953">
        <v>4</v>
      </c>
      <c r="AE953">
        <v>3</v>
      </c>
      <c r="AF953">
        <v>19</v>
      </c>
      <c r="AG953">
        <v>2</v>
      </c>
      <c r="AH953">
        <v>11</v>
      </c>
      <c r="AI953">
        <v>9</v>
      </c>
      <c r="AJ953" s="2">
        <f>IF(tblHR[[#This Row],[Attrition]]="Yes",1,0)</f>
        <v>0</v>
      </c>
      <c r="AK953" t="str">
        <f>IF(tblHR[[#This Row],[Age]]&lt;26,"18-25",IF(tblHR[[#This Row],[Age]]&lt;36,"26-35",IF(tblHR[[#This Row],[Age]]&lt;46,"36-45",IF(tblHR[[#This Row],[Age]]&lt;56,"46-55","56+"))))</f>
        <v>36-45</v>
      </c>
    </row>
    <row r="954" spans="1:37"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s="1">
        <v>2302</v>
      </c>
      <c r="T954">
        <v>8319</v>
      </c>
      <c r="U954">
        <v>1</v>
      </c>
      <c r="V954" t="s">
        <v>42</v>
      </c>
      <c r="W954" t="s">
        <v>35</v>
      </c>
      <c r="X954">
        <v>11</v>
      </c>
      <c r="Y954">
        <v>3</v>
      </c>
      <c r="Z954">
        <v>1</v>
      </c>
      <c r="AA954">
        <v>80</v>
      </c>
      <c r="AB954">
        <v>0</v>
      </c>
      <c r="AC954">
        <v>3</v>
      </c>
      <c r="AD954">
        <v>2</v>
      </c>
      <c r="AE954">
        <v>4</v>
      </c>
      <c r="AF954">
        <v>3</v>
      </c>
      <c r="AG954">
        <v>2</v>
      </c>
      <c r="AH954">
        <v>2</v>
      </c>
      <c r="AI954">
        <v>2</v>
      </c>
      <c r="AJ954" s="2">
        <f>IF(tblHR[[#This Row],[Attrition]]="Yes",1,0)</f>
        <v>1</v>
      </c>
      <c r="AK954" t="str">
        <f>IF(tblHR[[#This Row],[Age]]&lt;26,"18-25",IF(tblHR[[#This Row],[Age]]&lt;36,"26-35",IF(tblHR[[#This Row],[Age]]&lt;46,"36-45",IF(tblHR[[#This Row],[Age]]&lt;56,"46-55","56+"))))</f>
        <v>26-35</v>
      </c>
    </row>
    <row r="955" spans="1:37"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s="1">
        <v>2362</v>
      </c>
      <c r="T955">
        <v>14669</v>
      </c>
      <c r="U955">
        <v>4</v>
      </c>
      <c r="V955" t="s">
        <v>42</v>
      </c>
      <c r="W955" t="s">
        <v>43</v>
      </c>
      <c r="X955">
        <v>12</v>
      </c>
      <c r="Y955">
        <v>3</v>
      </c>
      <c r="Z955">
        <v>3</v>
      </c>
      <c r="AA955">
        <v>80</v>
      </c>
      <c r="AB955">
        <v>0</v>
      </c>
      <c r="AC955">
        <v>10</v>
      </c>
      <c r="AD955">
        <v>4</v>
      </c>
      <c r="AE955">
        <v>4</v>
      </c>
      <c r="AF955">
        <v>3</v>
      </c>
      <c r="AG955">
        <v>2</v>
      </c>
      <c r="AH955">
        <v>1</v>
      </c>
      <c r="AI955">
        <v>2</v>
      </c>
      <c r="AJ955" s="2">
        <f>IF(tblHR[[#This Row],[Attrition]]="Yes",1,0)</f>
        <v>1</v>
      </c>
      <c r="AK955" t="str">
        <f>IF(tblHR[[#This Row],[Age]]&lt;26,"18-25",IF(tblHR[[#This Row],[Age]]&lt;36,"26-35",IF(tblHR[[#This Row],[Age]]&lt;46,"36-45",IF(tblHR[[#This Row],[Age]]&lt;56,"46-55","56+"))))</f>
        <v>36-45</v>
      </c>
    </row>
    <row r="956" spans="1:37"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s="1">
        <v>17861</v>
      </c>
      <c r="T956">
        <v>26582</v>
      </c>
      <c r="U956">
        <v>0</v>
      </c>
      <c r="V956" t="s">
        <v>42</v>
      </c>
      <c r="W956" t="s">
        <v>35</v>
      </c>
      <c r="X956">
        <v>13</v>
      </c>
      <c r="Y956">
        <v>3</v>
      </c>
      <c r="Z956">
        <v>4</v>
      </c>
      <c r="AA956">
        <v>80</v>
      </c>
      <c r="AB956">
        <v>0</v>
      </c>
      <c r="AC956">
        <v>21</v>
      </c>
      <c r="AD956">
        <v>3</v>
      </c>
      <c r="AE956">
        <v>2</v>
      </c>
      <c r="AF956">
        <v>20</v>
      </c>
      <c r="AG956">
        <v>8</v>
      </c>
      <c r="AH956">
        <v>2</v>
      </c>
      <c r="AI956">
        <v>10</v>
      </c>
      <c r="AJ956" s="2">
        <f>IF(tblHR[[#This Row],[Attrition]]="Yes",1,0)</f>
        <v>0</v>
      </c>
      <c r="AK956" t="str">
        <f>IF(tblHR[[#This Row],[Age]]&lt;26,"18-25",IF(tblHR[[#This Row],[Age]]&lt;36,"26-35",IF(tblHR[[#This Row],[Age]]&lt;46,"36-45",IF(tblHR[[#This Row],[Age]]&lt;56,"46-55","56+"))))</f>
        <v>36-45</v>
      </c>
    </row>
    <row r="957" spans="1:37"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s="1">
        <v>19187</v>
      </c>
      <c r="T957">
        <v>6992</v>
      </c>
      <c r="U957">
        <v>4</v>
      </c>
      <c r="V957" t="s">
        <v>42</v>
      </c>
      <c r="W957" t="s">
        <v>43</v>
      </c>
      <c r="X957">
        <v>14</v>
      </c>
      <c r="Y957">
        <v>3</v>
      </c>
      <c r="Z957">
        <v>4</v>
      </c>
      <c r="AA957">
        <v>80</v>
      </c>
      <c r="AB957">
        <v>1</v>
      </c>
      <c r="AC957">
        <v>23</v>
      </c>
      <c r="AD957">
        <v>5</v>
      </c>
      <c r="AE957">
        <v>3</v>
      </c>
      <c r="AF957">
        <v>19</v>
      </c>
      <c r="AG957">
        <v>9</v>
      </c>
      <c r="AH957">
        <v>9</v>
      </c>
      <c r="AI957">
        <v>11</v>
      </c>
      <c r="AJ957" s="2">
        <f>IF(tblHR[[#This Row],[Attrition]]="Yes",1,0)</f>
        <v>0</v>
      </c>
      <c r="AK957" t="str">
        <f>IF(tblHR[[#This Row],[Age]]&lt;26,"18-25",IF(tblHR[[#This Row],[Age]]&lt;36,"26-35",IF(tblHR[[#This Row],[Age]]&lt;46,"36-45",IF(tblHR[[#This Row],[Age]]&lt;56,"46-55","56+"))))</f>
        <v>46-55</v>
      </c>
    </row>
    <row r="958" spans="1:37"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s="1">
        <v>19717</v>
      </c>
      <c r="T958">
        <v>4022</v>
      </c>
      <c r="U958">
        <v>6</v>
      </c>
      <c r="V958" t="s">
        <v>42</v>
      </c>
      <c r="W958" t="s">
        <v>43</v>
      </c>
      <c r="X958">
        <v>14</v>
      </c>
      <c r="Y958">
        <v>3</v>
      </c>
      <c r="Z958">
        <v>1</v>
      </c>
      <c r="AA958">
        <v>80</v>
      </c>
      <c r="AB958">
        <v>0</v>
      </c>
      <c r="AC958">
        <v>36</v>
      </c>
      <c r="AD958">
        <v>4</v>
      </c>
      <c r="AE958">
        <v>3</v>
      </c>
      <c r="AF958">
        <v>7</v>
      </c>
      <c r="AG958">
        <v>3</v>
      </c>
      <c r="AH958">
        <v>7</v>
      </c>
      <c r="AI958">
        <v>7</v>
      </c>
      <c r="AJ958" s="2">
        <f>IF(tblHR[[#This Row],[Attrition]]="Yes",1,0)</f>
        <v>0</v>
      </c>
      <c r="AK958" t="str">
        <f>IF(tblHR[[#This Row],[Age]]&lt;26,"18-25",IF(tblHR[[#This Row],[Age]]&lt;36,"26-35",IF(tblHR[[#This Row],[Age]]&lt;46,"36-45",IF(tblHR[[#This Row],[Age]]&lt;56,"46-55","56+"))))</f>
        <v>56+</v>
      </c>
    </row>
    <row r="959" spans="1:37"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s="1">
        <v>3544</v>
      </c>
      <c r="T959">
        <v>8532</v>
      </c>
      <c r="U959">
        <v>9</v>
      </c>
      <c r="V959" t="s">
        <v>42</v>
      </c>
      <c r="W959" t="s">
        <v>43</v>
      </c>
      <c r="X959">
        <v>16</v>
      </c>
      <c r="Y959">
        <v>3</v>
      </c>
      <c r="Z959">
        <v>2</v>
      </c>
      <c r="AA959">
        <v>80</v>
      </c>
      <c r="AB959">
        <v>1</v>
      </c>
      <c r="AC959">
        <v>6</v>
      </c>
      <c r="AD959">
        <v>0</v>
      </c>
      <c r="AE959">
        <v>3</v>
      </c>
      <c r="AF959">
        <v>4</v>
      </c>
      <c r="AG959">
        <v>2</v>
      </c>
      <c r="AH959">
        <v>0</v>
      </c>
      <c r="AI959">
        <v>0</v>
      </c>
      <c r="AJ959" s="2">
        <f>IF(tblHR[[#This Row],[Attrition]]="Yes",1,0)</f>
        <v>0</v>
      </c>
      <c r="AK959" t="str">
        <f>IF(tblHR[[#This Row],[Age]]&lt;26,"18-25",IF(tblHR[[#This Row],[Age]]&lt;36,"26-35",IF(tblHR[[#This Row],[Age]]&lt;46,"36-45",IF(tblHR[[#This Row],[Age]]&lt;56,"46-55","56+"))))</f>
        <v>36-45</v>
      </c>
    </row>
    <row r="960" spans="1:37"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s="1">
        <v>8500</v>
      </c>
      <c r="T960">
        <v>5494</v>
      </c>
      <c r="U960">
        <v>0</v>
      </c>
      <c r="V960" t="s">
        <v>42</v>
      </c>
      <c r="W960" t="s">
        <v>43</v>
      </c>
      <c r="X960">
        <v>11</v>
      </c>
      <c r="Y960">
        <v>3</v>
      </c>
      <c r="Z960">
        <v>4</v>
      </c>
      <c r="AA960">
        <v>80</v>
      </c>
      <c r="AB960">
        <v>1</v>
      </c>
      <c r="AC960">
        <v>10</v>
      </c>
      <c r="AD960">
        <v>0</v>
      </c>
      <c r="AE960">
        <v>2</v>
      </c>
      <c r="AF960">
        <v>9</v>
      </c>
      <c r="AG960">
        <v>7</v>
      </c>
      <c r="AH960">
        <v>1</v>
      </c>
      <c r="AI960">
        <v>6</v>
      </c>
      <c r="AJ960" s="2">
        <f>IF(tblHR[[#This Row],[Attrition]]="Yes",1,0)</f>
        <v>0</v>
      </c>
      <c r="AK960" t="str">
        <f>IF(tblHR[[#This Row],[Age]]&lt;26,"18-25",IF(tblHR[[#This Row],[Age]]&lt;36,"26-35",IF(tblHR[[#This Row],[Age]]&lt;46,"36-45",IF(tblHR[[#This Row],[Age]]&lt;56,"46-55","56+"))))</f>
        <v>26-35</v>
      </c>
    </row>
    <row r="961" spans="1:37"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s="1">
        <v>4661</v>
      </c>
      <c r="T961">
        <v>22455</v>
      </c>
      <c r="U961">
        <v>1</v>
      </c>
      <c r="V961" t="s">
        <v>42</v>
      </c>
      <c r="W961" t="s">
        <v>43</v>
      </c>
      <c r="X961">
        <v>13</v>
      </c>
      <c r="Y961">
        <v>3</v>
      </c>
      <c r="Z961">
        <v>3</v>
      </c>
      <c r="AA961">
        <v>80</v>
      </c>
      <c r="AB961">
        <v>0</v>
      </c>
      <c r="AC961">
        <v>9</v>
      </c>
      <c r="AD961">
        <v>4</v>
      </c>
      <c r="AE961">
        <v>3</v>
      </c>
      <c r="AF961">
        <v>9</v>
      </c>
      <c r="AG961">
        <v>8</v>
      </c>
      <c r="AH961">
        <v>8</v>
      </c>
      <c r="AI961">
        <v>8</v>
      </c>
      <c r="AJ961" s="2">
        <f>IF(tblHR[[#This Row],[Attrition]]="Yes",1,0)</f>
        <v>0</v>
      </c>
      <c r="AK961" t="str">
        <f>IF(tblHR[[#This Row],[Age]]&lt;26,"18-25",IF(tblHR[[#This Row],[Age]]&lt;36,"26-35",IF(tblHR[[#This Row],[Age]]&lt;46,"36-45",IF(tblHR[[#This Row],[Age]]&lt;56,"46-55","56+"))))</f>
        <v>36-45</v>
      </c>
    </row>
    <row r="962" spans="1:37"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s="1">
        <v>4103</v>
      </c>
      <c r="T962">
        <v>4297</v>
      </c>
      <c r="U962">
        <v>0</v>
      </c>
      <c r="V962" t="s">
        <v>42</v>
      </c>
      <c r="W962" t="s">
        <v>43</v>
      </c>
      <c r="X962">
        <v>17</v>
      </c>
      <c r="Y962">
        <v>3</v>
      </c>
      <c r="Z962">
        <v>4</v>
      </c>
      <c r="AA962">
        <v>80</v>
      </c>
      <c r="AB962">
        <v>1</v>
      </c>
      <c r="AC962">
        <v>10</v>
      </c>
      <c r="AD962">
        <v>2</v>
      </c>
      <c r="AE962">
        <v>3</v>
      </c>
      <c r="AF962">
        <v>9</v>
      </c>
      <c r="AG962">
        <v>3</v>
      </c>
      <c r="AH962">
        <v>1</v>
      </c>
      <c r="AI962">
        <v>7</v>
      </c>
      <c r="AJ962" s="2">
        <f>IF(tblHR[[#This Row],[Attrition]]="Yes",1,0)</f>
        <v>0</v>
      </c>
      <c r="AK962" t="str">
        <f>IF(tblHR[[#This Row],[Age]]&lt;26,"18-25",IF(tblHR[[#This Row],[Age]]&lt;36,"26-35",IF(tblHR[[#This Row],[Age]]&lt;46,"36-45",IF(tblHR[[#This Row],[Age]]&lt;56,"46-55","56+"))))</f>
        <v>36-45</v>
      </c>
    </row>
    <row r="963" spans="1:37"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s="1">
        <v>4249</v>
      </c>
      <c r="T963">
        <v>2690</v>
      </c>
      <c r="U963">
        <v>1</v>
      </c>
      <c r="V963" t="s">
        <v>42</v>
      </c>
      <c r="W963" t="s">
        <v>35</v>
      </c>
      <c r="X963">
        <v>11</v>
      </c>
      <c r="Y963">
        <v>3</v>
      </c>
      <c r="Z963">
        <v>2</v>
      </c>
      <c r="AA963">
        <v>80</v>
      </c>
      <c r="AB963">
        <v>0</v>
      </c>
      <c r="AC963">
        <v>9</v>
      </c>
      <c r="AD963">
        <v>3</v>
      </c>
      <c r="AE963">
        <v>3</v>
      </c>
      <c r="AF963">
        <v>9</v>
      </c>
      <c r="AG963">
        <v>6</v>
      </c>
      <c r="AH963">
        <v>1</v>
      </c>
      <c r="AI963">
        <v>1</v>
      </c>
      <c r="AJ963" s="2">
        <f>IF(tblHR[[#This Row],[Attrition]]="Yes",1,0)</f>
        <v>0</v>
      </c>
      <c r="AK963" t="str">
        <f>IF(tblHR[[#This Row],[Age]]&lt;26,"18-25",IF(tblHR[[#This Row],[Age]]&lt;36,"26-35",IF(tblHR[[#This Row],[Age]]&lt;46,"36-45",IF(tblHR[[#This Row],[Age]]&lt;56,"46-55","56+"))))</f>
        <v>26-35</v>
      </c>
    </row>
    <row r="964" spans="1:37"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s="1">
        <v>14026</v>
      </c>
      <c r="T964">
        <v>17588</v>
      </c>
      <c r="U964">
        <v>1</v>
      </c>
      <c r="V964" t="s">
        <v>42</v>
      </c>
      <c r="W964" t="s">
        <v>35</v>
      </c>
      <c r="X964">
        <v>11</v>
      </c>
      <c r="Y964">
        <v>3</v>
      </c>
      <c r="Z964">
        <v>2</v>
      </c>
      <c r="AA964">
        <v>80</v>
      </c>
      <c r="AB964">
        <v>1</v>
      </c>
      <c r="AC964">
        <v>33</v>
      </c>
      <c r="AD964">
        <v>2</v>
      </c>
      <c r="AE964">
        <v>3</v>
      </c>
      <c r="AF964">
        <v>33</v>
      </c>
      <c r="AG964">
        <v>9</v>
      </c>
      <c r="AH964">
        <v>0</v>
      </c>
      <c r="AI964">
        <v>10</v>
      </c>
      <c r="AJ964" s="2">
        <f>IF(tblHR[[#This Row],[Attrition]]="Yes",1,0)</f>
        <v>0</v>
      </c>
      <c r="AK964" t="str">
        <f>IF(tblHR[[#This Row],[Age]]&lt;26,"18-25",IF(tblHR[[#This Row],[Age]]&lt;36,"26-35",IF(tblHR[[#This Row],[Age]]&lt;46,"36-45",IF(tblHR[[#This Row],[Age]]&lt;56,"46-55","56+"))))</f>
        <v>46-55</v>
      </c>
    </row>
    <row r="965" spans="1:37"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s="1">
        <v>6893</v>
      </c>
      <c r="T965">
        <v>19461</v>
      </c>
      <c r="U965">
        <v>3</v>
      </c>
      <c r="V965" t="s">
        <v>42</v>
      </c>
      <c r="W965" t="s">
        <v>43</v>
      </c>
      <c r="X965">
        <v>15</v>
      </c>
      <c r="Y965">
        <v>3</v>
      </c>
      <c r="Z965">
        <v>4</v>
      </c>
      <c r="AA965">
        <v>80</v>
      </c>
      <c r="AB965">
        <v>1</v>
      </c>
      <c r="AC965">
        <v>11</v>
      </c>
      <c r="AD965">
        <v>3</v>
      </c>
      <c r="AE965">
        <v>3</v>
      </c>
      <c r="AF965">
        <v>7</v>
      </c>
      <c r="AG965">
        <v>7</v>
      </c>
      <c r="AH965">
        <v>1</v>
      </c>
      <c r="AI965">
        <v>7</v>
      </c>
      <c r="AJ965" s="2">
        <f>IF(tblHR[[#This Row],[Attrition]]="Yes",1,0)</f>
        <v>0</v>
      </c>
      <c r="AK965" t="str">
        <f>IF(tblHR[[#This Row],[Age]]&lt;26,"18-25",IF(tblHR[[#This Row],[Age]]&lt;36,"26-35",IF(tblHR[[#This Row],[Age]]&lt;46,"36-45",IF(tblHR[[#This Row],[Age]]&lt;56,"46-55","56+"))))</f>
        <v>36-45</v>
      </c>
    </row>
    <row r="966" spans="1:37"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s="1">
        <v>6125</v>
      </c>
      <c r="T966">
        <v>23553</v>
      </c>
      <c r="U966">
        <v>1</v>
      </c>
      <c r="V966" t="s">
        <v>42</v>
      </c>
      <c r="W966" t="s">
        <v>43</v>
      </c>
      <c r="X966">
        <v>12</v>
      </c>
      <c r="Y966">
        <v>3</v>
      </c>
      <c r="Z966">
        <v>4</v>
      </c>
      <c r="AA966">
        <v>80</v>
      </c>
      <c r="AB966">
        <v>0</v>
      </c>
      <c r="AC966">
        <v>10</v>
      </c>
      <c r="AD966">
        <v>6</v>
      </c>
      <c r="AE966">
        <v>4</v>
      </c>
      <c r="AF966">
        <v>10</v>
      </c>
      <c r="AG966">
        <v>8</v>
      </c>
      <c r="AH966">
        <v>9</v>
      </c>
      <c r="AI966">
        <v>6</v>
      </c>
      <c r="AJ966" s="2">
        <f>IF(tblHR[[#This Row],[Attrition]]="Yes",1,0)</f>
        <v>0</v>
      </c>
      <c r="AK966" t="str">
        <f>IF(tblHR[[#This Row],[Age]]&lt;26,"18-25",IF(tblHR[[#This Row],[Age]]&lt;36,"26-35",IF(tblHR[[#This Row],[Age]]&lt;46,"36-45",IF(tblHR[[#This Row],[Age]]&lt;56,"46-55","56+"))))</f>
        <v>26-35</v>
      </c>
    </row>
    <row r="967" spans="1:37"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s="1">
        <v>3669</v>
      </c>
      <c r="T967">
        <v>9075</v>
      </c>
      <c r="U967">
        <v>3</v>
      </c>
      <c r="V967" t="s">
        <v>42</v>
      </c>
      <c r="W967" t="s">
        <v>43</v>
      </c>
      <c r="X967">
        <v>11</v>
      </c>
      <c r="Y967">
        <v>3</v>
      </c>
      <c r="Z967">
        <v>3</v>
      </c>
      <c r="AA967">
        <v>80</v>
      </c>
      <c r="AB967">
        <v>3</v>
      </c>
      <c r="AC967">
        <v>7</v>
      </c>
      <c r="AD967">
        <v>6</v>
      </c>
      <c r="AE967">
        <v>2</v>
      </c>
      <c r="AF967">
        <v>3</v>
      </c>
      <c r="AG967">
        <v>2</v>
      </c>
      <c r="AH967">
        <v>1</v>
      </c>
      <c r="AI967">
        <v>2</v>
      </c>
      <c r="AJ967" s="2">
        <f>IF(tblHR[[#This Row],[Attrition]]="Yes",1,0)</f>
        <v>0</v>
      </c>
      <c r="AK967" t="str">
        <f>IF(tblHR[[#This Row],[Age]]&lt;26,"18-25",IF(tblHR[[#This Row],[Age]]&lt;36,"26-35",IF(tblHR[[#This Row],[Age]]&lt;46,"36-45",IF(tblHR[[#This Row],[Age]]&lt;56,"46-55","56+"))))</f>
        <v>18-25</v>
      </c>
    </row>
    <row r="968" spans="1:37"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s="1">
        <v>10008</v>
      </c>
      <c r="T968">
        <v>12023</v>
      </c>
      <c r="U968">
        <v>7</v>
      </c>
      <c r="V968" t="s">
        <v>42</v>
      </c>
      <c r="W968" t="s">
        <v>35</v>
      </c>
      <c r="X968">
        <v>14</v>
      </c>
      <c r="Y968">
        <v>3</v>
      </c>
      <c r="Z968">
        <v>4</v>
      </c>
      <c r="AA968">
        <v>80</v>
      </c>
      <c r="AB968">
        <v>0</v>
      </c>
      <c r="AC968">
        <v>31</v>
      </c>
      <c r="AD968">
        <v>0</v>
      </c>
      <c r="AE968">
        <v>2</v>
      </c>
      <c r="AF968">
        <v>10</v>
      </c>
      <c r="AG968">
        <v>9</v>
      </c>
      <c r="AH968">
        <v>5</v>
      </c>
      <c r="AI968">
        <v>9</v>
      </c>
      <c r="AJ968" s="2">
        <f>IF(tblHR[[#This Row],[Attrition]]="Yes",1,0)</f>
        <v>1</v>
      </c>
      <c r="AK968" t="str">
        <f>IF(tblHR[[#This Row],[Age]]&lt;26,"18-25",IF(tblHR[[#This Row],[Age]]&lt;36,"26-35",IF(tblHR[[#This Row],[Age]]&lt;46,"36-45",IF(tblHR[[#This Row],[Age]]&lt;56,"46-55","56+"))))</f>
        <v>56+</v>
      </c>
    </row>
    <row r="969" spans="1:37"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s="1">
        <v>2387</v>
      </c>
      <c r="T969">
        <v>6762</v>
      </c>
      <c r="U969">
        <v>3</v>
      </c>
      <c r="V969" t="s">
        <v>42</v>
      </c>
      <c r="W969" t="s">
        <v>43</v>
      </c>
      <c r="X969">
        <v>22</v>
      </c>
      <c r="Y969">
        <v>4</v>
      </c>
      <c r="Z969">
        <v>3</v>
      </c>
      <c r="AA969">
        <v>80</v>
      </c>
      <c r="AB969">
        <v>1</v>
      </c>
      <c r="AC969">
        <v>7</v>
      </c>
      <c r="AD969">
        <v>3</v>
      </c>
      <c r="AE969">
        <v>3</v>
      </c>
      <c r="AF969">
        <v>4</v>
      </c>
      <c r="AG969">
        <v>2</v>
      </c>
      <c r="AH969">
        <v>0</v>
      </c>
      <c r="AI969">
        <v>3</v>
      </c>
      <c r="AJ969" s="2">
        <f>IF(tblHR[[#This Row],[Attrition]]="Yes",1,0)</f>
        <v>0</v>
      </c>
      <c r="AK969" t="str">
        <f>IF(tblHR[[#This Row],[Age]]&lt;26,"18-25",IF(tblHR[[#This Row],[Age]]&lt;36,"26-35",IF(tblHR[[#This Row],[Age]]&lt;46,"36-45",IF(tblHR[[#This Row],[Age]]&lt;56,"46-55","56+"))))</f>
        <v>36-45</v>
      </c>
    </row>
    <row r="970" spans="1:37"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s="1">
        <v>4639</v>
      </c>
      <c r="T970">
        <v>2261</v>
      </c>
      <c r="U970">
        <v>2</v>
      </c>
      <c r="V970" t="s">
        <v>42</v>
      </c>
      <c r="W970" t="s">
        <v>43</v>
      </c>
      <c r="X970">
        <v>16</v>
      </c>
      <c r="Y970">
        <v>3</v>
      </c>
      <c r="Z970">
        <v>4</v>
      </c>
      <c r="AA970">
        <v>80</v>
      </c>
      <c r="AB970">
        <v>1</v>
      </c>
      <c r="AC970">
        <v>17</v>
      </c>
      <c r="AD970">
        <v>2</v>
      </c>
      <c r="AE970">
        <v>2</v>
      </c>
      <c r="AF970">
        <v>15</v>
      </c>
      <c r="AG970">
        <v>7</v>
      </c>
      <c r="AH970">
        <v>6</v>
      </c>
      <c r="AI970">
        <v>13</v>
      </c>
      <c r="AJ970" s="2">
        <f>IF(tblHR[[#This Row],[Attrition]]="Yes",1,0)</f>
        <v>0</v>
      </c>
      <c r="AK970" t="str">
        <f>IF(tblHR[[#This Row],[Age]]&lt;26,"18-25",IF(tblHR[[#This Row],[Age]]&lt;36,"26-35",IF(tblHR[[#This Row],[Age]]&lt;46,"36-45",IF(tblHR[[#This Row],[Age]]&lt;56,"46-55","56+"))))</f>
        <v>36-45</v>
      </c>
    </row>
    <row r="971" spans="1:37"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s="1">
        <v>7898</v>
      </c>
      <c r="T971">
        <v>18706</v>
      </c>
      <c r="U971">
        <v>1</v>
      </c>
      <c r="V971" t="s">
        <v>42</v>
      </c>
      <c r="W971" t="s">
        <v>43</v>
      </c>
      <c r="X971">
        <v>11</v>
      </c>
      <c r="Y971">
        <v>3</v>
      </c>
      <c r="Z971">
        <v>3</v>
      </c>
      <c r="AA971">
        <v>80</v>
      </c>
      <c r="AB971">
        <v>0</v>
      </c>
      <c r="AC971">
        <v>11</v>
      </c>
      <c r="AD971">
        <v>2</v>
      </c>
      <c r="AE971">
        <v>3</v>
      </c>
      <c r="AF971">
        <v>10</v>
      </c>
      <c r="AG971">
        <v>9</v>
      </c>
      <c r="AH971">
        <v>0</v>
      </c>
      <c r="AI971">
        <v>8</v>
      </c>
      <c r="AJ971" s="2">
        <f>IF(tblHR[[#This Row],[Attrition]]="Yes",1,0)</f>
        <v>0</v>
      </c>
      <c r="AK971" t="str">
        <f>IF(tblHR[[#This Row],[Age]]&lt;26,"18-25",IF(tblHR[[#This Row],[Age]]&lt;36,"26-35",IF(tblHR[[#This Row],[Age]]&lt;46,"36-45",IF(tblHR[[#This Row],[Age]]&lt;56,"46-55","56+"))))</f>
        <v>46-55</v>
      </c>
    </row>
    <row r="972" spans="1:37"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s="1">
        <v>2534</v>
      </c>
      <c r="T972">
        <v>6527</v>
      </c>
      <c r="U972">
        <v>8</v>
      </c>
      <c r="V972" t="s">
        <v>42</v>
      </c>
      <c r="W972" t="s">
        <v>43</v>
      </c>
      <c r="X972">
        <v>14</v>
      </c>
      <c r="Y972">
        <v>3</v>
      </c>
      <c r="Z972">
        <v>2</v>
      </c>
      <c r="AA972">
        <v>80</v>
      </c>
      <c r="AB972">
        <v>1</v>
      </c>
      <c r="AC972">
        <v>5</v>
      </c>
      <c r="AD972">
        <v>4</v>
      </c>
      <c r="AE972">
        <v>3</v>
      </c>
      <c r="AF972">
        <v>1</v>
      </c>
      <c r="AG972">
        <v>0</v>
      </c>
      <c r="AH972">
        <v>0</v>
      </c>
      <c r="AI972">
        <v>0</v>
      </c>
      <c r="AJ972" s="2">
        <f>IF(tblHR[[#This Row],[Attrition]]="Yes",1,0)</f>
        <v>0</v>
      </c>
      <c r="AK972" t="str">
        <f>IF(tblHR[[#This Row],[Age]]&lt;26,"18-25",IF(tblHR[[#This Row],[Age]]&lt;36,"26-35",IF(tblHR[[#This Row],[Age]]&lt;46,"36-45",IF(tblHR[[#This Row],[Age]]&lt;56,"46-55","56+"))))</f>
        <v>26-35</v>
      </c>
    </row>
    <row r="973" spans="1:37"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s="1">
        <v>13142</v>
      </c>
      <c r="T973">
        <v>24439</v>
      </c>
      <c r="U973">
        <v>3</v>
      </c>
      <c r="V973" t="s">
        <v>42</v>
      </c>
      <c r="W973" t="s">
        <v>43</v>
      </c>
      <c r="X973">
        <v>16</v>
      </c>
      <c r="Y973">
        <v>3</v>
      </c>
      <c r="Z973">
        <v>2</v>
      </c>
      <c r="AA973">
        <v>80</v>
      </c>
      <c r="AB973">
        <v>0</v>
      </c>
      <c r="AC973">
        <v>29</v>
      </c>
      <c r="AD973">
        <v>1</v>
      </c>
      <c r="AE973">
        <v>2</v>
      </c>
      <c r="AF973">
        <v>5</v>
      </c>
      <c r="AG973">
        <v>2</v>
      </c>
      <c r="AH973">
        <v>0</v>
      </c>
      <c r="AI973">
        <v>3</v>
      </c>
      <c r="AJ973" s="2">
        <f>IF(tblHR[[#This Row],[Attrition]]="Yes",1,0)</f>
        <v>0</v>
      </c>
      <c r="AK973" t="str">
        <f>IF(tblHR[[#This Row],[Age]]&lt;26,"18-25",IF(tblHR[[#This Row],[Age]]&lt;36,"26-35",IF(tblHR[[#This Row],[Age]]&lt;46,"36-45",IF(tblHR[[#This Row],[Age]]&lt;56,"46-55","56+"))))</f>
        <v>46-55</v>
      </c>
    </row>
    <row r="974" spans="1:37"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s="1">
        <v>1611</v>
      </c>
      <c r="T974">
        <v>19305</v>
      </c>
      <c r="U974">
        <v>1</v>
      </c>
      <c r="V974" t="s">
        <v>42</v>
      </c>
      <c r="W974" t="s">
        <v>43</v>
      </c>
      <c r="X974">
        <v>15</v>
      </c>
      <c r="Y974">
        <v>3</v>
      </c>
      <c r="Z974">
        <v>3</v>
      </c>
      <c r="AA974">
        <v>80</v>
      </c>
      <c r="AB974">
        <v>0</v>
      </c>
      <c r="AC974">
        <v>0</v>
      </c>
      <c r="AD974">
        <v>5</v>
      </c>
      <c r="AE974">
        <v>4</v>
      </c>
      <c r="AF974">
        <v>0</v>
      </c>
      <c r="AG974">
        <v>0</v>
      </c>
      <c r="AH974">
        <v>0</v>
      </c>
      <c r="AI974">
        <v>0</v>
      </c>
      <c r="AJ974" s="2">
        <f>IF(tblHR[[#This Row],[Attrition]]="Yes",1,0)</f>
        <v>0</v>
      </c>
      <c r="AK974" t="str">
        <f>IF(tblHR[[#This Row],[Age]]&lt;26,"18-25",IF(tblHR[[#This Row],[Age]]&lt;36,"26-35",IF(tblHR[[#This Row],[Age]]&lt;46,"36-45",IF(tblHR[[#This Row],[Age]]&lt;56,"46-55","56+"))))</f>
        <v>18-25</v>
      </c>
    </row>
    <row r="975" spans="1:37"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s="1">
        <v>5363</v>
      </c>
      <c r="T975">
        <v>10846</v>
      </c>
      <c r="U975">
        <v>0</v>
      </c>
      <c r="V975" t="s">
        <v>42</v>
      </c>
      <c r="W975" t="s">
        <v>43</v>
      </c>
      <c r="X975">
        <v>12</v>
      </c>
      <c r="Y975">
        <v>3</v>
      </c>
      <c r="Z975">
        <v>2</v>
      </c>
      <c r="AA975">
        <v>80</v>
      </c>
      <c r="AB975">
        <v>1</v>
      </c>
      <c r="AC975">
        <v>10</v>
      </c>
      <c r="AD975">
        <v>0</v>
      </c>
      <c r="AE975">
        <v>3</v>
      </c>
      <c r="AF975">
        <v>9</v>
      </c>
      <c r="AG975">
        <v>7</v>
      </c>
      <c r="AH975">
        <v>0</v>
      </c>
      <c r="AI975">
        <v>0</v>
      </c>
      <c r="AJ975" s="2">
        <f>IF(tblHR[[#This Row],[Attrition]]="Yes",1,0)</f>
        <v>0</v>
      </c>
      <c r="AK975" t="str">
        <f>IF(tblHR[[#This Row],[Age]]&lt;26,"18-25",IF(tblHR[[#This Row],[Age]]&lt;36,"26-35",IF(tblHR[[#This Row],[Age]]&lt;46,"36-45",IF(tblHR[[#This Row],[Age]]&lt;56,"46-55","56+"))))</f>
        <v>26-35</v>
      </c>
    </row>
    <row r="976" spans="1:37"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s="1">
        <v>5071</v>
      </c>
      <c r="T976">
        <v>20392</v>
      </c>
      <c r="U976">
        <v>3</v>
      </c>
      <c r="V976" t="s">
        <v>42</v>
      </c>
      <c r="W976" t="s">
        <v>43</v>
      </c>
      <c r="X976">
        <v>20</v>
      </c>
      <c r="Y976">
        <v>4</v>
      </c>
      <c r="Z976">
        <v>2</v>
      </c>
      <c r="AA976">
        <v>80</v>
      </c>
      <c r="AB976">
        <v>0</v>
      </c>
      <c r="AC976">
        <v>8</v>
      </c>
      <c r="AD976">
        <v>3</v>
      </c>
      <c r="AE976">
        <v>3</v>
      </c>
      <c r="AF976">
        <v>6</v>
      </c>
      <c r="AG976">
        <v>2</v>
      </c>
      <c r="AH976">
        <v>0</v>
      </c>
      <c r="AI976">
        <v>0</v>
      </c>
      <c r="AJ976" s="2">
        <f>IF(tblHR[[#This Row],[Attrition]]="Yes",1,0)</f>
        <v>0</v>
      </c>
      <c r="AK976" t="str">
        <f>IF(tblHR[[#This Row],[Age]]&lt;26,"18-25",IF(tblHR[[#This Row],[Age]]&lt;36,"26-35",IF(tblHR[[#This Row],[Age]]&lt;46,"36-45",IF(tblHR[[#This Row],[Age]]&lt;56,"46-55","56+"))))</f>
        <v>26-35</v>
      </c>
    </row>
    <row r="977" spans="1:37"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s="1">
        <v>13695</v>
      </c>
      <c r="T977">
        <v>9277</v>
      </c>
      <c r="U977">
        <v>6</v>
      </c>
      <c r="V977" t="s">
        <v>42</v>
      </c>
      <c r="W977" t="s">
        <v>35</v>
      </c>
      <c r="X977">
        <v>17</v>
      </c>
      <c r="Y977">
        <v>3</v>
      </c>
      <c r="Z977">
        <v>3</v>
      </c>
      <c r="AA977">
        <v>80</v>
      </c>
      <c r="AB977">
        <v>0</v>
      </c>
      <c r="AC977">
        <v>24</v>
      </c>
      <c r="AD977">
        <v>2</v>
      </c>
      <c r="AE977">
        <v>2</v>
      </c>
      <c r="AF977">
        <v>19</v>
      </c>
      <c r="AG977">
        <v>7</v>
      </c>
      <c r="AH977">
        <v>3</v>
      </c>
      <c r="AI977">
        <v>8</v>
      </c>
      <c r="AJ977" s="2">
        <f>IF(tblHR[[#This Row],[Attrition]]="Yes",1,0)</f>
        <v>1</v>
      </c>
      <c r="AK977" t="str">
        <f>IF(tblHR[[#This Row],[Age]]&lt;26,"18-25",IF(tblHR[[#This Row],[Age]]&lt;36,"26-35",IF(tblHR[[#This Row],[Age]]&lt;46,"36-45",IF(tblHR[[#This Row],[Age]]&lt;56,"46-55","56+"))))</f>
        <v>46-55</v>
      </c>
    </row>
    <row r="978" spans="1:37"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s="1">
        <v>13402</v>
      </c>
      <c r="T978">
        <v>18235</v>
      </c>
      <c r="U978">
        <v>4</v>
      </c>
      <c r="V978" t="s">
        <v>42</v>
      </c>
      <c r="W978" t="s">
        <v>35</v>
      </c>
      <c r="X978">
        <v>12</v>
      </c>
      <c r="Y978">
        <v>3</v>
      </c>
      <c r="Z978">
        <v>1</v>
      </c>
      <c r="AA978">
        <v>80</v>
      </c>
      <c r="AB978">
        <v>1</v>
      </c>
      <c r="AC978">
        <v>33</v>
      </c>
      <c r="AD978">
        <v>0</v>
      </c>
      <c r="AE978">
        <v>3</v>
      </c>
      <c r="AF978">
        <v>19</v>
      </c>
      <c r="AG978">
        <v>16</v>
      </c>
      <c r="AH978">
        <v>15</v>
      </c>
      <c r="AI978">
        <v>9</v>
      </c>
      <c r="AJ978" s="2">
        <f>IF(tblHR[[#This Row],[Attrition]]="Yes",1,0)</f>
        <v>0</v>
      </c>
      <c r="AK978" t="str">
        <f>IF(tblHR[[#This Row],[Age]]&lt;26,"18-25",IF(tblHR[[#This Row],[Age]]&lt;36,"26-35",IF(tblHR[[#This Row],[Age]]&lt;46,"36-45",IF(tblHR[[#This Row],[Age]]&lt;56,"46-55","56+"))))</f>
        <v>56+</v>
      </c>
    </row>
    <row r="979" spans="1:37"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s="1">
        <v>2029</v>
      </c>
      <c r="T979">
        <v>15891</v>
      </c>
      <c r="U979">
        <v>1</v>
      </c>
      <c r="V979" t="s">
        <v>42</v>
      </c>
      <c r="W979" t="s">
        <v>43</v>
      </c>
      <c r="X979">
        <v>20</v>
      </c>
      <c r="Y979">
        <v>4</v>
      </c>
      <c r="Z979">
        <v>3</v>
      </c>
      <c r="AA979">
        <v>80</v>
      </c>
      <c r="AB979">
        <v>3</v>
      </c>
      <c r="AC979">
        <v>5</v>
      </c>
      <c r="AD979">
        <v>2</v>
      </c>
      <c r="AE979">
        <v>3</v>
      </c>
      <c r="AF979">
        <v>5</v>
      </c>
      <c r="AG979">
        <v>4</v>
      </c>
      <c r="AH979">
        <v>0</v>
      </c>
      <c r="AI979">
        <v>0</v>
      </c>
      <c r="AJ979" s="2">
        <f>IF(tblHR[[#This Row],[Attrition]]="Yes",1,0)</f>
        <v>0</v>
      </c>
      <c r="AK979" t="str">
        <f>IF(tblHR[[#This Row],[Age]]&lt;26,"18-25",IF(tblHR[[#This Row],[Age]]&lt;36,"26-35",IF(tblHR[[#This Row],[Age]]&lt;46,"36-45",IF(tblHR[[#This Row],[Age]]&lt;56,"46-55","56+"))))</f>
        <v>26-35</v>
      </c>
    </row>
    <row r="980" spans="1:37"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s="1">
        <v>6377</v>
      </c>
      <c r="T980">
        <v>13888</v>
      </c>
      <c r="U980">
        <v>5</v>
      </c>
      <c r="V980" t="s">
        <v>42</v>
      </c>
      <c r="W980" t="s">
        <v>43</v>
      </c>
      <c r="X980">
        <v>20</v>
      </c>
      <c r="Y980">
        <v>4</v>
      </c>
      <c r="Z980">
        <v>2</v>
      </c>
      <c r="AA980">
        <v>80</v>
      </c>
      <c r="AB980">
        <v>3</v>
      </c>
      <c r="AC980">
        <v>15</v>
      </c>
      <c r="AD980">
        <v>0</v>
      </c>
      <c r="AE980">
        <v>3</v>
      </c>
      <c r="AF980">
        <v>12</v>
      </c>
      <c r="AG980">
        <v>11</v>
      </c>
      <c r="AH980">
        <v>11</v>
      </c>
      <c r="AI980">
        <v>8</v>
      </c>
      <c r="AJ980" s="2">
        <f>IF(tblHR[[#This Row],[Attrition]]="Yes",1,0)</f>
        <v>0</v>
      </c>
      <c r="AK980" t="str">
        <f>IF(tblHR[[#This Row],[Age]]&lt;26,"18-25",IF(tblHR[[#This Row],[Age]]&lt;36,"26-35",IF(tblHR[[#This Row],[Age]]&lt;46,"36-45",IF(tblHR[[#This Row],[Age]]&lt;56,"46-55","56+"))))</f>
        <v>36-45</v>
      </c>
    </row>
    <row r="981" spans="1:37"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s="1">
        <v>5429</v>
      </c>
      <c r="T981">
        <v>17491</v>
      </c>
      <c r="U981">
        <v>4</v>
      </c>
      <c r="V981" t="s">
        <v>42</v>
      </c>
      <c r="W981" t="s">
        <v>43</v>
      </c>
      <c r="X981">
        <v>13</v>
      </c>
      <c r="Y981">
        <v>3</v>
      </c>
      <c r="Z981">
        <v>1</v>
      </c>
      <c r="AA981">
        <v>80</v>
      </c>
      <c r="AB981">
        <v>2</v>
      </c>
      <c r="AC981">
        <v>10</v>
      </c>
      <c r="AD981">
        <v>1</v>
      </c>
      <c r="AE981">
        <v>3</v>
      </c>
      <c r="AF981">
        <v>8</v>
      </c>
      <c r="AG981">
        <v>7</v>
      </c>
      <c r="AH981">
        <v>7</v>
      </c>
      <c r="AI981">
        <v>7</v>
      </c>
      <c r="AJ981" s="2">
        <f>IF(tblHR[[#This Row],[Attrition]]="Yes",1,0)</f>
        <v>0</v>
      </c>
      <c r="AK981" t="str">
        <f>IF(tblHR[[#This Row],[Age]]&lt;26,"18-25",IF(tblHR[[#This Row],[Age]]&lt;36,"26-35",IF(tblHR[[#This Row],[Age]]&lt;46,"36-45",IF(tblHR[[#This Row],[Age]]&lt;56,"46-55","56+"))))</f>
        <v>26-35</v>
      </c>
    </row>
    <row r="982" spans="1:37"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s="1">
        <v>2785</v>
      </c>
      <c r="T982">
        <v>11882</v>
      </c>
      <c r="U982">
        <v>7</v>
      </c>
      <c r="V982" t="s">
        <v>42</v>
      </c>
      <c r="W982" t="s">
        <v>43</v>
      </c>
      <c r="X982">
        <v>14</v>
      </c>
      <c r="Y982">
        <v>3</v>
      </c>
      <c r="Z982">
        <v>3</v>
      </c>
      <c r="AA982">
        <v>80</v>
      </c>
      <c r="AB982">
        <v>0</v>
      </c>
      <c r="AC982">
        <v>3</v>
      </c>
      <c r="AD982">
        <v>3</v>
      </c>
      <c r="AE982">
        <v>4</v>
      </c>
      <c r="AF982">
        <v>1</v>
      </c>
      <c r="AG982">
        <v>0</v>
      </c>
      <c r="AH982">
        <v>0</v>
      </c>
      <c r="AI982">
        <v>0</v>
      </c>
      <c r="AJ982" s="2">
        <f>IF(tblHR[[#This Row],[Attrition]]="Yes",1,0)</f>
        <v>1</v>
      </c>
      <c r="AK982" t="str">
        <f>IF(tblHR[[#This Row],[Age]]&lt;26,"18-25",IF(tblHR[[#This Row],[Age]]&lt;36,"26-35",IF(tblHR[[#This Row],[Age]]&lt;46,"36-45",IF(tblHR[[#This Row],[Age]]&lt;56,"46-55","56+"))))</f>
        <v>26-35</v>
      </c>
    </row>
    <row r="983" spans="1:37"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s="1">
        <v>4614</v>
      </c>
      <c r="T983">
        <v>23288</v>
      </c>
      <c r="U983">
        <v>0</v>
      </c>
      <c r="V983" t="s">
        <v>42</v>
      </c>
      <c r="W983" t="s">
        <v>35</v>
      </c>
      <c r="X983">
        <v>18</v>
      </c>
      <c r="Y983">
        <v>3</v>
      </c>
      <c r="Z983">
        <v>3</v>
      </c>
      <c r="AA983">
        <v>80</v>
      </c>
      <c r="AB983">
        <v>1</v>
      </c>
      <c r="AC983">
        <v>5</v>
      </c>
      <c r="AD983">
        <v>0</v>
      </c>
      <c r="AE983">
        <v>2</v>
      </c>
      <c r="AF983">
        <v>4</v>
      </c>
      <c r="AG983">
        <v>2</v>
      </c>
      <c r="AH983">
        <v>3</v>
      </c>
      <c r="AI983">
        <v>2</v>
      </c>
      <c r="AJ983" s="2">
        <f>IF(tblHR[[#This Row],[Attrition]]="Yes",1,0)</f>
        <v>1</v>
      </c>
      <c r="AK983" t="str">
        <f>IF(tblHR[[#This Row],[Age]]&lt;26,"18-25",IF(tblHR[[#This Row],[Age]]&lt;36,"26-35",IF(tblHR[[#This Row],[Age]]&lt;46,"36-45",IF(tblHR[[#This Row],[Age]]&lt;56,"46-55","56+"))))</f>
        <v>26-35</v>
      </c>
    </row>
    <row r="984" spans="1:37"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s="1">
        <v>2610</v>
      </c>
      <c r="T984">
        <v>15748</v>
      </c>
      <c r="U984">
        <v>1</v>
      </c>
      <c r="V984" t="s">
        <v>42</v>
      </c>
      <c r="W984" t="s">
        <v>43</v>
      </c>
      <c r="X984">
        <v>11</v>
      </c>
      <c r="Y984">
        <v>3</v>
      </c>
      <c r="Z984">
        <v>4</v>
      </c>
      <c r="AA984">
        <v>80</v>
      </c>
      <c r="AB984">
        <v>3</v>
      </c>
      <c r="AC984">
        <v>4</v>
      </c>
      <c r="AD984">
        <v>2</v>
      </c>
      <c r="AE984">
        <v>3</v>
      </c>
      <c r="AF984">
        <v>4</v>
      </c>
      <c r="AG984">
        <v>2</v>
      </c>
      <c r="AH984">
        <v>0</v>
      </c>
      <c r="AI984">
        <v>3</v>
      </c>
      <c r="AJ984" s="2">
        <f>IF(tblHR[[#This Row],[Attrition]]="Yes",1,0)</f>
        <v>0</v>
      </c>
      <c r="AK984" t="str">
        <f>IF(tblHR[[#This Row],[Age]]&lt;26,"18-25",IF(tblHR[[#This Row],[Age]]&lt;36,"26-35",IF(tblHR[[#This Row],[Age]]&lt;46,"36-45",IF(tblHR[[#This Row],[Age]]&lt;56,"46-55","56+"))))</f>
        <v>36-45</v>
      </c>
    </row>
    <row r="985" spans="1:37"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s="1">
        <v>6687</v>
      </c>
      <c r="T985">
        <v>6163</v>
      </c>
      <c r="U985">
        <v>1</v>
      </c>
      <c r="V985" t="s">
        <v>42</v>
      </c>
      <c r="W985" t="s">
        <v>43</v>
      </c>
      <c r="X985">
        <v>11</v>
      </c>
      <c r="Y985">
        <v>3</v>
      </c>
      <c r="Z985">
        <v>4</v>
      </c>
      <c r="AA985">
        <v>80</v>
      </c>
      <c r="AB985">
        <v>0</v>
      </c>
      <c r="AC985">
        <v>14</v>
      </c>
      <c r="AD985">
        <v>2</v>
      </c>
      <c r="AE985">
        <v>4</v>
      </c>
      <c r="AF985">
        <v>14</v>
      </c>
      <c r="AG985">
        <v>11</v>
      </c>
      <c r="AH985">
        <v>4</v>
      </c>
      <c r="AI985">
        <v>11</v>
      </c>
      <c r="AJ985" s="2">
        <f>IF(tblHR[[#This Row],[Attrition]]="Yes",1,0)</f>
        <v>0</v>
      </c>
      <c r="AK985" t="str">
        <f>IF(tblHR[[#This Row],[Age]]&lt;26,"18-25",IF(tblHR[[#This Row],[Age]]&lt;36,"26-35",IF(tblHR[[#This Row],[Age]]&lt;46,"36-45",IF(tblHR[[#This Row],[Age]]&lt;56,"46-55","56+"))))</f>
        <v>26-35</v>
      </c>
    </row>
    <row r="986" spans="1:37"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s="1">
        <v>4724</v>
      </c>
      <c r="T986">
        <v>24232</v>
      </c>
      <c r="U986">
        <v>1</v>
      </c>
      <c r="V986" t="s">
        <v>42</v>
      </c>
      <c r="W986" t="s">
        <v>43</v>
      </c>
      <c r="X986">
        <v>11</v>
      </c>
      <c r="Y986">
        <v>3</v>
      </c>
      <c r="Z986">
        <v>3</v>
      </c>
      <c r="AA986">
        <v>80</v>
      </c>
      <c r="AB986">
        <v>1</v>
      </c>
      <c r="AC986">
        <v>5</v>
      </c>
      <c r="AD986">
        <v>0</v>
      </c>
      <c r="AE986">
        <v>3</v>
      </c>
      <c r="AF986">
        <v>5</v>
      </c>
      <c r="AG986">
        <v>3</v>
      </c>
      <c r="AH986">
        <v>0</v>
      </c>
      <c r="AI986">
        <v>4</v>
      </c>
      <c r="AJ986" s="2">
        <f>IF(tblHR[[#This Row],[Attrition]]="Yes",1,0)</f>
        <v>0</v>
      </c>
      <c r="AK986" t="str">
        <f>IF(tblHR[[#This Row],[Age]]&lt;26,"18-25",IF(tblHR[[#This Row],[Age]]&lt;36,"26-35",IF(tblHR[[#This Row],[Age]]&lt;46,"36-45",IF(tblHR[[#This Row],[Age]]&lt;56,"46-55","56+"))))</f>
        <v>26-35</v>
      </c>
    </row>
    <row r="987" spans="1:37"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s="1">
        <v>6179</v>
      </c>
      <c r="T987">
        <v>21057</v>
      </c>
      <c r="U987">
        <v>1</v>
      </c>
      <c r="V987" t="s">
        <v>42</v>
      </c>
      <c r="W987" t="s">
        <v>35</v>
      </c>
      <c r="X987">
        <v>15</v>
      </c>
      <c r="Y987">
        <v>3</v>
      </c>
      <c r="Z987">
        <v>4</v>
      </c>
      <c r="AA987">
        <v>80</v>
      </c>
      <c r="AB987">
        <v>2</v>
      </c>
      <c r="AC987">
        <v>10</v>
      </c>
      <c r="AD987">
        <v>3</v>
      </c>
      <c r="AE987">
        <v>2</v>
      </c>
      <c r="AF987">
        <v>10</v>
      </c>
      <c r="AG987">
        <v>2</v>
      </c>
      <c r="AH987">
        <v>6</v>
      </c>
      <c r="AI987">
        <v>7</v>
      </c>
      <c r="AJ987" s="2">
        <f>IF(tblHR[[#This Row],[Attrition]]="Yes",1,0)</f>
        <v>1</v>
      </c>
      <c r="AK987" t="str">
        <f>IF(tblHR[[#This Row],[Age]]&lt;26,"18-25",IF(tblHR[[#This Row],[Age]]&lt;36,"26-35",IF(tblHR[[#This Row],[Age]]&lt;46,"36-45",IF(tblHR[[#This Row],[Age]]&lt;56,"46-55","56+"))))</f>
        <v>26-35</v>
      </c>
    </row>
    <row r="988" spans="1:37"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s="1">
        <v>6120</v>
      </c>
      <c r="T988">
        <v>3567</v>
      </c>
      <c r="U988">
        <v>3</v>
      </c>
      <c r="V988" t="s">
        <v>42</v>
      </c>
      <c r="W988" t="s">
        <v>35</v>
      </c>
      <c r="X988">
        <v>12</v>
      </c>
      <c r="Y988">
        <v>3</v>
      </c>
      <c r="Z988">
        <v>4</v>
      </c>
      <c r="AA988">
        <v>80</v>
      </c>
      <c r="AB988">
        <v>2</v>
      </c>
      <c r="AC988">
        <v>8</v>
      </c>
      <c r="AD988">
        <v>2</v>
      </c>
      <c r="AE988">
        <v>4</v>
      </c>
      <c r="AF988">
        <v>5</v>
      </c>
      <c r="AG988">
        <v>4</v>
      </c>
      <c r="AH988">
        <v>1</v>
      </c>
      <c r="AI988">
        <v>4</v>
      </c>
      <c r="AJ988" s="2">
        <f>IF(tblHR[[#This Row],[Attrition]]="Yes",1,0)</f>
        <v>0</v>
      </c>
      <c r="AK988" t="str">
        <f>IF(tblHR[[#This Row],[Age]]&lt;26,"18-25",IF(tblHR[[#This Row],[Age]]&lt;36,"26-35",IF(tblHR[[#This Row],[Age]]&lt;46,"36-45",IF(tblHR[[#This Row],[Age]]&lt;56,"46-55","56+"))))</f>
        <v>36-45</v>
      </c>
    </row>
    <row r="989" spans="1:37"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s="1">
        <v>10596</v>
      </c>
      <c r="T989">
        <v>15395</v>
      </c>
      <c r="U989">
        <v>2</v>
      </c>
      <c r="V989" t="s">
        <v>42</v>
      </c>
      <c r="W989" t="s">
        <v>43</v>
      </c>
      <c r="X989">
        <v>11</v>
      </c>
      <c r="Y989">
        <v>3</v>
      </c>
      <c r="Z989">
        <v>2</v>
      </c>
      <c r="AA989">
        <v>80</v>
      </c>
      <c r="AB989">
        <v>0</v>
      </c>
      <c r="AC989">
        <v>14</v>
      </c>
      <c r="AD989">
        <v>5</v>
      </c>
      <c r="AE989">
        <v>3</v>
      </c>
      <c r="AF989">
        <v>4</v>
      </c>
      <c r="AG989">
        <v>2</v>
      </c>
      <c r="AH989">
        <v>3</v>
      </c>
      <c r="AI989">
        <v>2</v>
      </c>
      <c r="AJ989" s="2">
        <f>IF(tblHR[[#This Row],[Attrition]]="Yes",1,0)</f>
        <v>0</v>
      </c>
      <c r="AK989" t="str">
        <f>IF(tblHR[[#This Row],[Age]]&lt;26,"18-25",IF(tblHR[[#This Row],[Age]]&lt;36,"26-35",IF(tblHR[[#This Row],[Age]]&lt;46,"36-45",IF(tblHR[[#This Row],[Age]]&lt;56,"46-55","56+"))))</f>
        <v>46-55</v>
      </c>
    </row>
    <row r="990" spans="1:37"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s="1">
        <v>5467</v>
      </c>
      <c r="T990">
        <v>13953</v>
      </c>
      <c r="U990">
        <v>3</v>
      </c>
      <c r="V990" t="s">
        <v>42</v>
      </c>
      <c r="W990" t="s">
        <v>35</v>
      </c>
      <c r="X990">
        <v>14</v>
      </c>
      <c r="Y990">
        <v>3</v>
      </c>
      <c r="Z990">
        <v>1</v>
      </c>
      <c r="AA990">
        <v>80</v>
      </c>
      <c r="AB990">
        <v>2</v>
      </c>
      <c r="AC990">
        <v>12</v>
      </c>
      <c r="AD990">
        <v>4</v>
      </c>
      <c r="AE990">
        <v>2</v>
      </c>
      <c r="AF990">
        <v>6</v>
      </c>
      <c r="AG990">
        <v>2</v>
      </c>
      <c r="AH990">
        <v>3</v>
      </c>
      <c r="AI990">
        <v>3</v>
      </c>
      <c r="AJ990" s="2">
        <f>IF(tblHR[[#This Row],[Attrition]]="Yes",1,0)</f>
        <v>0</v>
      </c>
      <c r="AK990" t="str">
        <f>IF(tblHR[[#This Row],[Age]]&lt;26,"18-25",IF(tblHR[[#This Row],[Age]]&lt;36,"26-35",IF(tblHR[[#This Row],[Age]]&lt;46,"36-45",IF(tblHR[[#This Row],[Age]]&lt;56,"46-55","56+"))))</f>
        <v>36-45</v>
      </c>
    </row>
    <row r="991" spans="1:37"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s="1">
        <v>2996</v>
      </c>
      <c r="T991">
        <v>5182</v>
      </c>
      <c r="U991">
        <v>7</v>
      </c>
      <c r="V991" t="s">
        <v>42</v>
      </c>
      <c r="W991" t="s">
        <v>35</v>
      </c>
      <c r="X991">
        <v>15</v>
      </c>
      <c r="Y991">
        <v>3</v>
      </c>
      <c r="Z991">
        <v>4</v>
      </c>
      <c r="AA991">
        <v>80</v>
      </c>
      <c r="AB991">
        <v>0</v>
      </c>
      <c r="AC991">
        <v>8</v>
      </c>
      <c r="AD991">
        <v>2</v>
      </c>
      <c r="AE991">
        <v>3</v>
      </c>
      <c r="AF991">
        <v>6</v>
      </c>
      <c r="AG991">
        <v>4</v>
      </c>
      <c r="AH991">
        <v>1</v>
      </c>
      <c r="AI991">
        <v>3</v>
      </c>
      <c r="AJ991" s="2">
        <f>IF(tblHR[[#This Row],[Attrition]]="Yes",1,0)</f>
        <v>0</v>
      </c>
      <c r="AK991" t="str">
        <f>IF(tblHR[[#This Row],[Age]]&lt;26,"18-25",IF(tblHR[[#This Row],[Age]]&lt;36,"26-35",IF(tblHR[[#This Row],[Age]]&lt;46,"36-45",IF(tblHR[[#This Row],[Age]]&lt;56,"46-55","56+"))))</f>
        <v>36-45</v>
      </c>
    </row>
    <row r="992" spans="1:37"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s="1">
        <v>9998</v>
      </c>
      <c r="T992">
        <v>19293</v>
      </c>
      <c r="U992">
        <v>6</v>
      </c>
      <c r="V992" t="s">
        <v>42</v>
      </c>
      <c r="W992" t="s">
        <v>43</v>
      </c>
      <c r="X992">
        <v>13</v>
      </c>
      <c r="Y992">
        <v>3</v>
      </c>
      <c r="Z992">
        <v>1</v>
      </c>
      <c r="AA992">
        <v>80</v>
      </c>
      <c r="AB992">
        <v>0</v>
      </c>
      <c r="AC992">
        <v>8</v>
      </c>
      <c r="AD992">
        <v>2</v>
      </c>
      <c r="AE992">
        <v>4</v>
      </c>
      <c r="AF992">
        <v>5</v>
      </c>
      <c r="AG992">
        <v>4</v>
      </c>
      <c r="AH992">
        <v>1</v>
      </c>
      <c r="AI992">
        <v>2</v>
      </c>
      <c r="AJ992" s="2">
        <f>IF(tblHR[[#This Row],[Attrition]]="Yes",1,0)</f>
        <v>0</v>
      </c>
      <c r="AK992" t="str">
        <f>IF(tblHR[[#This Row],[Age]]&lt;26,"18-25",IF(tblHR[[#This Row],[Age]]&lt;36,"26-35",IF(tblHR[[#This Row],[Age]]&lt;46,"36-45",IF(tblHR[[#This Row],[Age]]&lt;56,"46-55","56+"))))</f>
        <v>26-35</v>
      </c>
    </row>
    <row r="993" spans="1:37"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s="1">
        <v>4078</v>
      </c>
      <c r="T993">
        <v>20497</v>
      </c>
      <c r="U993">
        <v>0</v>
      </c>
      <c r="V993" t="s">
        <v>42</v>
      </c>
      <c r="W993" t="s">
        <v>35</v>
      </c>
      <c r="X993">
        <v>13</v>
      </c>
      <c r="Y993">
        <v>3</v>
      </c>
      <c r="Z993">
        <v>1</v>
      </c>
      <c r="AA993">
        <v>80</v>
      </c>
      <c r="AB993">
        <v>3</v>
      </c>
      <c r="AC993">
        <v>4</v>
      </c>
      <c r="AD993">
        <v>3</v>
      </c>
      <c r="AE993">
        <v>2</v>
      </c>
      <c r="AF993">
        <v>3</v>
      </c>
      <c r="AG993">
        <v>2</v>
      </c>
      <c r="AH993">
        <v>1</v>
      </c>
      <c r="AI993">
        <v>2</v>
      </c>
      <c r="AJ993" s="2">
        <f>IF(tblHR[[#This Row],[Attrition]]="Yes",1,0)</f>
        <v>0</v>
      </c>
      <c r="AK993" t="str">
        <f>IF(tblHR[[#This Row],[Age]]&lt;26,"18-25",IF(tblHR[[#This Row],[Age]]&lt;36,"26-35",IF(tblHR[[#This Row],[Age]]&lt;46,"36-45",IF(tblHR[[#This Row],[Age]]&lt;56,"46-55","56+"))))</f>
        <v>26-35</v>
      </c>
    </row>
    <row r="994" spans="1:37"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s="1">
        <v>10920</v>
      </c>
      <c r="T994">
        <v>3449</v>
      </c>
      <c r="U994">
        <v>3</v>
      </c>
      <c r="V994" t="s">
        <v>42</v>
      </c>
      <c r="W994" t="s">
        <v>43</v>
      </c>
      <c r="X994">
        <v>21</v>
      </c>
      <c r="Y994">
        <v>4</v>
      </c>
      <c r="Z994">
        <v>2</v>
      </c>
      <c r="AA994">
        <v>80</v>
      </c>
      <c r="AB994">
        <v>1</v>
      </c>
      <c r="AC994">
        <v>13</v>
      </c>
      <c r="AD994">
        <v>2</v>
      </c>
      <c r="AE994">
        <v>3</v>
      </c>
      <c r="AF994">
        <v>6</v>
      </c>
      <c r="AG994">
        <v>4</v>
      </c>
      <c r="AH994">
        <v>0</v>
      </c>
      <c r="AI994">
        <v>5</v>
      </c>
      <c r="AJ994" s="2">
        <f>IF(tblHR[[#This Row],[Attrition]]="Yes",1,0)</f>
        <v>0</v>
      </c>
      <c r="AK994" t="str">
        <f>IF(tblHR[[#This Row],[Age]]&lt;26,"18-25",IF(tblHR[[#This Row],[Age]]&lt;36,"26-35",IF(tblHR[[#This Row],[Age]]&lt;46,"36-45",IF(tblHR[[#This Row],[Age]]&lt;56,"46-55","56+"))))</f>
        <v>36-45</v>
      </c>
    </row>
    <row r="995" spans="1:37"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s="1">
        <v>6232</v>
      </c>
      <c r="T995">
        <v>12477</v>
      </c>
      <c r="U995">
        <v>2</v>
      </c>
      <c r="V995" t="s">
        <v>42</v>
      </c>
      <c r="W995" t="s">
        <v>43</v>
      </c>
      <c r="X995">
        <v>11</v>
      </c>
      <c r="Y995">
        <v>3</v>
      </c>
      <c r="Z995">
        <v>2</v>
      </c>
      <c r="AA995">
        <v>80</v>
      </c>
      <c r="AB995">
        <v>0</v>
      </c>
      <c r="AC995">
        <v>6</v>
      </c>
      <c r="AD995">
        <v>3</v>
      </c>
      <c r="AE995">
        <v>2</v>
      </c>
      <c r="AF995">
        <v>3</v>
      </c>
      <c r="AG995">
        <v>2</v>
      </c>
      <c r="AH995">
        <v>1</v>
      </c>
      <c r="AI995">
        <v>2</v>
      </c>
      <c r="AJ995" s="2">
        <f>IF(tblHR[[#This Row],[Attrition]]="Yes",1,0)</f>
        <v>0</v>
      </c>
      <c r="AK995" t="str">
        <f>IF(tblHR[[#This Row],[Age]]&lt;26,"18-25",IF(tblHR[[#This Row],[Age]]&lt;36,"26-35",IF(tblHR[[#This Row],[Age]]&lt;46,"36-45",IF(tblHR[[#This Row],[Age]]&lt;56,"46-55","56+"))))</f>
        <v>18-25</v>
      </c>
    </row>
    <row r="996" spans="1:37"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s="1">
        <v>13247</v>
      </c>
      <c r="T996">
        <v>9731</v>
      </c>
      <c r="U996">
        <v>2</v>
      </c>
      <c r="V996" t="s">
        <v>42</v>
      </c>
      <c r="W996" t="s">
        <v>35</v>
      </c>
      <c r="X996">
        <v>11</v>
      </c>
      <c r="Y996">
        <v>3</v>
      </c>
      <c r="Z996">
        <v>2</v>
      </c>
      <c r="AA996">
        <v>80</v>
      </c>
      <c r="AB996">
        <v>1</v>
      </c>
      <c r="AC996">
        <v>24</v>
      </c>
      <c r="AD996">
        <v>3</v>
      </c>
      <c r="AE996">
        <v>2</v>
      </c>
      <c r="AF996">
        <v>5</v>
      </c>
      <c r="AG996">
        <v>3</v>
      </c>
      <c r="AH996">
        <v>0</v>
      </c>
      <c r="AI996">
        <v>2</v>
      </c>
      <c r="AJ996" s="2">
        <f>IF(tblHR[[#This Row],[Attrition]]="Yes",1,0)</f>
        <v>0</v>
      </c>
      <c r="AK996" t="str">
        <f>IF(tblHR[[#This Row],[Age]]&lt;26,"18-25",IF(tblHR[[#This Row],[Age]]&lt;36,"26-35",IF(tblHR[[#This Row],[Age]]&lt;46,"36-45",IF(tblHR[[#This Row],[Age]]&lt;56,"46-55","56+"))))</f>
        <v>46-55</v>
      </c>
    </row>
    <row r="997" spans="1:37"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s="1">
        <v>4081</v>
      </c>
      <c r="T997">
        <v>20003</v>
      </c>
      <c r="U997">
        <v>1</v>
      </c>
      <c r="V997" t="s">
        <v>42</v>
      </c>
      <c r="W997" t="s">
        <v>35</v>
      </c>
      <c r="X997">
        <v>14</v>
      </c>
      <c r="Y997">
        <v>3</v>
      </c>
      <c r="Z997">
        <v>1</v>
      </c>
      <c r="AA997">
        <v>80</v>
      </c>
      <c r="AB997">
        <v>0</v>
      </c>
      <c r="AC997">
        <v>20</v>
      </c>
      <c r="AD997">
        <v>3</v>
      </c>
      <c r="AE997">
        <v>1</v>
      </c>
      <c r="AF997">
        <v>20</v>
      </c>
      <c r="AG997">
        <v>7</v>
      </c>
      <c r="AH997">
        <v>1</v>
      </c>
      <c r="AI997">
        <v>8</v>
      </c>
      <c r="AJ997" s="2">
        <f>IF(tblHR[[#This Row],[Attrition]]="Yes",1,0)</f>
        <v>0</v>
      </c>
      <c r="AK997" t="str">
        <f>IF(tblHR[[#This Row],[Age]]&lt;26,"18-25",IF(tblHR[[#This Row],[Age]]&lt;36,"26-35",IF(tblHR[[#This Row],[Age]]&lt;46,"36-45",IF(tblHR[[#This Row],[Age]]&lt;56,"46-55","56+"))))</f>
        <v>36-45</v>
      </c>
    </row>
    <row r="998" spans="1:37"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s="1">
        <v>5769</v>
      </c>
      <c r="T998">
        <v>7100</v>
      </c>
      <c r="U998">
        <v>1</v>
      </c>
      <c r="V998" t="s">
        <v>42</v>
      </c>
      <c r="W998" t="s">
        <v>35</v>
      </c>
      <c r="X998">
        <v>11</v>
      </c>
      <c r="Y998">
        <v>3</v>
      </c>
      <c r="Z998">
        <v>4</v>
      </c>
      <c r="AA998">
        <v>80</v>
      </c>
      <c r="AB998">
        <v>0</v>
      </c>
      <c r="AC998">
        <v>6</v>
      </c>
      <c r="AD998">
        <v>3</v>
      </c>
      <c r="AE998">
        <v>3</v>
      </c>
      <c r="AF998">
        <v>6</v>
      </c>
      <c r="AG998">
        <v>2</v>
      </c>
      <c r="AH998">
        <v>4</v>
      </c>
      <c r="AI998">
        <v>4</v>
      </c>
      <c r="AJ998" s="2">
        <f>IF(tblHR[[#This Row],[Attrition]]="Yes",1,0)</f>
        <v>0</v>
      </c>
      <c r="AK998" t="str">
        <f>IF(tblHR[[#This Row],[Age]]&lt;26,"18-25",IF(tblHR[[#This Row],[Age]]&lt;36,"26-35",IF(tblHR[[#This Row],[Age]]&lt;46,"36-45",IF(tblHR[[#This Row],[Age]]&lt;56,"46-55","56+"))))</f>
        <v>26-35</v>
      </c>
    </row>
    <row r="999" spans="1:37"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s="1">
        <v>2394</v>
      </c>
      <c r="T999">
        <v>25681</v>
      </c>
      <c r="U999">
        <v>1</v>
      </c>
      <c r="V999" t="s">
        <v>42</v>
      </c>
      <c r="W999" t="s">
        <v>35</v>
      </c>
      <c r="X999">
        <v>13</v>
      </c>
      <c r="Y999">
        <v>3</v>
      </c>
      <c r="Z999">
        <v>4</v>
      </c>
      <c r="AA999">
        <v>80</v>
      </c>
      <c r="AB999">
        <v>0</v>
      </c>
      <c r="AC999">
        <v>8</v>
      </c>
      <c r="AD999">
        <v>2</v>
      </c>
      <c r="AE999">
        <v>3</v>
      </c>
      <c r="AF999">
        <v>8</v>
      </c>
      <c r="AG999">
        <v>2</v>
      </c>
      <c r="AH999">
        <v>7</v>
      </c>
      <c r="AI999">
        <v>7</v>
      </c>
      <c r="AJ999" s="2">
        <f>IF(tblHR[[#This Row],[Attrition]]="Yes",1,0)</f>
        <v>1</v>
      </c>
      <c r="AK999" t="str">
        <f>IF(tblHR[[#This Row],[Age]]&lt;26,"18-25",IF(tblHR[[#This Row],[Age]]&lt;36,"26-35",IF(tblHR[[#This Row],[Age]]&lt;46,"36-45",IF(tblHR[[#This Row],[Age]]&lt;56,"46-55","56+"))))</f>
        <v>26-35</v>
      </c>
    </row>
    <row r="1000" spans="1:37"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s="1">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s="2">
        <f>IF(tblHR[[#This Row],[Attrition]]="Yes",1,0)</f>
        <v>0</v>
      </c>
      <c r="AK1000" t="str">
        <f>IF(tblHR[[#This Row],[Age]]&lt;26,"18-25",IF(tblHR[[#This Row],[Age]]&lt;36,"26-35",IF(tblHR[[#This Row],[Age]]&lt;46,"36-45",IF(tblHR[[#This Row],[Age]]&lt;56,"46-55","56+"))))</f>
        <v>26-35</v>
      </c>
    </row>
    <row r="1001" spans="1:37"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s="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s="2">
        <f>IF(tblHR[[#This Row],[Attrition]]="Yes",1,0)</f>
        <v>0</v>
      </c>
      <c r="AK1001" t="str">
        <f>IF(tblHR[[#This Row],[Age]]&lt;26,"18-25",IF(tblHR[[#This Row],[Age]]&lt;36,"26-35",IF(tblHR[[#This Row],[Age]]&lt;46,"36-45",IF(tblHR[[#This Row],[Age]]&lt;56,"46-55","56+"))))</f>
        <v>36-45</v>
      </c>
    </row>
    <row r="1002" spans="1:37"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s="1">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s="2">
        <f>IF(tblHR[[#This Row],[Attrition]]="Yes",1,0)</f>
        <v>0</v>
      </c>
      <c r="AK1002" t="str">
        <f>IF(tblHR[[#This Row],[Age]]&lt;26,"18-25",IF(tblHR[[#This Row],[Age]]&lt;36,"26-35",IF(tblHR[[#This Row],[Age]]&lt;46,"36-45",IF(tblHR[[#This Row],[Age]]&lt;56,"46-55","56+"))))</f>
        <v>46-55</v>
      </c>
    </row>
    <row r="1003" spans="1:37"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s="1">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s="2">
        <f>IF(tblHR[[#This Row],[Attrition]]="Yes",1,0)</f>
        <v>0</v>
      </c>
      <c r="AK1003" t="str">
        <f>IF(tblHR[[#This Row],[Age]]&lt;26,"18-25",IF(tblHR[[#This Row],[Age]]&lt;36,"26-35",IF(tblHR[[#This Row],[Age]]&lt;46,"36-45",IF(tblHR[[#This Row],[Age]]&lt;56,"46-55","56+"))))</f>
        <v>36-45</v>
      </c>
    </row>
    <row r="1004" spans="1:37"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s="1">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s="2">
        <f>IF(tblHR[[#This Row],[Attrition]]="Yes",1,0)</f>
        <v>0</v>
      </c>
      <c r="AK1004" t="str">
        <f>IF(tblHR[[#This Row],[Age]]&lt;26,"18-25",IF(tblHR[[#This Row],[Age]]&lt;36,"26-35",IF(tblHR[[#This Row],[Age]]&lt;46,"36-45",IF(tblHR[[#This Row],[Age]]&lt;56,"46-55","56+"))))</f>
        <v>26-35</v>
      </c>
    </row>
    <row r="1005" spans="1:37"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s="1">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s="2">
        <f>IF(tblHR[[#This Row],[Attrition]]="Yes",1,0)</f>
        <v>0</v>
      </c>
      <c r="AK1005" t="str">
        <f>IF(tblHR[[#This Row],[Age]]&lt;26,"18-25",IF(tblHR[[#This Row],[Age]]&lt;36,"26-35",IF(tblHR[[#This Row],[Age]]&lt;46,"36-45",IF(tblHR[[#This Row],[Age]]&lt;56,"46-55","56+"))))</f>
        <v>18-25</v>
      </c>
    </row>
    <row r="1006" spans="1:37"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s="1">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s="2">
        <f>IF(tblHR[[#This Row],[Attrition]]="Yes",1,0)</f>
        <v>0</v>
      </c>
      <c r="AK1006" t="str">
        <f>IF(tblHR[[#This Row],[Age]]&lt;26,"18-25",IF(tblHR[[#This Row],[Age]]&lt;36,"26-35",IF(tblHR[[#This Row],[Age]]&lt;46,"36-45",IF(tblHR[[#This Row],[Age]]&lt;56,"46-55","56+"))))</f>
        <v>26-35</v>
      </c>
    </row>
    <row r="1007" spans="1:37"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s="1">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s="2">
        <f>IF(tblHR[[#This Row],[Attrition]]="Yes",1,0)</f>
        <v>0</v>
      </c>
      <c r="AK1007" t="str">
        <f>IF(tblHR[[#This Row],[Age]]&lt;26,"18-25",IF(tblHR[[#This Row],[Age]]&lt;36,"26-35",IF(tblHR[[#This Row],[Age]]&lt;46,"36-45",IF(tblHR[[#This Row],[Age]]&lt;56,"46-55","56+"))))</f>
        <v>26-35</v>
      </c>
    </row>
    <row r="1008" spans="1:37"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s="1">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s="2">
        <f>IF(tblHR[[#This Row],[Attrition]]="Yes",1,0)</f>
        <v>1</v>
      </c>
      <c r="AK1008" t="str">
        <f>IF(tblHR[[#This Row],[Age]]&lt;26,"18-25",IF(tblHR[[#This Row],[Age]]&lt;36,"26-35",IF(tblHR[[#This Row],[Age]]&lt;46,"36-45",IF(tblHR[[#This Row],[Age]]&lt;56,"46-55","56+"))))</f>
        <v>46-55</v>
      </c>
    </row>
    <row r="1009" spans="1:37"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s="1">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s="2">
        <f>IF(tblHR[[#This Row],[Attrition]]="Yes",1,0)</f>
        <v>1</v>
      </c>
      <c r="AK1009" t="str">
        <f>IF(tblHR[[#This Row],[Age]]&lt;26,"18-25",IF(tblHR[[#This Row],[Age]]&lt;36,"26-35",IF(tblHR[[#This Row],[Age]]&lt;46,"36-45",IF(tblHR[[#This Row],[Age]]&lt;56,"46-55","56+"))))</f>
        <v>26-35</v>
      </c>
    </row>
    <row r="1010" spans="1:37"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s="1">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s="2">
        <f>IF(tblHR[[#This Row],[Attrition]]="Yes",1,0)</f>
        <v>0</v>
      </c>
      <c r="AK1010" t="str">
        <f>IF(tblHR[[#This Row],[Age]]&lt;26,"18-25",IF(tblHR[[#This Row],[Age]]&lt;36,"26-35",IF(tblHR[[#This Row],[Age]]&lt;46,"36-45",IF(tblHR[[#This Row],[Age]]&lt;56,"46-55","56+"))))</f>
        <v>46-55</v>
      </c>
    </row>
    <row r="1011" spans="1:37"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s="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s="2">
        <f>IF(tblHR[[#This Row],[Attrition]]="Yes",1,0)</f>
        <v>0</v>
      </c>
      <c r="AK1011" t="str">
        <f>IF(tblHR[[#This Row],[Age]]&lt;26,"18-25",IF(tblHR[[#This Row],[Age]]&lt;36,"26-35",IF(tblHR[[#This Row],[Age]]&lt;46,"36-45",IF(tblHR[[#This Row],[Age]]&lt;56,"46-55","56+"))))</f>
        <v>56+</v>
      </c>
    </row>
    <row r="1012" spans="1:37"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s="1">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s="2">
        <f>IF(tblHR[[#This Row],[Attrition]]="Yes",1,0)</f>
        <v>0</v>
      </c>
      <c r="AK1012" t="str">
        <f>IF(tblHR[[#This Row],[Age]]&lt;26,"18-25",IF(tblHR[[#This Row],[Age]]&lt;36,"26-35",IF(tblHR[[#This Row],[Age]]&lt;46,"36-45",IF(tblHR[[#This Row],[Age]]&lt;56,"46-55","56+"))))</f>
        <v>46-55</v>
      </c>
    </row>
    <row r="1013" spans="1:37"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s="1">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s="2">
        <f>IF(tblHR[[#This Row],[Attrition]]="Yes",1,0)</f>
        <v>0</v>
      </c>
      <c r="AK1013" t="str">
        <f>IF(tblHR[[#This Row],[Age]]&lt;26,"18-25",IF(tblHR[[#This Row],[Age]]&lt;36,"26-35",IF(tblHR[[#This Row],[Age]]&lt;46,"36-45",IF(tblHR[[#This Row],[Age]]&lt;56,"46-55","56+"))))</f>
        <v>36-45</v>
      </c>
    </row>
    <row r="1014" spans="1:37"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s="1">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s="2">
        <f>IF(tblHR[[#This Row],[Attrition]]="Yes",1,0)</f>
        <v>1</v>
      </c>
      <c r="AK1014" t="str">
        <f>IF(tblHR[[#This Row],[Age]]&lt;26,"18-25",IF(tblHR[[#This Row],[Age]]&lt;36,"26-35",IF(tblHR[[#This Row],[Age]]&lt;46,"36-45",IF(tblHR[[#This Row],[Age]]&lt;56,"46-55","56+"))))</f>
        <v>26-35</v>
      </c>
    </row>
    <row r="1015" spans="1:37"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s="1">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s="2">
        <f>IF(tblHR[[#This Row],[Attrition]]="Yes",1,0)</f>
        <v>0</v>
      </c>
      <c r="AK1015" t="str">
        <f>IF(tblHR[[#This Row],[Age]]&lt;26,"18-25",IF(tblHR[[#This Row],[Age]]&lt;36,"26-35",IF(tblHR[[#This Row],[Age]]&lt;46,"36-45",IF(tblHR[[#This Row],[Age]]&lt;56,"46-55","56+"))))</f>
        <v>26-35</v>
      </c>
    </row>
    <row r="1016" spans="1:37"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s="1">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s="2">
        <f>IF(tblHR[[#This Row],[Attrition]]="Yes",1,0)</f>
        <v>0</v>
      </c>
      <c r="AK1016" t="str">
        <f>IF(tblHR[[#This Row],[Age]]&lt;26,"18-25",IF(tblHR[[#This Row],[Age]]&lt;36,"26-35",IF(tblHR[[#This Row],[Age]]&lt;46,"36-45",IF(tblHR[[#This Row],[Age]]&lt;56,"46-55","56+"))))</f>
        <v>26-35</v>
      </c>
    </row>
    <row r="1017" spans="1:37"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s="1">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s="2">
        <f>IF(tblHR[[#This Row],[Attrition]]="Yes",1,0)</f>
        <v>0</v>
      </c>
      <c r="AK1017" t="str">
        <f>IF(tblHR[[#This Row],[Age]]&lt;26,"18-25",IF(tblHR[[#This Row],[Age]]&lt;36,"26-35",IF(tblHR[[#This Row],[Age]]&lt;46,"36-45",IF(tblHR[[#This Row],[Age]]&lt;56,"46-55","56+"))))</f>
        <v>26-35</v>
      </c>
    </row>
    <row r="1018" spans="1:37"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s="1">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s="2">
        <f>IF(tblHR[[#This Row],[Attrition]]="Yes",1,0)</f>
        <v>1</v>
      </c>
      <c r="AK1018" t="str">
        <f>IF(tblHR[[#This Row],[Age]]&lt;26,"18-25",IF(tblHR[[#This Row],[Age]]&lt;36,"26-35",IF(tblHR[[#This Row],[Age]]&lt;46,"36-45",IF(tblHR[[#This Row],[Age]]&lt;56,"46-55","56+"))))</f>
        <v>26-35</v>
      </c>
    </row>
    <row r="1019" spans="1:37"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s="1">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s="2">
        <f>IF(tblHR[[#This Row],[Attrition]]="Yes",1,0)</f>
        <v>0</v>
      </c>
      <c r="AK1019" t="str">
        <f>IF(tblHR[[#This Row],[Age]]&lt;26,"18-25",IF(tblHR[[#This Row],[Age]]&lt;36,"26-35",IF(tblHR[[#This Row],[Age]]&lt;46,"36-45",IF(tblHR[[#This Row],[Age]]&lt;56,"46-55","56+"))))</f>
        <v>26-35</v>
      </c>
    </row>
    <row r="1020" spans="1:37"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s="1">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s="2">
        <f>IF(tblHR[[#This Row],[Attrition]]="Yes",1,0)</f>
        <v>0</v>
      </c>
      <c r="AK1020" t="str">
        <f>IF(tblHR[[#This Row],[Age]]&lt;26,"18-25",IF(tblHR[[#This Row],[Age]]&lt;36,"26-35",IF(tblHR[[#This Row],[Age]]&lt;46,"36-45",IF(tblHR[[#This Row],[Age]]&lt;56,"46-55","56+"))))</f>
        <v>36-45</v>
      </c>
    </row>
    <row r="1021" spans="1:37"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s="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s="2">
        <f>IF(tblHR[[#This Row],[Attrition]]="Yes",1,0)</f>
        <v>0</v>
      </c>
      <c r="AK1021" t="str">
        <f>IF(tblHR[[#This Row],[Age]]&lt;26,"18-25",IF(tblHR[[#This Row],[Age]]&lt;36,"26-35",IF(tblHR[[#This Row],[Age]]&lt;46,"36-45",IF(tblHR[[#This Row],[Age]]&lt;56,"46-55","56+"))))</f>
        <v>36-45</v>
      </c>
    </row>
    <row r="1022" spans="1:37"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s="1">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s="2">
        <f>IF(tblHR[[#This Row],[Attrition]]="Yes",1,0)</f>
        <v>0</v>
      </c>
      <c r="AK1022" t="str">
        <f>IF(tblHR[[#This Row],[Age]]&lt;26,"18-25",IF(tblHR[[#This Row],[Age]]&lt;36,"26-35",IF(tblHR[[#This Row],[Age]]&lt;46,"36-45",IF(tblHR[[#This Row],[Age]]&lt;56,"46-55","56+"))))</f>
        <v>46-55</v>
      </c>
    </row>
    <row r="1023" spans="1:37"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s="1">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s="2">
        <f>IF(tblHR[[#This Row],[Attrition]]="Yes",1,0)</f>
        <v>1</v>
      </c>
      <c r="AK1023" t="str">
        <f>IF(tblHR[[#This Row],[Age]]&lt;26,"18-25",IF(tblHR[[#This Row],[Age]]&lt;36,"26-35",IF(tblHR[[#This Row],[Age]]&lt;46,"36-45",IF(tblHR[[#This Row],[Age]]&lt;56,"46-55","56+"))))</f>
        <v>18-25</v>
      </c>
    </row>
    <row r="1024" spans="1:37"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s="1">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s="2">
        <f>IF(tblHR[[#This Row],[Attrition]]="Yes",1,0)</f>
        <v>0</v>
      </c>
      <c r="AK1024" t="str">
        <f>IF(tblHR[[#This Row],[Age]]&lt;26,"18-25",IF(tblHR[[#This Row],[Age]]&lt;36,"26-35",IF(tblHR[[#This Row],[Age]]&lt;46,"36-45",IF(tblHR[[#This Row],[Age]]&lt;56,"46-55","56+"))))</f>
        <v>36-45</v>
      </c>
    </row>
    <row r="1025" spans="1:37"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s="1">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s="2">
        <f>IF(tblHR[[#This Row],[Attrition]]="Yes",1,0)</f>
        <v>0</v>
      </c>
      <c r="AK1025" t="str">
        <f>IF(tblHR[[#This Row],[Age]]&lt;26,"18-25",IF(tblHR[[#This Row],[Age]]&lt;36,"26-35",IF(tblHR[[#This Row],[Age]]&lt;46,"36-45",IF(tblHR[[#This Row],[Age]]&lt;56,"46-55","56+"))))</f>
        <v>56+</v>
      </c>
    </row>
    <row r="1026" spans="1:37"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s="1">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s="2">
        <f>IF(tblHR[[#This Row],[Attrition]]="Yes",1,0)</f>
        <v>0</v>
      </c>
      <c r="AK1026" t="str">
        <f>IF(tblHR[[#This Row],[Age]]&lt;26,"18-25",IF(tblHR[[#This Row],[Age]]&lt;36,"26-35",IF(tblHR[[#This Row],[Age]]&lt;46,"36-45",IF(tblHR[[#This Row],[Age]]&lt;56,"46-55","56+"))))</f>
        <v>46-55</v>
      </c>
    </row>
    <row r="1027" spans="1:37"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s="1">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s="2">
        <f>IF(tblHR[[#This Row],[Attrition]]="Yes",1,0)</f>
        <v>0</v>
      </c>
      <c r="AK1027" t="str">
        <f>IF(tblHR[[#This Row],[Age]]&lt;26,"18-25",IF(tblHR[[#This Row],[Age]]&lt;36,"26-35",IF(tblHR[[#This Row],[Age]]&lt;46,"36-45",IF(tblHR[[#This Row],[Age]]&lt;56,"46-55","56+"))))</f>
        <v>18-25</v>
      </c>
    </row>
    <row r="1028" spans="1:37"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s="1">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s="2">
        <f>IF(tblHR[[#This Row],[Attrition]]="Yes",1,0)</f>
        <v>0</v>
      </c>
      <c r="AK1028" t="str">
        <f>IF(tblHR[[#This Row],[Age]]&lt;26,"18-25",IF(tblHR[[#This Row],[Age]]&lt;36,"26-35",IF(tblHR[[#This Row],[Age]]&lt;46,"36-45",IF(tblHR[[#This Row],[Age]]&lt;56,"46-55","56+"))))</f>
        <v>26-35</v>
      </c>
    </row>
    <row r="1029" spans="1:37"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s="1">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s="2">
        <f>IF(tblHR[[#This Row],[Attrition]]="Yes",1,0)</f>
        <v>0</v>
      </c>
      <c r="AK1029" t="str">
        <f>IF(tblHR[[#This Row],[Age]]&lt;26,"18-25",IF(tblHR[[#This Row],[Age]]&lt;36,"26-35",IF(tblHR[[#This Row],[Age]]&lt;46,"36-45",IF(tblHR[[#This Row],[Age]]&lt;56,"46-55","56+"))))</f>
        <v>26-35</v>
      </c>
    </row>
    <row r="1030" spans="1:37"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s="1">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s="2">
        <f>IF(tblHR[[#This Row],[Attrition]]="Yes",1,0)</f>
        <v>0</v>
      </c>
      <c r="AK1030" t="str">
        <f>IF(tblHR[[#This Row],[Age]]&lt;26,"18-25",IF(tblHR[[#This Row],[Age]]&lt;36,"26-35",IF(tblHR[[#This Row],[Age]]&lt;46,"36-45",IF(tblHR[[#This Row],[Age]]&lt;56,"46-55","56+"))))</f>
        <v>36-45</v>
      </c>
    </row>
    <row r="1031" spans="1:37"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s="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s="2">
        <f>IF(tblHR[[#This Row],[Attrition]]="Yes",1,0)</f>
        <v>0</v>
      </c>
      <c r="AK1031" t="str">
        <f>IF(tblHR[[#This Row],[Age]]&lt;26,"18-25",IF(tblHR[[#This Row],[Age]]&lt;36,"26-35",IF(tblHR[[#This Row],[Age]]&lt;46,"36-45",IF(tblHR[[#This Row],[Age]]&lt;56,"46-55","56+"))))</f>
        <v>36-45</v>
      </c>
    </row>
    <row r="1032" spans="1:37"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s="1">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s="2">
        <f>IF(tblHR[[#This Row],[Attrition]]="Yes",1,0)</f>
        <v>0</v>
      </c>
      <c r="AK1032" t="str">
        <f>IF(tblHR[[#This Row],[Age]]&lt;26,"18-25",IF(tblHR[[#This Row],[Age]]&lt;36,"26-35",IF(tblHR[[#This Row],[Age]]&lt;46,"36-45",IF(tblHR[[#This Row],[Age]]&lt;56,"46-55","56+"))))</f>
        <v>26-35</v>
      </c>
    </row>
    <row r="1033" spans="1:37"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s="1">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s="2">
        <f>IF(tblHR[[#This Row],[Attrition]]="Yes",1,0)</f>
        <v>1</v>
      </c>
      <c r="AK1033" t="str">
        <f>IF(tblHR[[#This Row],[Age]]&lt;26,"18-25",IF(tblHR[[#This Row],[Age]]&lt;36,"26-35",IF(tblHR[[#This Row],[Age]]&lt;46,"36-45",IF(tblHR[[#This Row],[Age]]&lt;56,"46-55","56+"))))</f>
        <v>46-55</v>
      </c>
    </row>
    <row r="1034" spans="1:37"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s="1">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s="2">
        <f>IF(tblHR[[#This Row],[Attrition]]="Yes",1,0)</f>
        <v>1</v>
      </c>
      <c r="AK1034" t="str">
        <f>IF(tblHR[[#This Row],[Age]]&lt;26,"18-25",IF(tblHR[[#This Row],[Age]]&lt;36,"26-35",IF(tblHR[[#This Row],[Age]]&lt;46,"36-45",IF(tblHR[[#This Row],[Age]]&lt;56,"46-55","56+"))))</f>
        <v>36-45</v>
      </c>
    </row>
    <row r="1035" spans="1:37"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s="1">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s="2">
        <f>IF(tblHR[[#This Row],[Attrition]]="Yes",1,0)</f>
        <v>1</v>
      </c>
      <c r="AK1035" t="str">
        <f>IF(tblHR[[#This Row],[Age]]&lt;26,"18-25",IF(tblHR[[#This Row],[Age]]&lt;36,"26-35",IF(tblHR[[#This Row],[Age]]&lt;46,"36-45",IF(tblHR[[#This Row],[Age]]&lt;56,"46-55","56+"))))</f>
        <v>26-35</v>
      </c>
    </row>
    <row r="1036" spans="1:37"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s="1">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s="2">
        <f>IF(tblHR[[#This Row],[Attrition]]="Yes",1,0)</f>
        <v>0</v>
      </c>
      <c r="AK1036" t="str">
        <f>IF(tblHR[[#This Row],[Age]]&lt;26,"18-25",IF(tblHR[[#This Row],[Age]]&lt;36,"26-35",IF(tblHR[[#This Row],[Age]]&lt;46,"36-45",IF(tblHR[[#This Row],[Age]]&lt;56,"46-55","56+"))))</f>
        <v>36-45</v>
      </c>
    </row>
    <row r="1037" spans="1:37"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s="1">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s="2">
        <f>IF(tblHR[[#This Row],[Attrition]]="Yes",1,0)</f>
        <v>0</v>
      </c>
      <c r="AK1037" t="str">
        <f>IF(tblHR[[#This Row],[Age]]&lt;26,"18-25",IF(tblHR[[#This Row],[Age]]&lt;36,"26-35",IF(tblHR[[#This Row],[Age]]&lt;46,"36-45",IF(tblHR[[#This Row],[Age]]&lt;56,"46-55","56+"))))</f>
        <v>26-35</v>
      </c>
    </row>
    <row r="1038" spans="1:37"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s="1">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s="2">
        <f>IF(tblHR[[#This Row],[Attrition]]="Yes",1,0)</f>
        <v>1</v>
      </c>
      <c r="AK1038" t="str">
        <f>IF(tblHR[[#This Row],[Age]]&lt;26,"18-25",IF(tblHR[[#This Row],[Age]]&lt;36,"26-35",IF(tblHR[[#This Row],[Age]]&lt;46,"36-45",IF(tblHR[[#This Row],[Age]]&lt;56,"46-55","56+"))))</f>
        <v>26-35</v>
      </c>
    </row>
    <row r="1039" spans="1:37"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s="1">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s="2">
        <f>IF(tblHR[[#This Row],[Attrition]]="Yes",1,0)</f>
        <v>0</v>
      </c>
      <c r="AK1039" t="str">
        <f>IF(tblHR[[#This Row],[Age]]&lt;26,"18-25",IF(tblHR[[#This Row],[Age]]&lt;36,"26-35",IF(tblHR[[#This Row],[Age]]&lt;46,"36-45",IF(tblHR[[#This Row],[Age]]&lt;56,"46-55","56+"))))</f>
        <v>36-45</v>
      </c>
    </row>
    <row r="1040" spans="1:37"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s="1">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s="2">
        <f>IF(tblHR[[#This Row],[Attrition]]="Yes",1,0)</f>
        <v>0</v>
      </c>
      <c r="AK1040" t="str">
        <f>IF(tblHR[[#This Row],[Age]]&lt;26,"18-25",IF(tblHR[[#This Row],[Age]]&lt;36,"26-35",IF(tblHR[[#This Row],[Age]]&lt;46,"36-45",IF(tblHR[[#This Row],[Age]]&lt;56,"46-55","56+"))))</f>
        <v>46-55</v>
      </c>
    </row>
    <row r="1041" spans="1:37"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s="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s="2">
        <f>IF(tblHR[[#This Row],[Attrition]]="Yes",1,0)</f>
        <v>1</v>
      </c>
      <c r="AK1041" t="str">
        <f>IF(tblHR[[#This Row],[Age]]&lt;26,"18-25",IF(tblHR[[#This Row],[Age]]&lt;36,"26-35",IF(tblHR[[#This Row],[Age]]&lt;46,"36-45",IF(tblHR[[#This Row],[Age]]&lt;56,"46-55","56+"))))</f>
        <v>26-35</v>
      </c>
    </row>
    <row r="1042" spans="1:37"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s="1">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s="2">
        <f>IF(tblHR[[#This Row],[Attrition]]="Yes",1,0)</f>
        <v>0</v>
      </c>
      <c r="AK1042" t="str">
        <f>IF(tblHR[[#This Row],[Age]]&lt;26,"18-25",IF(tblHR[[#This Row],[Age]]&lt;36,"26-35",IF(tblHR[[#This Row],[Age]]&lt;46,"36-45",IF(tblHR[[#This Row],[Age]]&lt;56,"46-55","56+"))))</f>
        <v>36-45</v>
      </c>
    </row>
    <row r="1043" spans="1:37"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s="1">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s="2">
        <f>IF(tblHR[[#This Row],[Attrition]]="Yes",1,0)</f>
        <v>0</v>
      </c>
      <c r="AK1043" t="str">
        <f>IF(tblHR[[#This Row],[Age]]&lt;26,"18-25",IF(tblHR[[#This Row],[Age]]&lt;36,"26-35",IF(tblHR[[#This Row],[Age]]&lt;46,"36-45",IF(tblHR[[#This Row],[Age]]&lt;56,"46-55","56+"))))</f>
        <v>26-35</v>
      </c>
    </row>
    <row r="1044" spans="1:37"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s="1">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s="2">
        <f>IF(tblHR[[#This Row],[Attrition]]="Yes",1,0)</f>
        <v>0</v>
      </c>
      <c r="AK1044" t="str">
        <f>IF(tblHR[[#This Row],[Age]]&lt;26,"18-25",IF(tblHR[[#This Row],[Age]]&lt;36,"26-35",IF(tblHR[[#This Row],[Age]]&lt;46,"36-45",IF(tblHR[[#This Row],[Age]]&lt;56,"46-55","56+"))))</f>
        <v>36-45</v>
      </c>
    </row>
    <row r="1045" spans="1:37"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s="1">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s="2">
        <f>IF(tblHR[[#This Row],[Attrition]]="Yes",1,0)</f>
        <v>0</v>
      </c>
      <c r="AK1045" t="str">
        <f>IF(tblHR[[#This Row],[Age]]&lt;26,"18-25",IF(tblHR[[#This Row],[Age]]&lt;36,"26-35",IF(tblHR[[#This Row],[Age]]&lt;46,"36-45",IF(tblHR[[#This Row],[Age]]&lt;56,"46-55","56+"))))</f>
        <v>46-55</v>
      </c>
    </row>
    <row r="1046" spans="1:37"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s="1">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s="2">
        <f>IF(tblHR[[#This Row],[Attrition]]="Yes",1,0)</f>
        <v>0</v>
      </c>
      <c r="AK1046" t="str">
        <f>IF(tblHR[[#This Row],[Age]]&lt;26,"18-25",IF(tblHR[[#This Row],[Age]]&lt;36,"26-35",IF(tblHR[[#This Row],[Age]]&lt;46,"36-45",IF(tblHR[[#This Row],[Age]]&lt;56,"46-55","56+"))))</f>
        <v>46-55</v>
      </c>
    </row>
    <row r="1047" spans="1:37"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s="1">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s="2">
        <f>IF(tblHR[[#This Row],[Attrition]]="Yes",1,0)</f>
        <v>0</v>
      </c>
      <c r="AK1047" t="str">
        <f>IF(tblHR[[#This Row],[Age]]&lt;26,"18-25",IF(tblHR[[#This Row],[Age]]&lt;36,"26-35",IF(tblHR[[#This Row],[Age]]&lt;46,"36-45",IF(tblHR[[#This Row],[Age]]&lt;56,"46-55","56+"))))</f>
        <v>36-45</v>
      </c>
    </row>
    <row r="1048" spans="1:37"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s="1">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s="2">
        <f>IF(tblHR[[#This Row],[Attrition]]="Yes",1,0)</f>
        <v>0</v>
      </c>
      <c r="AK1048" t="str">
        <f>IF(tblHR[[#This Row],[Age]]&lt;26,"18-25",IF(tblHR[[#This Row],[Age]]&lt;36,"26-35",IF(tblHR[[#This Row],[Age]]&lt;46,"36-45",IF(tblHR[[#This Row],[Age]]&lt;56,"46-55","56+"))))</f>
        <v>36-45</v>
      </c>
    </row>
    <row r="1049" spans="1:37"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s="1">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s="2">
        <f>IF(tblHR[[#This Row],[Attrition]]="Yes",1,0)</f>
        <v>0</v>
      </c>
      <c r="AK1049" t="str">
        <f>IF(tblHR[[#This Row],[Age]]&lt;26,"18-25",IF(tblHR[[#This Row],[Age]]&lt;36,"26-35",IF(tblHR[[#This Row],[Age]]&lt;46,"36-45",IF(tblHR[[#This Row],[Age]]&lt;56,"46-55","56+"))))</f>
        <v>26-35</v>
      </c>
    </row>
    <row r="1050" spans="1:37"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s="1">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s="2">
        <f>IF(tblHR[[#This Row],[Attrition]]="Yes",1,0)</f>
        <v>0</v>
      </c>
      <c r="AK1050" t="str">
        <f>IF(tblHR[[#This Row],[Age]]&lt;26,"18-25",IF(tblHR[[#This Row],[Age]]&lt;36,"26-35",IF(tblHR[[#This Row],[Age]]&lt;46,"36-45",IF(tblHR[[#This Row],[Age]]&lt;56,"46-55","56+"))))</f>
        <v>26-35</v>
      </c>
    </row>
    <row r="1051" spans="1:37"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s="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s="2">
        <f>IF(tblHR[[#This Row],[Attrition]]="Yes",1,0)</f>
        <v>0</v>
      </c>
      <c r="AK1051" t="str">
        <f>IF(tblHR[[#This Row],[Age]]&lt;26,"18-25",IF(tblHR[[#This Row],[Age]]&lt;36,"26-35",IF(tblHR[[#This Row],[Age]]&lt;46,"36-45",IF(tblHR[[#This Row],[Age]]&lt;56,"46-55","56+"))))</f>
        <v>26-35</v>
      </c>
    </row>
    <row r="1052" spans="1:37"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s="1">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s="2">
        <f>IF(tblHR[[#This Row],[Attrition]]="Yes",1,0)</f>
        <v>0</v>
      </c>
      <c r="AK1052" t="str">
        <f>IF(tblHR[[#This Row],[Age]]&lt;26,"18-25",IF(tblHR[[#This Row],[Age]]&lt;36,"26-35",IF(tblHR[[#This Row],[Age]]&lt;46,"36-45",IF(tblHR[[#This Row],[Age]]&lt;56,"46-55","56+"))))</f>
        <v>36-45</v>
      </c>
    </row>
    <row r="1053" spans="1:37"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s="1">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s="2">
        <f>IF(tblHR[[#This Row],[Attrition]]="Yes",1,0)</f>
        <v>0</v>
      </c>
      <c r="AK1053" t="str">
        <f>IF(tblHR[[#This Row],[Age]]&lt;26,"18-25",IF(tblHR[[#This Row],[Age]]&lt;36,"26-35",IF(tblHR[[#This Row],[Age]]&lt;46,"36-45",IF(tblHR[[#This Row],[Age]]&lt;56,"46-55","56+"))))</f>
        <v>36-45</v>
      </c>
    </row>
    <row r="1054" spans="1:37"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s="1">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s="2">
        <f>IF(tblHR[[#This Row],[Attrition]]="Yes",1,0)</f>
        <v>0</v>
      </c>
      <c r="AK1054" t="str">
        <f>IF(tblHR[[#This Row],[Age]]&lt;26,"18-25",IF(tblHR[[#This Row],[Age]]&lt;36,"26-35",IF(tblHR[[#This Row],[Age]]&lt;46,"36-45",IF(tblHR[[#This Row],[Age]]&lt;56,"46-55","56+"))))</f>
        <v>26-35</v>
      </c>
    </row>
    <row r="1055" spans="1:37"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s="1">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s="2">
        <f>IF(tblHR[[#This Row],[Attrition]]="Yes",1,0)</f>
        <v>0</v>
      </c>
      <c r="AK1055" t="str">
        <f>IF(tblHR[[#This Row],[Age]]&lt;26,"18-25",IF(tblHR[[#This Row],[Age]]&lt;36,"26-35",IF(tblHR[[#This Row],[Age]]&lt;46,"36-45",IF(tblHR[[#This Row],[Age]]&lt;56,"46-55","56+"))))</f>
        <v>56+</v>
      </c>
    </row>
    <row r="1056" spans="1:37"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s="1">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s="2">
        <f>IF(tblHR[[#This Row],[Attrition]]="Yes",1,0)</f>
        <v>0</v>
      </c>
      <c r="AK1056" t="str">
        <f>IF(tblHR[[#This Row],[Age]]&lt;26,"18-25",IF(tblHR[[#This Row],[Age]]&lt;36,"26-35",IF(tblHR[[#This Row],[Age]]&lt;46,"36-45",IF(tblHR[[#This Row],[Age]]&lt;56,"46-55","56+"))))</f>
        <v>46-55</v>
      </c>
    </row>
    <row r="1057" spans="1:37"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s="1">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s="2">
        <f>IF(tblHR[[#This Row],[Attrition]]="Yes",1,0)</f>
        <v>0</v>
      </c>
      <c r="AK1057" t="str">
        <f>IF(tblHR[[#This Row],[Age]]&lt;26,"18-25",IF(tblHR[[#This Row],[Age]]&lt;36,"26-35",IF(tblHR[[#This Row],[Age]]&lt;46,"36-45",IF(tblHR[[#This Row],[Age]]&lt;56,"46-55","56+"))))</f>
        <v>26-35</v>
      </c>
    </row>
    <row r="1058" spans="1:37"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s="1">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s="2">
        <f>IF(tblHR[[#This Row],[Attrition]]="Yes",1,0)</f>
        <v>1</v>
      </c>
      <c r="AK1058" t="str">
        <f>IF(tblHR[[#This Row],[Age]]&lt;26,"18-25",IF(tblHR[[#This Row],[Age]]&lt;36,"26-35",IF(tblHR[[#This Row],[Age]]&lt;46,"36-45",IF(tblHR[[#This Row],[Age]]&lt;56,"46-55","56+"))))</f>
        <v>26-35</v>
      </c>
    </row>
    <row r="1059" spans="1:37"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s="1">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s="2">
        <f>IF(tblHR[[#This Row],[Attrition]]="Yes",1,0)</f>
        <v>1</v>
      </c>
      <c r="AK1059" t="str">
        <f>IF(tblHR[[#This Row],[Age]]&lt;26,"18-25",IF(tblHR[[#This Row],[Age]]&lt;36,"26-35",IF(tblHR[[#This Row],[Age]]&lt;46,"36-45",IF(tblHR[[#This Row],[Age]]&lt;56,"46-55","56+"))))</f>
        <v>26-35</v>
      </c>
    </row>
    <row r="1060" spans="1:37"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s="1">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s="2">
        <f>IF(tblHR[[#This Row],[Attrition]]="Yes",1,0)</f>
        <v>1</v>
      </c>
      <c r="AK1060" t="str">
        <f>IF(tblHR[[#This Row],[Age]]&lt;26,"18-25",IF(tblHR[[#This Row],[Age]]&lt;36,"26-35",IF(tblHR[[#This Row],[Age]]&lt;46,"36-45",IF(tblHR[[#This Row],[Age]]&lt;56,"46-55","56+"))))</f>
        <v>26-35</v>
      </c>
    </row>
    <row r="1061" spans="1:37"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s="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s="2">
        <f>IF(tblHR[[#This Row],[Attrition]]="Yes",1,0)</f>
        <v>0</v>
      </c>
      <c r="AK1061" t="str">
        <f>IF(tblHR[[#This Row],[Age]]&lt;26,"18-25",IF(tblHR[[#This Row],[Age]]&lt;36,"26-35",IF(tblHR[[#This Row],[Age]]&lt;46,"36-45",IF(tblHR[[#This Row],[Age]]&lt;56,"46-55","56+"))))</f>
        <v>26-35</v>
      </c>
    </row>
    <row r="1062" spans="1:37"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s="1">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s="2">
        <f>IF(tblHR[[#This Row],[Attrition]]="Yes",1,0)</f>
        <v>1</v>
      </c>
      <c r="AK1062" t="str">
        <f>IF(tblHR[[#This Row],[Age]]&lt;26,"18-25",IF(tblHR[[#This Row],[Age]]&lt;36,"26-35",IF(tblHR[[#This Row],[Age]]&lt;46,"36-45",IF(tblHR[[#This Row],[Age]]&lt;56,"46-55","56+"))))</f>
        <v>18-25</v>
      </c>
    </row>
    <row r="1063" spans="1:37"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s="1">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s="2">
        <f>IF(tblHR[[#This Row],[Attrition]]="Yes",1,0)</f>
        <v>0</v>
      </c>
      <c r="AK1063" t="str">
        <f>IF(tblHR[[#This Row],[Age]]&lt;26,"18-25",IF(tblHR[[#This Row],[Age]]&lt;36,"26-35",IF(tblHR[[#This Row],[Age]]&lt;46,"36-45",IF(tblHR[[#This Row],[Age]]&lt;56,"46-55","56+"))))</f>
        <v>18-25</v>
      </c>
    </row>
    <row r="1064" spans="1:37"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s="1">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s="2">
        <f>IF(tblHR[[#This Row],[Attrition]]="Yes",1,0)</f>
        <v>0</v>
      </c>
      <c r="AK1064" t="str">
        <f>IF(tblHR[[#This Row],[Age]]&lt;26,"18-25",IF(tblHR[[#This Row],[Age]]&lt;36,"26-35",IF(tblHR[[#This Row],[Age]]&lt;46,"36-45",IF(tblHR[[#This Row],[Age]]&lt;56,"46-55","56+"))))</f>
        <v>36-45</v>
      </c>
    </row>
    <row r="1065" spans="1:37"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s="1">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s="2">
        <f>IF(tblHR[[#This Row],[Attrition]]="Yes",1,0)</f>
        <v>0</v>
      </c>
      <c r="AK1065" t="str">
        <f>IF(tblHR[[#This Row],[Age]]&lt;26,"18-25",IF(tblHR[[#This Row],[Age]]&lt;36,"26-35",IF(tblHR[[#This Row],[Age]]&lt;46,"36-45",IF(tblHR[[#This Row],[Age]]&lt;56,"46-55","56+"))))</f>
        <v>26-35</v>
      </c>
    </row>
    <row r="1066" spans="1:37"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s="1">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s="2">
        <f>IF(tblHR[[#This Row],[Attrition]]="Yes",1,0)</f>
        <v>0</v>
      </c>
      <c r="AK1066" t="str">
        <f>IF(tblHR[[#This Row],[Age]]&lt;26,"18-25",IF(tblHR[[#This Row],[Age]]&lt;36,"26-35",IF(tblHR[[#This Row],[Age]]&lt;46,"36-45",IF(tblHR[[#This Row],[Age]]&lt;56,"46-55","56+"))))</f>
        <v>26-35</v>
      </c>
    </row>
    <row r="1067" spans="1:37"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s="1">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s="2">
        <f>IF(tblHR[[#This Row],[Attrition]]="Yes",1,0)</f>
        <v>0</v>
      </c>
      <c r="AK1067" t="str">
        <f>IF(tblHR[[#This Row],[Age]]&lt;26,"18-25",IF(tblHR[[#This Row],[Age]]&lt;36,"26-35",IF(tblHR[[#This Row],[Age]]&lt;46,"36-45",IF(tblHR[[#This Row],[Age]]&lt;56,"46-55","56+"))))</f>
        <v>46-55</v>
      </c>
    </row>
    <row r="1068" spans="1:37"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s="1">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s="2">
        <f>IF(tblHR[[#This Row],[Attrition]]="Yes",1,0)</f>
        <v>0</v>
      </c>
      <c r="AK1068" t="str">
        <f>IF(tblHR[[#This Row],[Age]]&lt;26,"18-25",IF(tblHR[[#This Row],[Age]]&lt;36,"26-35",IF(tblHR[[#This Row],[Age]]&lt;46,"36-45",IF(tblHR[[#This Row],[Age]]&lt;56,"46-55","56+"))))</f>
        <v>26-35</v>
      </c>
    </row>
    <row r="1069" spans="1:37"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s="1">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s="2">
        <f>IF(tblHR[[#This Row],[Attrition]]="Yes",1,0)</f>
        <v>0</v>
      </c>
      <c r="AK1069" t="str">
        <f>IF(tblHR[[#This Row],[Age]]&lt;26,"18-25",IF(tblHR[[#This Row],[Age]]&lt;36,"26-35",IF(tblHR[[#This Row],[Age]]&lt;46,"36-45",IF(tblHR[[#This Row],[Age]]&lt;56,"46-55","56+"))))</f>
        <v>46-55</v>
      </c>
    </row>
    <row r="1070" spans="1:37"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s="1">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s="2">
        <f>IF(tblHR[[#This Row],[Attrition]]="Yes",1,0)</f>
        <v>1</v>
      </c>
      <c r="AK1070" t="str">
        <f>IF(tblHR[[#This Row],[Age]]&lt;26,"18-25",IF(tblHR[[#This Row],[Age]]&lt;36,"26-35",IF(tblHR[[#This Row],[Age]]&lt;46,"36-45",IF(tblHR[[#This Row],[Age]]&lt;56,"46-55","56+"))))</f>
        <v>26-35</v>
      </c>
    </row>
    <row r="1071" spans="1:37"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s="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s="2">
        <f>IF(tblHR[[#This Row],[Attrition]]="Yes",1,0)</f>
        <v>0</v>
      </c>
      <c r="AK1071" t="str">
        <f>IF(tblHR[[#This Row],[Age]]&lt;26,"18-25",IF(tblHR[[#This Row],[Age]]&lt;36,"26-35",IF(tblHR[[#This Row],[Age]]&lt;46,"36-45",IF(tblHR[[#This Row],[Age]]&lt;56,"46-55","56+"))))</f>
        <v>26-35</v>
      </c>
    </row>
    <row r="1072" spans="1:37"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s="1">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s="2">
        <f>IF(tblHR[[#This Row],[Attrition]]="Yes",1,0)</f>
        <v>0</v>
      </c>
      <c r="AK1072" t="str">
        <f>IF(tblHR[[#This Row],[Age]]&lt;26,"18-25",IF(tblHR[[#This Row],[Age]]&lt;36,"26-35",IF(tblHR[[#This Row],[Age]]&lt;46,"36-45",IF(tblHR[[#This Row],[Age]]&lt;56,"46-55","56+"))))</f>
        <v>26-35</v>
      </c>
    </row>
    <row r="1073" spans="1:37"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s="1">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s="2">
        <f>IF(tblHR[[#This Row],[Attrition]]="Yes",1,0)</f>
        <v>0</v>
      </c>
      <c r="AK1073" t="str">
        <f>IF(tblHR[[#This Row],[Age]]&lt;26,"18-25",IF(tblHR[[#This Row],[Age]]&lt;36,"26-35",IF(tblHR[[#This Row],[Age]]&lt;46,"36-45",IF(tblHR[[#This Row],[Age]]&lt;56,"46-55","56+"))))</f>
        <v>46-55</v>
      </c>
    </row>
    <row r="1074" spans="1:37"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s="1">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s="2">
        <f>IF(tblHR[[#This Row],[Attrition]]="Yes",1,0)</f>
        <v>0</v>
      </c>
      <c r="AK1074" t="str">
        <f>IF(tblHR[[#This Row],[Age]]&lt;26,"18-25",IF(tblHR[[#This Row],[Age]]&lt;36,"26-35",IF(tblHR[[#This Row],[Age]]&lt;46,"36-45",IF(tblHR[[#This Row],[Age]]&lt;56,"46-55","56+"))))</f>
        <v>26-35</v>
      </c>
    </row>
    <row r="1075" spans="1:37"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s="1">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s="2">
        <f>IF(tblHR[[#This Row],[Attrition]]="Yes",1,0)</f>
        <v>0</v>
      </c>
      <c r="AK1075" t="str">
        <f>IF(tblHR[[#This Row],[Age]]&lt;26,"18-25",IF(tblHR[[#This Row],[Age]]&lt;36,"26-35",IF(tblHR[[#This Row],[Age]]&lt;46,"36-45",IF(tblHR[[#This Row],[Age]]&lt;56,"46-55","56+"))))</f>
        <v>26-35</v>
      </c>
    </row>
    <row r="1076" spans="1:37"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s="1">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s="2">
        <f>IF(tblHR[[#This Row],[Attrition]]="Yes",1,0)</f>
        <v>0</v>
      </c>
      <c r="AK1076" t="str">
        <f>IF(tblHR[[#This Row],[Age]]&lt;26,"18-25",IF(tblHR[[#This Row],[Age]]&lt;36,"26-35",IF(tblHR[[#This Row],[Age]]&lt;46,"36-45",IF(tblHR[[#This Row],[Age]]&lt;56,"46-55","56+"))))</f>
        <v>26-35</v>
      </c>
    </row>
    <row r="1077" spans="1:37"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s="1">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s="2">
        <f>IF(tblHR[[#This Row],[Attrition]]="Yes",1,0)</f>
        <v>0</v>
      </c>
      <c r="AK1077" t="str">
        <f>IF(tblHR[[#This Row],[Age]]&lt;26,"18-25",IF(tblHR[[#This Row],[Age]]&lt;36,"26-35",IF(tblHR[[#This Row],[Age]]&lt;46,"36-45",IF(tblHR[[#This Row],[Age]]&lt;56,"46-55","56+"))))</f>
        <v>26-35</v>
      </c>
    </row>
    <row r="1078" spans="1:37"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s="1">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s="2">
        <f>IF(tblHR[[#This Row],[Attrition]]="Yes",1,0)</f>
        <v>0</v>
      </c>
      <c r="AK1078" t="str">
        <f>IF(tblHR[[#This Row],[Age]]&lt;26,"18-25",IF(tblHR[[#This Row],[Age]]&lt;36,"26-35",IF(tblHR[[#This Row],[Age]]&lt;46,"36-45",IF(tblHR[[#This Row],[Age]]&lt;56,"46-55","56+"))))</f>
        <v>46-55</v>
      </c>
    </row>
    <row r="1079" spans="1:37"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s="1">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s="2">
        <f>IF(tblHR[[#This Row],[Attrition]]="Yes",1,0)</f>
        <v>1</v>
      </c>
      <c r="AK1079" t="str">
        <f>IF(tblHR[[#This Row],[Age]]&lt;26,"18-25",IF(tblHR[[#This Row],[Age]]&lt;36,"26-35",IF(tblHR[[#This Row],[Age]]&lt;46,"36-45",IF(tblHR[[#This Row],[Age]]&lt;56,"46-55","56+"))))</f>
        <v>26-35</v>
      </c>
    </row>
    <row r="1080" spans="1:37"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s="1">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s="2">
        <f>IF(tblHR[[#This Row],[Attrition]]="Yes",1,0)</f>
        <v>0</v>
      </c>
      <c r="AK1080" t="str">
        <f>IF(tblHR[[#This Row],[Age]]&lt;26,"18-25",IF(tblHR[[#This Row],[Age]]&lt;36,"26-35",IF(tblHR[[#This Row],[Age]]&lt;46,"36-45",IF(tblHR[[#This Row],[Age]]&lt;56,"46-55","56+"))))</f>
        <v>36-45</v>
      </c>
    </row>
    <row r="1081" spans="1:37"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s="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s="2">
        <f>IF(tblHR[[#This Row],[Attrition]]="Yes",1,0)</f>
        <v>0</v>
      </c>
      <c r="AK1081" t="str">
        <f>IF(tblHR[[#This Row],[Age]]&lt;26,"18-25",IF(tblHR[[#This Row],[Age]]&lt;36,"26-35",IF(tblHR[[#This Row],[Age]]&lt;46,"36-45",IF(tblHR[[#This Row],[Age]]&lt;56,"46-55","56+"))))</f>
        <v>36-45</v>
      </c>
    </row>
    <row r="1082" spans="1:37"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s="1">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s="2">
        <f>IF(tblHR[[#This Row],[Attrition]]="Yes",1,0)</f>
        <v>0</v>
      </c>
      <c r="AK1082" t="str">
        <f>IF(tblHR[[#This Row],[Age]]&lt;26,"18-25",IF(tblHR[[#This Row],[Age]]&lt;36,"26-35",IF(tblHR[[#This Row],[Age]]&lt;46,"36-45",IF(tblHR[[#This Row],[Age]]&lt;56,"46-55","56+"))))</f>
        <v>46-55</v>
      </c>
    </row>
    <row r="1083" spans="1:37"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s="1">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s="2">
        <f>IF(tblHR[[#This Row],[Attrition]]="Yes",1,0)</f>
        <v>0</v>
      </c>
      <c r="AK1083" t="str">
        <f>IF(tblHR[[#This Row],[Age]]&lt;26,"18-25",IF(tblHR[[#This Row],[Age]]&lt;36,"26-35",IF(tblHR[[#This Row],[Age]]&lt;46,"36-45",IF(tblHR[[#This Row],[Age]]&lt;56,"46-55","56+"))))</f>
        <v>26-35</v>
      </c>
    </row>
    <row r="1084" spans="1:37"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s="1">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s="2">
        <f>IF(tblHR[[#This Row],[Attrition]]="Yes",1,0)</f>
        <v>0</v>
      </c>
      <c r="AK1084" t="str">
        <f>IF(tblHR[[#This Row],[Age]]&lt;26,"18-25",IF(tblHR[[#This Row],[Age]]&lt;36,"26-35",IF(tblHR[[#This Row],[Age]]&lt;46,"36-45",IF(tblHR[[#This Row],[Age]]&lt;56,"46-55","56+"))))</f>
        <v>18-25</v>
      </c>
    </row>
    <row r="1085" spans="1:37"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s="1">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s="2">
        <f>IF(tblHR[[#This Row],[Attrition]]="Yes",1,0)</f>
        <v>1</v>
      </c>
      <c r="AK1085" t="str">
        <f>IF(tblHR[[#This Row],[Age]]&lt;26,"18-25",IF(tblHR[[#This Row],[Age]]&lt;36,"26-35",IF(tblHR[[#This Row],[Age]]&lt;46,"36-45",IF(tblHR[[#This Row],[Age]]&lt;56,"46-55","56+"))))</f>
        <v>36-45</v>
      </c>
    </row>
    <row r="1086" spans="1:37"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s="1">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s="2">
        <f>IF(tblHR[[#This Row],[Attrition]]="Yes",1,0)</f>
        <v>0</v>
      </c>
      <c r="AK1086" t="str">
        <f>IF(tblHR[[#This Row],[Age]]&lt;26,"18-25",IF(tblHR[[#This Row],[Age]]&lt;36,"26-35",IF(tblHR[[#This Row],[Age]]&lt;46,"36-45",IF(tblHR[[#This Row],[Age]]&lt;56,"46-55","56+"))))</f>
        <v>26-35</v>
      </c>
    </row>
    <row r="1087" spans="1:37"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s="1">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s="2">
        <f>IF(tblHR[[#This Row],[Attrition]]="Yes",1,0)</f>
        <v>1</v>
      </c>
      <c r="AK1087" t="str">
        <f>IF(tblHR[[#This Row],[Age]]&lt;26,"18-25",IF(tblHR[[#This Row],[Age]]&lt;36,"26-35",IF(tblHR[[#This Row],[Age]]&lt;46,"36-45",IF(tblHR[[#This Row],[Age]]&lt;56,"46-55","56+"))))</f>
        <v>26-35</v>
      </c>
    </row>
    <row r="1088" spans="1:37"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s="1">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s="2">
        <f>IF(tblHR[[#This Row],[Attrition]]="Yes",1,0)</f>
        <v>0</v>
      </c>
      <c r="AK1088" t="str">
        <f>IF(tblHR[[#This Row],[Age]]&lt;26,"18-25",IF(tblHR[[#This Row],[Age]]&lt;36,"26-35",IF(tblHR[[#This Row],[Age]]&lt;46,"36-45",IF(tblHR[[#This Row],[Age]]&lt;56,"46-55","56+"))))</f>
        <v>46-55</v>
      </c>
    </row>
    <row r="1089" spans="1:37"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s="1">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s="2">
        <f>IF(tblHR[[#This Row],[Attrition]]="Yes",1,0)</f>
        <v>0</v>
      </c>
      <c r="AK1089" t="str">
        <f>IF(tblHR[[#This Row],[Age]]&lt;26,"18-25",IF(tblHR[[#This Row],[Age]]&lt;36,"26-35",IF(tblHR[[#This Row],[Age]]&lt;46,"36-45",IF(tblHR[[#This Row],[Age]]&lt;56,"46-55","56+"))))</f>
        <v>26-35</v>
      </c>
    </row>
    <row r="1090" spans="1:37"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s="1">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s="2">
        <f>IF(tblHR[[#This Row],[Attrition]]="Yes",1,0)</f>
        <v>0</v>
      </c>
      <c r="AK1090" t="str">
        <f>IF(tblHR[[#This Row],[Age]]&lt;26,"18-25",IF(tblHR[[#This Row],[Age]]&lt;36,"26-35",IF(tblHR[[#This Row],[Age]]&lt;46,"36-45",IF(tblHR[[#This Row],[Age]]&lt;56,"46-55","56+"))))</f>
        <v>36-45</v>
      </c>
    </row>
    <row r="1091" spans="1:37"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s="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s="2">
        <f>IF(tblHR[[#This Row],[Attrition]]="Yes",1,0)</f>
        <v>0</v>
      </c>
      <c r="AK1091" t="str">
        <f>IF(tblHR[[#This Row],[Age]]&lt;26,"18-25",IF(tblHR[[#This Row],[Age]]&lt;36,"26-35",IF(tblHR[[#This Row],[Age]]&lt;46,"36-45",IF(tblHR[[#This Row],[Age]]&lt;56,"46-55","56+"))))</f>
        <v>36-45</v>
      </c>
    </row>
    <row r="1092" spans="1:37"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s="1">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s="2">
        <f>IF(tblHR[[#This Row],[Attrition]]="Yes",1,0)</f>
        <v>0</v>
      </c>
      <c r="AK1092" t="str">
        <f>IF(tblHR[[#This Row],[Age]]&lt;26,"18-25",IF(tblHR[[#This Row],[Age]]&lt;36,"26-35",IF(tblHR[[#This Row],[Age]]&lt;46,"36-45",IF(tblHR[[#This Row],[Age]]&lt;56,"46-55","56+"))))</f>
        <v>26-35</v>
      </c>
    </row>
    <row r="1093" spans="1:37"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s="1">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s="2">
        <f>IF(tblHR[[#This Row],[Attrition]]="Yes",1,0)</f>
        <v>0</v>
      </c>
      <c r="AK1093" t="str">
        <f>IF(tblHR[[#This Row],[Age]]&lt;26,"18-25",IF(tblHR[[#This Row],[Age]]&lt;36,"26-35",IF(tblHR[[#This Row],[Age]]&lt;46,"36-45",IF(tblHR[[#This Row],[Age]]&lt;56,"46-55","56+"))))</f>
        <v>26-35</v>
      </c>
    </row>
    <row r="1094" spans="1:37"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s="1">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s="2">
        <f>IF(tblHR[[#This Row],[Attrition]]="Yes",1,0)</f>
        <v>0</v>
      </c>
      <c r="AK1094" t="str">
        <f>IF(tblHR[[#This Row],[Age]]&lt;26,"18-25",IF(tblHR[[#This Row],[Age]]&lt;36,"26-35",IF(tblHR[[#This Row],[Age]]&lt;46,"36-45",IF(tblHR[[#This Row],[Age]]&lt;56,"46-55","56+"))))</f>
        <v>36-45</v>
      </c>
    </row>
    <row r="1095" spans="1:37"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s="1">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s="2">
        <f>IF(tblHR[[#This Row],[Attrition]]="Yes",1,0)</f>
        <v>0</v>
      </c>
      <c r="AK1095" t="str">
        <f>IF(tblHR[[#This Row],[Age]]&lt;26,"18-25",IF(tblHR[[#This Row],[Age]]&lt;36,"26-35",IF(tblHR[[#This Row],[Age]]&lt;46,"36-45",IF(tblHR[[#This Row],[Age]]&lt;56,"46-55","56+"))))</f>
        <v>36-45</v>
      </c>
    </row>
    <row r="1096" spans="1:37"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s="1">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s="2">
        <f>IF(tblHR[[#This Row],[Attrition]]="Yes",1,0)</f>
        <v>0</v>
      </c>
      <c r="AK1096" t="str">
        <f>IF(tblHR[[#This Row],[Age]]&lt;26,"18-25",IF(tblHR[[#This Row],[Age]]&lt;36,"26-35",IF(tblHR[[#This Row],[Age]]&lt;46,"36-45",IF(tblHR[[#This Row],[Age]]&lt;56,"46-55","56+"))))</f>
        <v>36-45</v>
      </c>
    </row>
    <row r="1097" spans="1:37"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s="1">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s="2">
        <f>IF(tblHR[[#This Row],[Attrition]]="Yes",1,0)</f>
        <v>0</v>
      </c>
      <c r="AK1097" t="str">
        <f>IF(tblHR[[#This Row],[Age]]&lt;26,"18-25",IF(tblHR[[#This Row],[Age]]&lt;36,"26-35",IF(tblHR[[#This Row],[Age]]&lt;46,"36-45",IF(tblHR[[#This Row],[Age]]&lt;56,"46-55","56+"))))</f>
        <v>26-35</v>
      </c>
    </row>
    <row r="1098" spans="1:37"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s="1">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s="2">
        <f>IF(tblHR[[#This Row],[Attrition]]="Yes",1,0)</f>
        <v>0</v>
      </c>
      <c r="AK1098" t="str">
        <f>IF(tblHR[[#This Row],[Age]]&lt;26,"18-25",IF(tblHR[[#This Row],[Age]]&lt;36,"26-35",IF(tblHR[[#This Row],[Age]]&lt;46,"36-45",IF(tblHR[[#This Row],[Age]]&lt;56,"46-55","56+"))))</f>
        <v>36-45</v>
      </c>
    </row>
    <row r="1099" spans="1:37"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s="1">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s="2">
        <f>IF(tblHR[[#This Row],[Attrition]]="Yes",1,0)</f>
        <v>0</v>
      </c>
      <c r="AK1099" t="str">
        <f>IF(tblHR[[#This Row],[Age]]&lt;26,"18-25",IF(tblHR[[#This Row],[Age]]&lt;36,"26-35",IF(tblHR[[#This Row],[Age]]&lt;46,"36-45",IF(tblHR[[#This Row],[Age]]&lt;56,"46-55","56+"))))</f>
        <v>18-25</v>
      </c>
    </row>
    <row r="1100" spans="1:37"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s="1">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s="2">
        <f>IF(tblHR[[#This Row],[Attrition]]="Yes",1,0)</f>
        <v>0</v>
      </c>
      <c r="AK1100" t="str">
        <f>IF(tblHR[[#This Row],[Age]]&lt;26,"18-25",IF(tblHR[[#This Row],[Age]]&lt;36,"26-35",IF(tblHR[[#This Row],[Age]]&lt;46,"36-45",IF(tblHR[[#This Row],[Age]]&lt;56,"46-55","56+"))))</f>
        <v>36-45</v>
      </c>
    </row>
    <row r="1101" spans="1:37"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s="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s="2">
        <f>IF(tblHR[[#This Row],[Attrition]]="Yes",1,0)</f>
        <v>0</v>
      </c>
      <c r="AK1101" t="str">
        <f>IF(tblHR[[#This Row],[Age]]&lt;26,"18-25",IF(tblHR[[#This Row],[Age]]&lt;36,"26-35",IF(tblHR[[#This Row],[Age]]&lt;46,"36-45",IF(tblHR[[#This Row],[Age]]&lt;56,"46-55","56+"))))</f>
        <v>36-45</v>
      </c>
    </row>
    <row r="1102" spans="1:37"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s="1">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s="2">
        <f>IF(tblHR[[#This Row],[Attrition]]="Yes",1,0)</f>
        <v>0</v>
      </c>
      <c r="AK1102" t="str">
        <f>IF(tblHR[[#This Row],[Age]]&lt;26,"18-25",IF(tblHR[[#This Row],[Age]]&lt;36,"26-35",IF(tblHR[[#This Row],[Age]]&lt;46,"36-45",IF(tblHR[[#This Row],[Age]]&lt;56,"46-55","56+"))))</f>
        <v>26-35</v>
      </c>
    </row>
    <row r="1103" spans="1:37"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s="1">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s="2">
        <f>IF(tblHR[[#This Row],[Attrition]]="Yes",1,0)</f>
        <v>0</v>
      </c>
      <c r="AK1103" t="str">
        <f>IF(tblHR[[#This Row],[Age]]&lt;26,"18-25",IF(tblHR[[#This Row],[Age]]&lt;36,"26-35",IF(tblHR[[#This Row],[Age]]&lt;46,"36-45",IF(tblHR[[#This Row],[Age]]&lt;56,"46-55","56+"))))</f>
        <v>26-35</v>
      </c>
    </row>
    <row r="1104" spans="1:37"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s="1">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s="2">
        <f>IF(tblHR[[#This Row],[Attrition]]="Yes",1,0)</f>
        <v>0</v>
      </c>
      <c r="AK1104" t="str">
        <f>IF(tblHR[[#This Row],[Age]]&lt;26,"18-25",IF(tblHR[[#This Row],[Age]]&lt;36,"26-35",IF(tblHR[[#This Row],[Age]]&lt;46,"36-45",IF(tblHR[[#This Row],[Age]]&lt;56,"46-55","56+"))))</f>
        <v>36-45</v>
      </c>
    </row>
    <row r="1105" spans="1:37"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s="1">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s="2">
        <f>IF(tblHR[[#This Row],[Attrition]]="Yes",1,0)</f>
        <v>0</v>
      </c>
      <c r="AK1105" t="str">
        <f>IF(tblHR[[#This Row],[Age]]&lt;26,"18-25",IF(tblHR[[#This Row],[Age]]&lt;36,"26-35",IF(tblHR[[#This Row],[Age]]&lt;46,"36-45",IF(tblHR[[#This Row],[Age]]&lt;56,"46-55","56+"))))</f>
        <v>46-55</v>
      </c>
    </row>
    <row r="1106" spans="1:37"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s="1">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s="2">
        <f>IF(tblHR[[#This Row],[Attrition]]="Yes",1,0)</f>
        <v>0</v>
      </c>
      <c r="AK1106" t="str">
        <f>IF(tblHR[[#This Row],[Age]]&lt;26,"18-25",IF(tblHR[[#This Row],[Age]]&lt;36,"26-35",IF(tblHR[[#This Row],[Age]]&lt;46,"36-45",IF(tblHR[[#This Row],[Age]]&lt;56,"46-55","56+"))))</f>
        <v>26-35</v>
      </c>
    </row>
    <row r="1107" spans="1:37"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s="1">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s="2">
        <f>IF(tblHR[[#This Row],[Attrition]]="Yes",1,0)</f>
        <v>0</v>
      </c>
      <c r="AK1107" t="str">
        <f>IF(tblHR[[#This Row],[Age]]&lt;26,"18-25",IF(tblHR[[#This Row],[Age]]&lt;36,"26-35",IF(tblHR[[#This Row],[Age]]&lt;46,"36-45",IF(tblHR[[#This Row],[Age]]&lt;56,"46-55","56+"))))</f>
        <v>26-35</v>
      </c>
    </row>
    <row r="1108" spans="1:37"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s="1">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s="2">
        <f>IF(tblHR[[#This Row],[Attrition]]="Yes",1,0)</f>
        <v>1</v>
      </c>
      <c r="AK1108" t="str">
        <f>IF(tblHR[[#This Row],[Age]]&lt;26,"18-25",IF(tblHR[[#This Row],[Age]]&lt;36,"26-35",IF(tblHR[[#This Row],[Age]]&lt;46,"36-45",IF(tblHR[[#This Row],[Age]]&lt;56,"46-55","56+"))))</f>
        <v>26-35</v>
      </c>
    </row>
    <row r="1109" spans="1:37"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s="1">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s="2">
        <f>IF(tblHR[[#This Row],[Attrition]]="Yes",1,0)</f>
        <v>0</v>
      </c>
      <c r="AK1109" t="str">
        <f>IF(tblHR[[#This Row],[Age]]&lt;26,"18-25",IF(tblHR[[#This Row],[Age]]&lt;36,"26-35",IF(tblHR[[#This Row],[Age]]&lt;46,"36-45",IF(tblHR[[#This Row],[Age]]&lt;56,"46-55","56+"))))</f>
        <v>36-45</v>
      </c>
    </row>
    <row r="1110" spans="1:37"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s="1">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s="2">
        <f>IF(tblHR[[#This Row],[Attrition]]="Yes",1,0)</f>
        <v>0</v>
      </c>
      <c r="AK1110" t="str">
        <f>IF(tblHR[[#This Row],[Age]]&lt;26,"18-25",IF(tblHR[[#This Row],[Age]]&lt;36,"26-35",IF(tblHR[[#This Row],[Age]]&lt;46,"36-45",IF(tblHR[[#This Row],[Age]]&lt;56,"46-55","56+"))))</f>
        <v>26-35</v>
      </c>
    </row>
    <row r="1111" spans="1:37"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s="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s="2">
        <f>IF(tblHR[[#This Row],[Attrition]]="Yes",1,0)</f>
        <v>0</v>
      </c>
      <c r="AK1111" t="str">
        <f>IF(tblHR[[#This Row],[Age]]&lt;26,"18-25",IF(tblHR[[#This Row],[Age]]&lt;36,"26-35",IF(tblHR[[#This Row],[Age]]&lt;46,"36-45",IF(tblHR[[#This Row],[Age]]&lt;56,"46-55","56+"))))</f>
        <v>26-35</v>
      </c>
    </row>
    <row r="1112" spans="1:37"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s="1">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s="2">
        <f>IF(tblHR[[#This Row],[Attrition]]="Yes",1,0)</f>
        <v>1</v>
      </c>
      <c r="AK1112" t="str">
        <f>IF(tblHR[[#This Row],[Age]]&lt;26,"18-25",IF(tblHR[[#This Row],[Age]]&lt;36,"26-35",IF(tblHR[[#This Row],[Age]]&lt;46,"36-45",IF(tblHR[[#This Row],[Age]]&lt;56,"46-55","56+"))))</f>
        <v>26-35</v>
      </c>
    </row>
    <row r="1113" spans="1:37"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s="1">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s="2">
        <f>IF(tblHR[[#This Row],[Attrition]]="Yes",1,0)</f>
        <v>1</v>
      </c>
      <c r="AK1113" t="str">
        <f>IF(tblHR[[#This Row],[Age]]&lt;26,"18-25",IF(tblHR[[#This Row],[Age]]&lt;36,"26-35",IF(tblHR[[#This Row],[Age]]&lt;46,"36-45",IF(tblHR[[#This Row],[Age]]&lt;56,"46-55","56+"))))</f>
        <v>46-55</v>
      </c>
    </row>
    <row r="1114" spans="1:37"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s="1">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s="2">
        <f>IF(tblHR[[#This Row],[Attrition]]="Yes",1,0)</f>
        <v>1</v>
      </c>
      <c r="AK1114" t="str">
        <f>IF(tblHR[[#This Row],[Age]]&lt;26,"18-25",IF(tblHR[[#This Row],[Age]]&lt;36,"26-35",IF(tblHR[[#This Row],[Age]]&lt;46,"36-45",IF(tblHR[[#This Row],[Age]]&lt;56,"46-55","56+"))))</f>
        <v>36-45</v>
      </c>
    </row>
    <row r="1115" spans="1:37"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s="1">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s="2">
        <f>IF(tblHR[[#This Row],[Attrition]]="Yes",1,0)</f>
        <v>0</v>
      </c>
      <c r="AK1115" t="str">
        <f>IF(tblHR[[#This Row],[Age]]&lt;26,"18-25",IF(tblHR[[#This Row],[Age]]&lt;36,"26-35",IF(tblHR[[#This Row],[Age]]&lt;46,"36-45",IF(tblHR[[#This Row],[Age]]&lt;56,"46-55","56+"))))</f>
        <v>26-35</v>
      </c>
    </row>
    <row r="1116" spans="1:37"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s="1">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s="2">
        <f>IF(tblHR[[#This Row],[Attrition]]="Yes",1,0)</f>
        <v>0</v>
      </c>
      <c r="AK1116" t="str">
        <f>IF(tblHR[[#This Row],[Age]]&lt;26,"18-25",IF(tblHR[[#This Row],[Age]]&lt;36,"26-35",IF(tblHR[[#This Row],[Age]]&lt;46,"36-45",IF(tblHR[[#This Row],[Age]]&lt;56,"46-55","56+"))))</f>
        <v>46-55</v>
      </c>
    </row>
    <row r="1117" spans="1:37"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s="1">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s="2">
        <f>IF(tblHR[[#This Row],[Attrition]]="Yes",1,0)</f>
        <v>0</v>
      </c>
      <c r="AK1117" t="str">
        <f>IF(tblHR[[#This Row],[Age]]&lt;26,"18-25",IF(tblHR[[#This Row],[Age]]&lt;36,"26-35",IF(tblHR[[#This Row],[Age]]&lt;46,"36-45",IF(tblHR[[#This Row],[Age]]&lt;56,"46-55","56+"))))</f>
        <v>26-35</v>
      </c>
    </row>
    <row r="1118" spans="1:37"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s="1">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s="2">
        <f>IF(tblHR[[#This Row],[Attrition]]="Yes",1,0)</f>
        <v>0</v>
      </c>
      <c r="AK1118" t="str">
        <f>IF(tblHR[[#This Row],[Age]]&lt;26,"18-25",IF(tblHR[[#This Row],[Age]]&lt;36,"26-35",IF(tblHR[[#This Row],[Age]]&lt;46,"36-45",IF(tblHR[[#This Row],[Age]]&lt;56,"46-55","56+"))))</f>
        <v>46-55</v>
      </c>
    </row>
    <row r="1119" spans="1:37"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s="1">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s="2">
        <f>IF(tblHR[[#This Row],[Attrition]]="Yes",1,0)</f>
        <v>0</v>
      </c>
      <c r="AK1119" t="str">
        <f>IF(tblHR[[#This Row],[Age]]&lt;26,"18-25",IF(tblHR[[#This Row],[Age]]&lt;36,"26-35",IF(tblHR[[#This Row],[Age]]&lt;46,"36-45",IF(tblHR[[#This Row],[Age]]&lt;56,"46-55","56+"))))</f>
        <v>26-35</v>
      </c>
    </row>
    <row r="1120" spans="1:37"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s="1">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s="2">
        <f>IF(tblHR[[#This Row],[Attrition]]="Yes",1,0)</f>
        <v>0</v>
      </c>
      <c r="AK1120" t="str">
        <f>IF(tblHR[[#This Row],[Age]]&lt;26,"18-25",IF(tblHR[[#This Row],[Age]]&lt;36,"26-35",IF(tblHR[[#This Row],[Age]]&lt;46,"36-45",IF(tblHR[[#This Row],[Age]]&lt;56,"46-55","56+"))))</f>
        <v>26-35</v>
      </c>
    </row>
    <row r="1121" spans="1:37"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s="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s="2">
        <f>IF(tblHR[[#This Row],[Attrition]]="Yes",1,0)</f>
        <v>0</v>
      </c>
      <c r="AK1121" t="str">
        <f>IF(tblHR[[#This Row],[Age]]&lt;26,"18-25",IF(tblHR[[#This Row],[Age]]&lt;36,"26-35",IF(tblHR[[#This Row],[Age]]&lt;46,"36-45",IF(tblHR[[#This Row],[Age]]&lt;56,"46-55","56+"))))</f>
        <v>36-45</v>
      </c>
    </row>
    <row r="1122" spans="1:37"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s="1">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s="2">
        <f>IF(tblHR[[#This Row],[Attrition]]="Yes",1,0)</f>
        <v>0</v>
      </c>
      <c r="AK1122" t="str">
        <f>IF(tblHR[[#This Row],[Age]]&lt;26,"18-25",IF(tblHR[[#This Row],[Age]]&lt;36,"26-35",IF(tblHR[[#This Row],[Age]]&lt;46,"36-45",IF(tblHR[[#This Row],[Age]]&lt;56,"46-55","56+"))))</f>
        <v>36-45</v>
      </c>
    </row>
    <row r="1123" spans="1:37"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s="1">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s="2">
        <f>IF(tblHR[[#This Row],[Attrition]]="Yes",1,0)</f>
        <v>0</v>
      </c>
      <c r="AK1123" t="str">
        <f>IF(tblHR[[#This Row],[Age]]&lt;26,"18-25",IF(tblHR[[#This Row],[Age]]&lt;36,"26-35",IF(tblHR[[#This Row],[Age]]&lt;46,"36-45",IF(tblHR[[#This Row],[Age]]&lt;56,"46-55","56+"))))</f>
        <v>36-45</v>
      </c>
    </row>
    <row r="1124" spans="1:37"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s="1">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s="2">
        <f>IF(tblHR[[#This Row],[Attrition]]="Yes",1,0)</f>
        <v>0</v>
      </c>
      <c r="AK1124" t="str">
        <f>IF(tblHR[[#This Row],[Age]]&lt;26,"18-25",IF(tblHR[[#This Row],[Age]]&lt;36,"26-35",IF(tblHR[[#This Row],[Age]]&lt;46,"36-45",IF(tblHR[[#This Row],[Age]]&lt;56,"46-55","56+"))))</f>
        <v>26-35</v>
      </c>
    </row>
    <row r="1125" spans="1:37"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s="1">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s="2">
        <f>IF(tblHR[[#This Row],[Attrition]]="Yes",1,0)</f>
        <v>0</v>
      </c>
      <c r="AK1125" t="str">
        <f>IF(tblHR[[#This Row],[Age]]&lt;26,"18-25",IF(tblHR[[#This Row],[Age]]&lt;36,"26-35",IF(tblHR[[#This Row],[Age]]&lt;46,"36-45",IF(tblHR[[#This Row],[Age]]&lt;56,"46-55","56+"))))</f>
        <v>26-35</v>
      </c>
    </row>
    <row r="1126" spans="1:37"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s="1">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s="2">
        <f>IF(tblHR[[#This Row],[Attrition]]="Yes",1,0)</f>
        <v>0</v>
      </c>
      <c r="AK1126" t="str">
        <f>IF(tblHR[[#This Row],[Age]]&lt;26,"18-25",IF(tblHR[[#This Row],[Age]]&lt;36,"26-35",IF(tblHR[[#This Row],[Age]]&lt;46,"36-45",IF(tblHR[[#This Row],[Age]]&lt;56,"46-55","56+"))))</f>
        <v>36-45</v>
      </c>
    </row>
    <row r="1127" spans="1:37"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s="1">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s="2">
        <f>IF(tblHR[[#This Row],[Attrition]]="Yes",1,0)</f>
        <v>0</v>
      </c>
      <c r="AK1127" t="str">
        <f>IF(tblHR[[#This Row],[Age]]&lt;26,"18-25",IF(tblHR[[#This Row],[Age]]&lt;36,"26-35",IF(tblHR[[#This Row],[Age]]&lt;46,"36-45",IF(tblHR[[#This Row],[Age]]&lt;56,"46-55","56+"))))</f>
        <v>26-35</v>
      </c>
    </row>
    <row r="1128" spans="1:37"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s="1">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s="2">
        <f>IF(tblHR[[#This Row],[Attrition]]="Yes",1,0)</f>
        <v>0</v>
      </c>
      <c r="AK1128" t="str">
        <f>IF(tblHR[[#This Row],[Age]]&lt;26,"18-25",IF(tblHR[[#This Row],[Age]]&lt;36,"26-35",IF(tblHR[[#This Row],[Age]]&lt;46,"36-45",IF(tblHR[[#This Row],[Age]]&lt;56,"46-55","56+"))))</f>
        <v>46-55</v>
      </c>
    </row>
    <row r="1129" spans="1:37"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s="1">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s="2">
        <f>IF(tblHR[[#This Row],[Attrition]]="Yes",1,0)</f>
        <v>0</v>
      </c>
      <c r="AK1129" t="str">
        <f>IF(tblHR[[#This Row],[Age]]&lt;26,"18-25",IF(tblHR[[#This Row],[Age]]&lt;36,"26-35",IF(tblHR[[#This Row],[Age]]&lt;46,"36-45",IF(tblHR[[#This Row],[Age]]&lt;56,"46-55","56+"))))</f>
        <v>18-25</v>
      </c>
    </row>
    <row r="1130" spans="1:37"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s="1">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s="2">
        <f>IF(tblHR[[#This Row],[Attrition]]="Yes",1,0)</f>
        <v>0</v>
      </c>
      <c r="AK1130" t="str">
        <f>IF(tblHR[[#This Row],[Age]]&lt;26,"18-25",IF(tblHR[[#This Row],[Age]]&lt;36,"26-35",IF(tblHR[[#This Row],[Age]]&lt;46,"36-45",IF(tblHR[[#This Row],[Age]]&lt;56,"46-55","56+"))))</f>
        <v>36-45</v>
      </c>
    </row>
    <row r="1131" spans="1:37"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s="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s="2">
        <f>IF(tblHR[[#This Row],[Attrition]]="Yes",1,0)</f>
        <v>0</v>
      </c>
      <c r="AK1131" t="str">
        <f>IF(tblHR[[#This Row],[Age]]&lt;26,"18-25",IF(tblHR[[#This Row],[Age]]&lt;36,"26-35",IF(tblHR[[#This Row],[Age]]&lt;46,"36-45",IF(tblHR[[#This Row],[Age]]&lt;56,"46-55","56+"))))</f>
        <v>36-45</v>
      </c>
    </row>
    <row r="1132" spans="1:37"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s="1">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s="2">
        <f>IF(tblHR[[#This Row],[Attrition]]="Yes",1,0)</f>
        <v>0</v>
      </c>
      <c r="AK1132" t="str">
        <f>IF(tblHR[[#This Row],[Age]]&lt;26,"18-25",IF(tblHR[[#This Row],[Age]]&lt;36,"26-35",IF(tblHR[[#This Row],[Age]]&lt;46,"36-45",IF(tblHR[[#This Row],[Age]]&lt;56,"46-55","56+"))))</f>
        <v>26-35</v>
      </c>
    </row>
    <row r="1133" spans="1:37"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s="1">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s="2">
        <f>IF(tblHR[[#This Row],[Attrition]]="Yes",1,0)</f>
        <v>0</v>
      </c>
      <c r="AK1133" t="str">
        <f>IF(tblHR[[#This Row],[Age]]&lt;26,"18-25",IF(tblHR[[#This Row],[Age]]&lt;36,"26-35",IF(tblHR[[#This Row],[Age]]&lt;46,"36-45",IF(tblHR[[#This Row],[Age]]&lt;56,"46-55","56+"))))</f>
        <v>26-35</v>
      </c>
    </row>
    <row r="1134" spans="1:37"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s="1">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s="2">
        <f>IF(tblHR[[#This Row],[Attrition]]="Yes",1,0)</f>
        <v>0</v>
      </c>
      <c r="AK1134" t="str">
        <f>IF(tblHR[[#This Row],[Age]]&lt;26,"18-25",IF(tblHR[[#This Row],[Age]]&lt;36,"26-35",IF(tblHR[[#This Row],[Age]]&lt;46,"36-45",IF(tblHR[[#This Row],[Age]]&lt;56,"46-55","56+"))))</f>
        <v>36-45</v>
      </c>
    </row>
    <row r="1135" spans="1:37"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s="1">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s="2">
        <f>IF(tblHR[[#This Row],[Attrition]]="Yes",1,0)</f>
        <v>0</v>
      </c>
      <c r="AK1135" t="str">
        <f>IF(tblHR[[#This Row],[Age]]&lt;26,"18-25",IF(tblHR[[#This Row],[Age]]&lt;36,"26-35",IF(tblHR[[#This Row],[Age]]&lt;46,"36-45",IF(tblHR[[#This Row],[Age]]&lt;56,"46-55","56+"))))</f>
        <v>36-45</v>
      </c>
    </row>
    <row r="1136" spans="1:37"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s="1">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s="2">
        <f>IF(tblHR[[#This Row],[Attrition]]="Yes",1,0)</f>
        <v>0</v>
      </c>
      <c r="AK1136" t="str">
        <f>IF(tblHR[[#This Row],[Age]]&lt;26,"18-25",IF(tblHR[[#This Row],[Age]]&lt;36,"26-35",IF(tblHR[[#This Row],[Age]]&lt;46,"36-45",IF(tblHR[[#This Row],[Age]]&lt;56,"46-55","56+"))))</f>
        <v>26-35</v>
      </c>
    </row>
    <row r="1137" spans="1:37"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s="1">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s="2">
        <f>IF(tblHR[[#This Row],[Attrition]]="Yes",1,0)</f>
        <v>0</v>
      </c>
      <c r="AK1137" t="str">
        <f>IF(tblHR[[#This Row],[Age]]&lt;26,"18-25",IF(tblHR[[#This Row],[Age]]&lt;36,"26-35",IF(tblHR[[#This Row],[Age]]&lt;46,"36-45",IF(tblHR[[#This Row],[Age]]&lt;56,"46-55","56+"))))</f>
        <v>46-55</v>
      </c>
    </row>
    <row r="1138" spans="1:37"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s="1">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s="2">
        <f>IF(tblHR[[#This Row],[Attrition]]="Yes",1,0)</f>
        <v>1</v>
      </c>
      <c r="AK1138" t="str">
        <f>IF(tblHR[[#This Row],[Age]]&lt;26,"18-25",IF(tblHR[[#This Row],[Age]]&lt;36,"26-35",IF(tblHR[[#This Row],[Age]]&lt;46,"36-45",IF(tblHR[[#This Row],[Age]]&lt;56,"46-55","56+"))))</f>
        <v>26-35</v>
      </c>
    </row>
    <row r="1139" spans="1:37"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s="1">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s="2">
        <f>IF(tblHR[[#This Row],[Attrition]]="Yes",1,0)</f>
        <v>0</v>
      </c>
      <c r="AK1139" t="str">
        <f>IF(tblHR[[#This Row],[Age]]&lt;26,"18-25",IF(tblHR[[#This Row],[Age]]&lt;36,"26-35",IF(tblHR[[#This Row],[Age]]&lt;46,"36-45",IF(tblHR[[#This Row],[Age]]&lt;56,"46-55","56+"))))</f>
        <v>18-25</v>
      </c>
    </row>
    <row r="1140" spans="1:37"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s="1">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s="2">
        <f>IF(tblHR[[#This Row],[Attrition]]="Yes",1,0)</f>
        <v>0</v>
      </c>
      <c r="AK1140" t="str">
        <f>IF(tblHR[[#This Row],[Age]]&lt;26,"18-25",IF(tblHR[[#This Row],[Age]]&lt;36,"26-35",IF(tblHR[[#This Row],[Age]]&lt;46,"36-45",IF(tblHR[[#This Row],[Age]]&lt;56,"46-55","56+"))))</f>
        <v>46-55</v>
      </c>
    </row>
    <row r="1141" spans="1:37"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s="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s="2">
        <f>IF(tblHR[[#This Row],[Attrition]]="Yes",1,0)</f>
        <v>0</v>
      </c>
      <c r="AK1141" t="str">
        <f>IF(tblHR[[#This Row],[Age]]&lt;26,"18-25",IF(tblHR[[#This Row],[Age]]&lt;36,"26-35",IF(tblHR[[#This Row],[Age]]&lt;46,"36-45",IF(tblHR[[#This Row],[Age]]&lt;56,"46-55","56+"))))</f>
        <v>26-35</v>
      </c>
    </row>
    <row r="1142" spans="1:37"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s="1">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s="2">
        <f>IF(tblHR[[#This Row],[Attrition]]="Yes",1,0)</f>
        <v>0</v>
      </c>
      <c r="AK1142" t="str">
        <f>IF(tblHR[[#This Row],[Age]]&lt;26,"18-25",IF(tblHR[[#This Row],[Age]]&lt;36,"26-35",IF(tblHR[[#This Row],[Age]]&lt;46,"36-45",IF(tblHR[[#This Row],[Age]]&lt;56,"46-55","56+"))))</f>
        <v>36-45</v>
      </c>
    </row>
    <row r="1143" spans="1:37"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s="1">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s="2">
        <f>IF(tblHR[[#This Row],[Attrition]]="Yes",1,0)</f>
        <v>0</v>
      </c>
      <c r="AK1143" t="str">
        <f>IF(tblHR[[#This Row],[Age]]&lt;26,"18-25",IF(tblHR[[#This Row],[Age]]&lt;36,"26-35",IF(tblHR[[#This Row],[Age]]&lt;46,"36-45",IF(tblHR[[#This Row],[Age]]&lt;56,"46-55","56+"))))</f>
        <v>26-35</v>
      </c>
    </row>
    <row r="1144" spans="1:37"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s="1">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s="2">
        <f>IF(tblHR[[#This Row],[Attrition]]="Yes",1,0)</f>
        <v>0</v>
      </c>
      <c r="AK1144" t="str">
        <f>IF(tblHR[[#This Row],[Age]]&lt;26,"18-25",IF(tblHR[[#This Row],[Age]]&lt;36,"26-35",IF(tblHR[[#This Row],[Age]]&lt;46,"36-45",IF(tblHR[[#This Row],[Age]]&lt;56,"46-55","56+"))))</f>
        <v>36-45</v>
      </c>
    </row>
    <row r="1145" spans="1:37"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s="1">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s="2">
        <f>IF(tblHR[[#This Row],[Attrition]]="Yes",1,0)</f>
        <v>0</v>
      </c>
      <c r="AK1145" t="str">
        <f>IF(tblHR[[#This Row],[Age]]&lt;26,"18-25",IF(tblHR[[#This Row],[Age]]&lt;36,"26-35",IF(tblHR[[#This Row],[Age]]&lt;46,"36-45",IF(tblHR[[#This Row],[Age]]&lt;56,"46-55","56+"))))</f>
        <v>36-45</v>
      </c>
    </row>
    <row r="1146" spans="1:37"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s="1">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s="2">
        <f>IF(tblHR[[#This Row],[Attrition]]="Yes",1,0)</f>
        <v>0</v>
      </c>
      <c r="AK1146" t="str">
        <f>IF(tblHR[[#This Row],[Age]]&lt;26,"18-25",IF(tblHR[[#This Row],[Age]]&lt;36,"26-35",IF(tblHR[[#This Row],[Age]]&lt;46,"36-45",IF(tblHR[[#This Row],[Age]]&lt;56,"46-55","56+"))))</f>
        <v>26-35</v>
      </c>
    </row>
    <row r="1147" spans="1:37"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s="1">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s="2">
        <f>IF(tblHR[[#This Row],[Attrition]]="Yes",1,0)</f>
        <v>0</v>
      </c>
      <c r="AK1147" t="str">
        <f>IF(tblHR[[#This Row],[Age]]&lt;26,"18-25",IF(tblHR[[#This Row],[Age]]&lt;36,"26-35",IF(tblHR[[#This Row],[Age]]&lt;46,"36-45",IF(tblHR[[#This Row],[Age]]&lt;56,"46-55","56+"))))</f>
        <v>36-45</v>
      </c>
    </row>
    <row r="1148" spans="1:37"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s="1">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s="2">
        <f>IF(tblHR[[#This Row],[Attrition]]="Yes",1,0)</f>
        <v>0</v>
      </c>
      <c r="AK1148" t="str">
        <f>IF(tblHR[[#This Row],[Age]]&lt;26,"18-25",IF(tblHR[[#This Row],[Age]]&lt;36,"26-35",IF(tblHR[[#This Row],[Age]]&lt;46,"36-45",IF(tblHR[[#This Row],[Age]]&lt;56,"46-55","56+"))))</f>
        <v>26-35</v>
      </c>
    </row>
    <row r="1149" spans="1:37"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s="1">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s="2">
        <f>IF(tblHR[[#This Row],[Attrition]]="Yes",1,0)</f>
        <v>0</v>
      </c>
      <c r="AK1149" t="str">
        <f>IF(tblHR[[#This Row],[Age]]&lt;26,"18-25",IF(tblHR[[#This Row],[Age]]&lt;36,"26-35",IF(tblHR[[#This Row],[Age]]&lt;46,"36-45",IF(tblHR[[#This Row],[Age]]&lt;56,"46-55","56+"))))</f>
        <v>46-55</v>
      </c>
    </row>
    <row r="1150" spans="1:37"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s="1">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s="2">
        <f>IF(tblHR[[#This Row],[Attrition]]="Yes",1,0)</f>
        <v>0</v>
      </c>
      <c r="AK1150" t="str">
        <f>IF(tblHR[[#This Row],[Age]]&lt;26,"18-25",IF(tblHR[[#This Row],[Age]]&lt;36,"26-35",IF(tblHR[[#This Row],[Age]]&lt;46,"36-45",IF(tblHR[[#This Row],[Age]]&lt;56,"46-55","56+"))))</f>
        <v>36-45</v>
      </c>
    </row>
    <row r="1151" spans="1:37"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s="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s="2">
        <f>IF(tblHR[[#This Row],[Attrition]]="Yes",1,0)</f>
        <v>0</v>
      </c>
      <c r="AK1151" t="str">
        <f>IF(tblHR[[#This Row],[Age]]&lt;26,"18-25",IF(tblHR[[#This Row],[Age]]&lt;36,"26-35",IF(tblHR[[#This Row],[Age]]&lt;46,"36-45",IF(tblHR[[#This Row],[Age]]&lt;56,"46-55","56+"))))</f>
        <v>26-35</v>
      </c>
    </row>
    <row r="1152" spans="1:37"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s="1">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s="2">
        <f>IF(tblHR[[#This Row],[Attrition]]="Yes",1,0)</f>
        <v>0</v>
      </c>
      <c r="AK1152" t="str">
        <f>IF(tblHR[[#This Row],[Age]]&lt;26,"18-25",IF(tblHR[[#This Row],[Age]]&lt;36,"26-35",IF(tblHR[[#This Row],[Age]]&lt;46,"36-45",IF(tblHR[[#This Row],[Age]]&lt;56,"46-55","56+"))))</f>
        <v>26-35</v>
      </c>
    </row>
    <row r="1153" spans="1:37"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s="1">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s="2">
        <f>IF(tblHR[[#This Row],[Attrition]]="Yes",1,0)</f>
        <v>0</v>
      </c>
      <c r="AK1153" t="str">
        <f>IF(tblHR[[#This Row],[Age]]&lt;26,"18-25",IF(tblHR[[#This Row],[Age]]&lt;36,"26-35",IF(tblHR[[#This Row],[Age]]&lt;46,"36-45",IF(tblHR[[#This Row],[Age]]&lt;56,"46-55","56+"))))</f>
        <v>26-35</v>
      </c>
    </row>
    <row r="1154" spans="1:37"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s="1">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s="2">
        <f>IF(tblHR[[#This Row],[Attrition]]="Yes",1,0)</f>
        <v>0</v>
      </c>
      <c r="AK1154" t="str">
        <f>IF(tblHR[[#This Row],[Age]]&lt;26,"18-25",IF(tblHR[[#This Row],[Age]]&lt;36,"26-35",IF(tblHR[[#This Row],[Age]]&lt;46,"36-45",IF(tblHR[[#This Row],[Age]]&lt;56,"46-55","56+"))))</f>
        <v>18-25</v>
      </c>
    </row>
    <row r="1155" spans="1:37"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s="1">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s="2">
        <f>IF(tblHR[[#This Row],[Attrition]]="Yes",1,0)</f>
        <v>1</v>
      </c>
      <c r="AK1155" t="str">
        <f>IF(tblHR[[#This Row],[Age]]&lt;26,"18-25",IF(tblHR[[#This Row],[Age]]&lt;36,"26-35",IF(tblHR[[#This Row],[Age]]&lt;46,"36-45",IF(tblHR[[#This Row],[Age]]&lt;56,"46-55","56+"))))</f>
        <v>18-25</v>
      </c>
    </row>
    <row r="1156" spans="1:37"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s="1">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s="2">
        <f>IF(tblHR[[#This Row],[Attrition]]="Yes",1,0)</f>
        <v>0</v>
      </c>
      <c r="AK1156" t="str">
        <f>IF(tblHR[[#This Row],[Age]]&lt;26,"18-25",IF(tblHR[[#This Row],[Age]]&lt;36,"26-35",IF(tblHR[[#This Row],[Age]]&lt;46,"36-45",IF(tblHR[[#This Row],[Age]]&lt;56,"46-55","56+"))))</f>
        <v>46-55</v>
      </c>
    </row>
    <row r="1157" spans="1:37"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s="1">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s="2">
        <f>IF(tblHR[[#This Row],[Attrition]]="Yes",1,0)</f>
        <v>0</v>
      </c>
      <c r="AK1157" t="str">
        <f>IF(tblHR[[#This Row],[Age]]&lt;26,"18-25",IF(tblHR[[#This Row],[Age]]&lt;36,"26-35",IF(tblHR[[#This Row],[Age]]&lt;46,"36-45",IF(tblHR[[#This Row],[Age]]&lt;56,"46-55","56+"))))</f>
        <v>36-45</v>
      </c>
    </row>
    <row r="1158" spans="1:37"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s="1">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s="2">
        <f>IF(tblHR[[#This Row],[Attrition]]="Yes",1,0)</f>
        <v>0</v>
      </c>
      <c r="AK1158" t="str">
        <f>IF(tblHR[[#This Row],[Age]]&lt;26,"18-25",IF(tblHR[[#This Row],[Age]]&lt;36,"26-35",IF(tblHR[[#This Row],[Age]]&lt;46,"36-45",IF(tblHR[[#This Row],[Age]]&lt;56,"46-55","56+"))))</f>
        <v>36-45</v>
      </c>
    </row>
    <row r="1159" spans="1:37"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s="1">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s="2">
        <f>IF(tblHR[[#This Row],[Attrition]]="Yes",1,0)</f>
        <v>0</v>
      </c>
      <c r="AK1159" t="str">
        <f>IF(tblHR[[#This Row],[Age]]&lt;26,"18-25",IF(tblHR[[#This Row],[Age]]&lt;36,"26-35",IF(tblHR[[#This Row],[Age]]&lt;46,"36-45",IF(tblHR[[#This Row],[Age]]&lt;56,"46-55","56+"))))</f>
        <v>26-35</v>
      </c>
    </row>
    <row r="1160" spans="1:37"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s="1">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s="2">
        <f>IF(tblHR[[#This Row],[Attrition]]="Yes",1,0)</f>
        <v>0</v>
      </c>
      <c r="AK1160" t="str">
        <f>IF(tblHR[[#This Row],[Age]]&lt;26,"18-25",IF(tblHR[[#This Row],[Age]]&lt;36,"26-35",IF(tblHR[[#This Row],[Age]]&lt;46,"36-45",IF(tblHR[[#This Row],[Age]]&lt;56,"46-55","56+"))))</f>
        <v>36-45</v>
      </c>
    </row>
    <row r="1161" spans="1:37"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s="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s="2">
        <f>IF(tblHR[[#This Row],[Attrition]]="Yes",1,0)</f>
        <v>0</v>
      </c>
      <c r="AK1161" t="str">
        <f>IF(tblHR[[#This Row],[Age]]&lt;26,"18-25",IF(tblHR[[#This Row],[Age]]&lt;36,"26-35",IF(tblHR[[#This Row],[Age]]&lt;46,"36-45",IF(tblHR[[#This Row],[Age]]&lt;56,"46-55","56+"))))</f>
        <v>36-45</v>
      </c>
    </row>
    <row r="1162" spans="1:37"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s="1">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s="2">
        <f>IF(tblHR[[#This Row],[Attrition]]="Yes",1,0)</f>
        <v>0</v>
      </c>
      <c r="AK1162" t="str">
        <f>IF(tblHR[[#This Row],[Age]]&lt;26,"18-25",IF(tblHR[[#This Row],[Age]]&lt;36,"26-35",IF(tblHR[[#This Row],[Age]]&lt;46,"36-45",IF(tblHR[[#This Row],[Age]]&lt;56,"46-55","56+"))))</f>
        <v>36-45</v>
      </c>
    </row>
    <row r="1163" spans="1:37"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s="1">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s="2">
        <f>IF(tblHR[[#This Row],[Attrition]]="Yes",1,0)</f>
        <v>0</v>
      </c>
      <c r="AK1163" t="str">
        <f>IF(tblHR[[#This Row],[Age]]&lt;26,"18-25",IF(tblHR[[#This Row],[Age]]&lt;36,"26-35",IF(tblHR[[#This Row],[Age]]&lt;46,"36-45",IF(tblHR[[#This Row],[Age]]&lt;56,"46-55","56+"))))</f>
        <v>36-45</v>
      </c>
    </row>
    <row r="1164" spans="1:37"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s="1">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s="2">
        <f>IF(tblHR[[#This Row],[Attrition]]="Yes",1,0)</f>
        <v>1</v>
      </c>
      <c r="AK1164" t="str">
        <f>IF(tblHR[[#This Row],[Age]]&lt;26,"18-25",IF(tblHR[[#This Row],[Age]]&lt;36,"26-35",IF(tblHR[[#This Row],[Age]]&lt;46,"36-45",IF(tblHR[[#This Row],[Age]]&lt;56,"46-55","56+"))))</f>
        <v>26-35</v>
      </c>
    </row>
    <row r="1165" spans="1:37"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s="1">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s="2">
        <f>IF(tblHR[[#This Row],[Attrition]]="Yes",1,0)</f>
        <v>0</v>
      </c>
      <c r="AK1165" t="str">
        <f>IF(tblHR[[#This Row],[Age]]&lt;26,"18-25",IF(tblHR[[#This Row],[Age]]&lt;36,"26-35",IF(tblHR[[#This Row],[Age]]&lt;46,"36-45",IF(tblHR[[#This Row],[Age]]&lt;56,"46-55","56+"))))</f>
        <v>36-45</v>
      </c>
    </row>
    <row r="1166" spans="1:37"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s="1">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s="2">
        <f>IF(tblHR[[#This Row],[Attrition]]="Yes",1,0)</f>
        <v>0</v>
      </c>
      <c r="AK1166" t="str">
        <f>IF(tblHR[[#This Row],[Age]]&lt;26,"18-25",IF(tblHR[[#This Row],[Age]]&lt;36,"26-35",IF(tblHR[[#This Row],[Age]]&lt;46,"36-45",IF(tblHR[[#This Row],[Age]]&lt;56,"46-55","56+"))))</f>
        <v>36-45</v>
      </c>
    </row>
    <row r="1167" spans="1:37"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s="1">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s="2">
        <f>IF(tblHR[[#This Row],[Attrition]]="Yes",1,0)</f>
        <v>0</v>
      </c>
      <c r="AK1167" t="str">
        <f>IF(tblHR[[#This Row],[Age]]&lt;26,"18-25",IF(tblHR[[#This Row],[Age]]&lt;36,"26-35",IF(tblHR[[#This Row],[Age]]&lt;46,"36-45",IF(tblHR[[#This Row],[Age]]&lt;56,"46-55","56+"))))</f>
        <v>36-45</v>
      </c>
    </row>
    <row r="1168" spans="1:37"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s="1">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s="2">
        <f>IF(tblHR[[#This Row],[Attrition]]="Yes",1,0)</f>
        <v>0</v>
      </c>
      <c r="AK1168" t="str">
        <f>IF(tblHR[[#This Row],[Age]]&lt;26,"18-25",IF(tblHR[[#This Row],[Age]]&lt;36,"26-35",IF(tblHR[[#This Row],[Age]]&lt;46,"36-45",IF(tblHR[[#This Row],[Age]]&lt;56,"46-55","56+"))))</f>
        <v>46-55</v>
      </c>
    </row>
    <row r="1169" spans="1:37"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s="1">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s="2">
        <f>IF(tblHR[[#This Row],[Attrition]]="Yes",1,0)</f>
        <v>1</v>
      </c>
      <c r="AK1169" t="str">
        <f>IF(tblHR[[#This Row],[Age]]&lt;26,"18-25",IF(tblHR[[#This Row],[Age]]&lt;36,"26-35",IF(tblHR[[#This Row],[Age]]&lt;46,"36-45",IF(tblHR[[#This Row],[Age]]&lt;56,"46-55","56+"))))</f>
        <v>26-35</v>
      </c>
    </row>
    <row r="1170" spans="1:37"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s="1">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s="2">
        <f>IF(tblHR[[#This Row],[Attrition]]="Yes",1,0)</f>
        <v>0</v>
      </c>
      <c r="AK1170" t="str">
        <f>IF(tblHR[[#This Row],[Age]]&lt;26,"18-25",IF(tblHR[[#This Row],[Age]]&lt;36,"26-35",IF(tblHR[[#This Row],[Age]]&lt;46,"36-45",IF(tblHR[[#This Row],[Age]]&lt;56,"46-55","56+"))))</f>
        <v>18-25</v>
      </c>
    </row>
    <row r="1171" spans="1:37"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s="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s="2">
        <f>IF(tblHR[[#This Row],[Attrition]]="Yes",1,0)</f>
        <v>0</v>
      </c>
      <c r="AK1171" t="str">
        <f>IF(tblHR[[#This Row],[Age]]&lt;26,"18-25",IF(tblHR[[#This Row],[Age]]&lt;36,"26-35",IF(tblHR[[#This Row],[Age]]&lt;46,"36-45",IF(tblHR[[#This Row],[Age]]&lt;56,"46-55","56+"))))</f>
        <v>26-35</v>
      </c>
    </row>
    <row r="1172" spans="1:37"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s="1">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s="2">
        <f>IF(tblHR[[#This Row],[Attrition]]="Yes",1,0)</f>
        <v>0</v>
      </c>
      <c r="AK1172" t="str">
        <f>IF(tblHR[[#This Row],[Age]]&lt;26,"18-25",IF(tblHR[[#This Row],[Age]]&lt;36,"26-35",IF(tblHR[[#This Row],[Age]]&lt;46,"36-45",IF(tblHR[[#This Row],[Age]]&lt;56,"46-55","56+"))))</f>
        <v>26-35</v>
      </c>
    </row>
    <row r="1173" spans="1:37"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s="1">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s="2">
        <f>IF(tblHR[[#This Row],[Attrition]]="Yes",1,0)</f>
        <v>1</v>
      </c>
      <c r="AK1173" t="str">
        <f>IF(tblHR[[#This Row],[Age]]&lt;26,"18-25",IF(tblHR[[#This Row],[Age]]&lt;36,"26-35",IF(tblHR[[#This Row],[Age]]&lt;46,"36-45",IF(tblHR[[#This Row],[Age]]&lt;56,"46-55","56+"))))</f>
        <v>36-45</v>
      </c>
    </row>
    <row r="1174" spans="1:37"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s="1">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s="2">
        <f>IF(tblHR[[#This Row],[Attrition]]="Yes",1,0)</f>
        <v>0</v>
      </c>
      <c r="AK1174" t="str">
        <f>IF(tblHR[[#This Row],[Age]]&lt;26,"18-25",IF(tblHR[[#This Row],[Age]]&lt;36,"26-35",IF(tblHR[[#This Row],[Age]]&lt;46,"36-45",IF(tblHR[[#This Row],[Age]]&lt;56,"46-55","56+"))))</f>
        <v>26-35</v>
      </c>
    </row>
    <row r="1175" spans="1:37"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s="1">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s="2">
        <f>IF(tblHR[[#This Row],[Attrition]]="Yes",1,0)</f>
        <v>0</v>
      </c>
      <c r="AK1175" t="str">
        <f>IF(tblHR[[#This Row],[Age]]&lt;26,"18-25",IF(tblHR[[#This Row],[Age]]&lt;36,"26-35",IF(tblHR[[#This Row],[Age]]&lt;46,"36-45",IF(tblHR[[#This Row],[Age]]&lt;56,"46-55","56+"))))</f>
        <v>36-45</v>
      </c>
    </row>
    <row r="1176" spans="1:37"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s="1">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s="2">
        <f>IF(tblHR[[#This Row],[Attrition]]="Yes",1,0)</f>
        <v>0</v>
      </c>
      <c r="AK1176" t="str">
        <f>IF(tblHR[[#This Row],[Age]]&lt;26,"18-25",IF(tblHR[[#This Row],[Age]]&lt;36,"26-35",IF(tblHR[[#This Row],[Age]]&lt;46,"36-45",IF(tblHR[[#This Row],[Age]]&lt;56,"46-55","56+"))))</f>
        <v>18-25</v>
      </c>
    </row>
    <row r="1177" spans="1:37"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s="1">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s="2">
        <f>IF(tblHR[[#This Row],[Attrition]]="Yes",1,0)</f>
        <v>0</v>
      </c>
      <c r="AK1177" t="str">
        <f>IF(tblHR[[#This Row],[Age]]&lt;26,"18-25",IF(tblHR[[#This Row],[Age]]&lt;36,"26-35",IF(tblHR[[#This Row],[Age]]&lt;46,"36-45",IF(tblHR[[#This Row],[Age]]&lt;56,"46-55","56+"))))</f>
        <v>36-45</v>
      </c>
    </row>
    <row r="1178" spans="1:37"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s="1">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s="2">
        <f>IF(tblHR[[#This Row],[Attrition]]="Yes",1,0)</f>
        <v>0</v>
      </c>
      <c r="AK1178" t="str">
        <f>IF(tblHR[[#This Row],[Age]]&lt;26,"18-25",IF(tblHR[[#This Row],[Age]]&lt;36,"26-35",IF(tblHR[[#This Row],[Age]]&lt;46,"36-45",IF(tblHR[[#This Row],[Age]]&lt;56,"46-55","56+"))))</f>
        <v>46-55</v>
      </c>
    </row>
    <row r="1179" spans="1:37"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s="1">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s="2">
        <f>IF(tblHR[[#This Row],[Attrition]]="Yes",1,0)</f>
        <v>0</v>
      </c>
      <c r="AK1179" t="str">
        <f>IF(tblHR[[#This Row],[Age]]&lt;26,"18-25",IF(tblHR[[#This Row],[Age]]&lt;36,"26-35",IF(tblHR[[#This Row],[Age]]&lt;46,"36-45",IF(tblHR[[#This Row],[Age]]&lt;56,"46-55","56+"))))</f>
        <v>46-55</v>
      </c>
    </row>
    <row r="1180" spans="1:37"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s="1">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s="2">
        <f>IF(tblHR[[#This Row],[Attrition]]="Yes",1,0)</f>
        <v>0</v>
      </c>
      <c r="AK1180" t="str">
        <f>IF(tblHR[[#This Row],[Age]]&lt;26,"18-25",IF(tblHR[[#This Row],[Age]]&lt;36,"26-35",IF(tblHR[[#This Row],[Age]]&lt;46,"36-45",IF(tblHR[[#This Row],[Age]]&lt;56,"46-55","56+"))))</f>
        <v>18-25</v>
      </c>
    </row>
    <row r="1181" spans="1:37"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s="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s="2">
        <f>IF(tblHR[[#This Row],[Attrition]]="Yes",1,0)</f>
        <v>0</v>
      </c>
      <c r="AK1181" t="str">
        <f>IF(tblHR[[#This Row],[Age]]&lt;26,"18-25",IF(tblHR[[#This Row],[Age]]&lt;36,"26-35",IF(tblHR[[#This Row],[Age]]&lt;46,"36-45",IF(tblHR[[#This Row],[Age]]&lt;56,"46-55","56+"))))</f>
        <v>26-35</v>
      </c>
    </row>
    <row r="1182" spans="1:37"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s="1">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s="2">
        <f>IF(tblHR[[#This Row],[Attrition]]="Yes",1,0)</f>
        <v>0</v>
      </c>
      <c r="AK1182" t="str">
        <f>IF(tblHR[[#This Row],[Age]]&lt;26,"18-25",IF(tblHR[[#This Row],[Age]]&lt;36,"26-35",IF(tblHR[[#This Row],[Age]]&lt;46,"36-45",IF(tblHR[[#This Row],[Age]]&lt;56,"46-55","56+"))))</f>
        <v>36-45</v>
      </c>
    </row>
    <row r="1183" spans="1:37"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s="1">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s="2">
        <f>IF(tblHR[[#This Row],[Attrition]]="Yes",1,0)</f>
        <v>0</v>
      </c>
      <c r="AK1183" t="str">
        <f>IF(tblHR[[#This Row],[Age]]&lt;26,"18-25",IF(tblHR[[#This Row],[Age]]&lt;36,"26-35",IF(tblHR[[#This Row],[Age]]&lt;46,"36-45",IF(tblHR[[#This Row],[Age]]&lt;56,"46-55","56+"))))</f>
        <v>46-55</v>
      </c>
    </row>
    <row r="1184" spans="1:37"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s="1">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s="2">
        <f>IF(tblHR[[#This Row],[Attrition]]="Yes",1,0)</f>
        <v>0</v>
      </c>
      <c r="AK1184" t="str">
        <f>IF(tblHR[[#This Row],[Age]]&lt;26,"18-25",IF(tblHR[[#This Row],[Age]]&lt;36,"26-35",IF(tblHR[[#This Row],[Age]]&lt;46,"36-45",IF(tblHR[[#This Row],[Age]]&lt;56,"46-55","56+"))))</f>
        <v>36-45</v>
      </c>
    </row>
    <row r="1185" spans="1:37"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s="1">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s="2">
        <f>IF(tblHR[[#This Row],[Attrition]]="Yes",1,0)</f>
        <v>0</v>
      </c>
      <c r="AK1185" t="str">
        <f>IF(tblHR[[#This Row],[Age]]&lt;26,"18-25",IF(tblHR[[#This Row],[Age]]&lt;36,"26-35",IF(tblHR[[#This Row],[Age]]&lt;46,"36-45",IF(tblHR[[#This Row],[Age]]&lt;56,"46-55","56+"))))</f>
        <v>36-45</v>
      </c>
    </row>
    <row r="1186" spans="1:37"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s="1">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s="2">
        <f>IF(tblHR[[#This Row],[Attrition]]="Yes",1,0)</f>
        <v>0</v>
      </c>
      <c r="AK1186" t="str">
        <f>IF(tblHR[[#This Row],[Age]]&lt;26,"18-25",IF(tblHR[[#This Row],[Age]]&lt;36,"26-35",IF(tblHR[[#This Row],[Age]]&lt;46,"36-45",IF(tblHR[[#This Row],[Age]]&lt;56,"46-55","56+"))))</f>
        <v>46-55</v>
      </c>
    </row>
    <row r="1187" spans="1:37"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s="1">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s="2">
        <f>IF(tblHR[[#This Row],[Attrition]]="Yes",1,0)</f>
        <v>0</v>
      </c>
      <c r="AK1187" t="str">
        <f>IF(tblHR[[#This Row],[Age]]&lt;26,"18-25",IF(tblHR[[#This Row],[Age]]&lt;36,"26-35",IF(tblHR[[#This Row],[Age]]&lt;46,"36-45",IF(tblHR[[#This Row],[Age]]&lt;56,"46-55","56+"))))</f>
        <v>36-45</v>
      </c>
    </row>
    <row r="1188" spans="1:37"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s="1">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s="2">
        <f>IF(tblHR[[#This Row],[Attrition]]="Yes",1,0)</f>
        <v>1</v>
      </c>
      <c r="AK1188" t="str">
        <f>IF(tblHR[[#This Row],[Age]]&lt;26,"18-25",IF(tblHR[[#This Row],[Age]]&lt;36,"26-35",IF(tblHR[[#This Row],[Age]]&lt;46,"36-45",IF(tblHR[[#This Row],[Age]]&lt;56,"46-55","56+"))))</f>
        <v>26-35</v>
      </c>
    </row>
    <row r="1189" spans="1:37"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s="1">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s="2">
        <f>IF(tblHR[[#This Row],[Attrition]]="Yes",1,0)</f>
        <v>0</v>
      </c>
      <c r="AK1189" t="str">
        <f>IF(tblHR[[#This Row],[Age]]&lt;26,"18-25",IF(tblHR[[#This Row],[Age]]&lt;36,"26-35",IF(tblHR[[#This Row],[Age]]&lt;46,"36-45",IF(tblHR[[#This Row],[Age]]&lt;56,"46-55","56+"))))</f>
        <v>36-45</v>
      </c>
    </row>
    <row r="1190" spans="1:37"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s="1">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s="2">
        <f>IF(tblHR[[#This Row],[Attrition]]="Yes",1,0)</f>
        <v>0</v>
      </c>
      <c r="AK1190" t="str">
        <f>IF(tblHR[[#This Row],[Age]]&lt;26,"18-25",IF(tblHR[[#This Row],[Age]]&lt;36,"26-35",IF(tblHR[[#This Row],[Age]]&lt;46,"36-45",IF(tblHR[[#This Row],[Age]]&lt;56,"46-55","56+"))))</f>
        <v>26-35</v>
      </c>
    </row>
    <row r="1191" spans="1:37"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s="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s="2">
        <f>IF(tblHR[[#This Row],[Attrition]]="Yes",1,0)</f>
        <v>0</v>
      </c>
      <c r="AK1191" t="str">
        <f>IF(tblHR[[#This Row],[Age]]&lt;26,"18-25",IF(tblHR[[#This Row],[Age]]&lt;36,"26-35",IF(tblHR[[#This Row],[Age]]&lt;46,"36-45",IF(tblHR[[#This Row],[Age]]&lt;56,"46-55","56+"))))</f>
        <v>26-35</v>
      </c>
    </row>
    <row r="1192" spans="1:37"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s="1">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s="2">
        <f>IF(tblHR[[#This Row],[Attrition]]="Yes",1,0)</f>
        <v>0</v>
      </c>
      <c r="AK1192" t="str">
        <f>IF(tblHR[[#This Row],[Age]]&lt;26,"18-25",IF(tblHR[[#This Row],[Age]]&lt;36,"26-35",IF(tblHR[[#This Row],[Age]]&lt;46,"36-45",IF(tblHR[[#This Row],[Age]]&lt;56,"46-55","56+"))))</f>
        <v>26-35</v>
      </c>
    </row>
    <row r="1193" spans="1:37"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s="1">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s="2">
        <f>IF(tblHR[[#This Row],[Attrition]]="Yes",1,0)</f>
        <v>0</v>
      </c>
      <c r="AK1193" t="str">
        <f>IF(tblHR[[#This Row],[Age]]&lt;26,"18-25",IF(tblHR[[#This Row],[Age]]&lt;36,"26-35",IF(tblHR[[#This Row],[Age]]&lt;46,"36-45",IF(tblHR[[#This Row],[Age]]&lt;56,"46-55","56+"))))</f>
        <v>26-35</v>
      </c>
    </row>
    <row r="1194" spans="1:37"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s="1">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s="2">
        <f>IF(tblHR[[#This Row],[Attrition]]="Yes",1,0)</f>
        <v>0</v>
      </c>
      <c r="AK1194" t="str">
        <f>IF(tblHR[[#This Row],[Age]]&lt;26,"18-25",IF(tblHR[[#This Row],[Age]]&lt;36,"26-35",IF(tblHR[[#This Row],[Age]]&lt;46,"36-45",IF(tblHR[[#This Row],[Age]]&lt;56,"46-55","56+"))))</f>
        <v>46-55</v>
      </c>
    </row>
    <row r="1195" spans="1:37"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s="1">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s="2">
        <f>IF(tblHR[[#This Row],[Attrition]]="Yes",1,0)</f>
        <v>0</v>
      </c>
      <c r="AK1195" t="str">
        <f>IF(tblHR[[#This Row],[Age]]&lt;26,"18-25",IF(tblHR[[#This Row],[Age]]&lt;36,"26-35",IF(tblHR[[#This Row],[Age]]&lt;46,"36-45",IF(tblHR[[#This Row],[Age]]&lt;56,"46-55","56+"))))</f>
        <v>36-45</v>
      </c>
    </row>
    <row r="1196" spans="1:37"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s="1">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s="2">
        <f>IF(tblHR[[#This Row],[Attrition]]="Yes",1,0)</f>
        <v>0</v>
      </c>
      <c r="AK1196" t="str">
        <f>IF(tblHR[[#This Row],[Age]]&lt;26,"18-25",IF(tblHR[[#This Row],[Age]]&lt;36,"26-35",IF(tblHR[[#This Row],[Age]]&lt;46,"36-45",IF(tblHR[[#This Row],[Age]]&lt;56,"46-55","56+"))))</f>
        <v>46-55</v>
      </c>
    </row>
    <row r="1197" spans="1:37"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s="1">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s="2">
        <f>IF(tblHR[[#This Row],[Attrition]]="Yes",1,0)</f>
        <v>0</v>
      </c>
      <c r="AK1197" t="str">
        <f>IF(tblHR[[#This Row],[Age]]&lt;26,"18-25",IF(tblHR[[#This Row],[Age]]&lt;36,"26-35",IF(tblHR[[#This Row],[Age]]&lt;46,"36-45",IF(tblHR[[#This Row],[Age]]&lt;56,"46-55","56+"))))</f>
        <v>46-55</v>
      </c>
    </row>
    <row r="1198" spans="1:37"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s="1">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s="2">
        <f>IF(tblHR[[#This Row],[Attrition]]="Yes",1,0)</f>
        <v>0</v>
      </c>
      <c r="AK1198" t="str">
        <f>IF(tblHR[[#This Row],[Age]]&lt;26,"18-25",IF(tblHR[[#This Row],[Age]]&lt;36,"26-35",IF(tblHR[[#This Row],[Age]]&lt;46,"36-45",IF(tblHR[[#This Row],[Age]]&lt;56,"46-55","56+"))))</f>
        <v>36-45</v>
      </c>
    </row>
    <row r="1199" spans="1:37"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s="1">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s="2">
        <f>IF(tblHR[[#This Row],[Attrition]]="Yes",1,0)</f>
        <v>0</v>
      </c>
      <c r="AK1199" t="str">
        <f>IF(tblHR[[#This Row],[Age]]&lt;26,"18-25",IF(tblHR[[#This Row],[Age]]&lt;36,"26-35",IF(tblHR[[#This Row],[Age]]&lt;46,"36-45",IF(tblHR[[#This Row],[Age]]&lt;56,"46-55","56+"))))</f>
        <v>18-25</v>
      </c>
    </row>
    <row r="1200" spans="1:37"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s="1">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s="2">
        <f>IF(tblHR[[#This Row],[Attrition]]="Yes",1,0)</f>
        <v>0</v>
      </c>
      <c r="AK1200" t="str">
        <f>IF(tblHR[[#This Row],[Age]]&lt;26,"18-25",IF(tblHR[[#This Row],[Age]]&lt;36,"26-35",IF(tblHR[[#This Row],[Age]]&lt;46,"36-45",IF(tblHR[[#This Row],[Age]]&lt;56,"46-55","56+"))))</f>
        <v>26-35</v>
      </c>
    </row>
    <row r="1201" spans="1:37"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s="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s="2">
        <f>IF(tblHR[[#This Row],[Attrition]]="Yes",1,0)</f>
        <v>0</v>
      </c>
      <c r="AK1201" t="str">
        <f>IF(tblHR[[#This Row],[Age]]&lt;26,"18-25",IF(tblHR[[#This Row],[Age]]&lt;36,"26-35",IF(tblHR[[#This Row],[Age]]&lt;46,"36-45",IF(tblHR[[#This Row],[Age]]&lt;56,"46-55","56+"))))</f>
        <v>36-45</v>
      </c>
    </row>
    <row r="1202" spans="1:37"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s="1">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s="2">
        <f>IF(tblHR[[#This Row],[Attrition]]="Yes",1,0)</f>
        <v>0</v>
      </c>
      <c r="AK1202" t="str">
        <f>IF(tblHR[[#This Row],[Age]]&lt;26,"18-25",IF(tblHR[[#This Row],[Age]]&lt;36,"26-35",IF(tblHR[[#This Row],[Age]]&lt;46,"36-45",IF(tblHR[[#This Row],[Age]]&lt;56,"46-55","56+"))))</f>
        <v>36-45</v>
      </c>
    </row>
    <row r="1203" spans="1:37"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s="1">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s="2">
        <f>IF(tblHR[[#This Row],[Attrition]]="Yes",1,0)</f>
        <v>1</v>
      </c>
      <c r="AK1203" t="str">
        <f>IF(tblHR[[#This Row],[Age]]&lt;26,"18-25",IF(tblHR[[#This Row],[Age]]&lt;36,"26-35",IF(tblHR[[#This Row],[Age]]&lt;46,"36-45",IF(tblHR[[#This Row],[Age]]&lt;56,"46-55","56+"))))</f>
        <v>18-25</v>
      </c>
    </row>
    <row r="1204" spans="1:37"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s="1">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s="2">
        <f>IF(tblHR[[#This Row],[Attrition]]="Yes",1,0)</f>
        <v>0</v>
      </c>
      <c r="AK1204" t="str">
        <f>IF(tblHR[[#This Row],[Age]]&lt;26,"18-25",IF(tblHR[[#This Row],[Age]]&lt;36,"26-35",IF(tblHR[[#This Row],[Age]]&lt;46,"36-45",IF(tblHR[[#This Row],[Age]]&lt;56,"46-55","56+"))))</f>
        <v>36-45</v>
      </c>
    </row>
    <row r="1205" spans="1:37"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s="1">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s="2">
        <f>IF(tblHR[[#This Row],[Attrition]]="Yes",1,0)</f>
        <v>0</v>
      </c>
      <c r="AK1205" t="str">
        <f>IF(tblHR[[#This Row],[Age]]&lt;26,"18-25",IF(tblHR[[#This Row],[Age]]&lt;36,"26-35",IF(tblHR[[#This Row],[Age]]&lt;46,"36-45",IF(tblHR[[#This Row],[Age]]&lt;56,"46-55","56+"))))</f>
        <v>46-55</v>
      </c>
    </row>
    <row r="1206" spans="1:37"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s="1">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s="2">
        <f>IF(tblHR[[#This Row],[Attrition]]="Yes",1,0)</f>
        <v>1</v>
      </c>
      <c r="AK1206" t="str">
        <f>IF(tblHR[[#This Row],[Age]]&lt;26,"18-25",IF(tblHR[[#This Row],[Age]]&lt;36,"26-35",IF(tblHR[[#This Row],[Age]]&lt;46,"36-45",IF(tblHR[[#This Row],[Age]]&lt;56,"46-55","56+"))))</f>
        <v>46-55</v>
      </c>
    </row>
    <row r="1207" spans="1:37"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s="1">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s="2">
        <f>IF(tblHR[[#This Row],[Attrition]]="Yes",1,0)</f>
        <v>1</v>
      </c>
      <c r="AK1207" t="str">
        <f>IF(tblHR[[#This Row],[Age]]&lt;26,"18-25",IF(tblHR[[#This Row],[Age]]&lt;36,"26-35",IF(tblHR[[#This Row],[Age]]&lt;46,"36-45",IF(tblHR[[#This Row],[Age]]&lt;56,"46-55","56+"))))</f>
        <v>26-35</v>
      </c>
    </row>
    <row r="1208" spans="1:37"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s="1">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s="2">
        <f>IF(tblHR[[#This Row],[Attrition]]="Yes",1,0)</f>
        <v>0</v>
      </c>
      <c r="AK1208" t="str">
        <f>IF(tblHR[[#This Row],[Age]]&lt;26,"18-25",IF(tblHR[[#This Row],[Age]]&lt;36,"26-35",IF(tblHR[[#This Row],[Age]]&lt;46,"36-45",IF(tblHR[[#This Row],[Age]]&lt;56,"46-55","56+"))))</f>
        <v>26-35</v>
      </c>
    </row>
    <row r="1209" spans="1:37"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s="1">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s="2">
        <f>IF(tblHR[[#This Row],[Attrition]]="Yes",1,0)</f>
        <v>0</v>
      </c>
      <c r="AK1209" t="str">
        <f>IF(tblHR[[#This Row],[Age]]&lt;26,"18-25",IF(tblHR[[#This Row],[Age]]&lt;36,"26-35",IF(tblHR[[#This Row],[Age]]&lt;46,"36-45",IF(tblHR[[#This Row],[Age]]&lt;56,"46-55","56+"))))</f>
        <v>46-55</v>
      </c>
    </row>
    <row r="1210" spans="1:37"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s="1">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s="2">
        <f>IF(tblHR[[#This Row],[Attrition]]="Yes",1,0)</f>
        <v>0</v>
      </c>
      <c r="AK1210" t="str">
        <f>IF(tblHR[[#This Row],[Age]]&lt;26,"18-25",IF(tblHR[[#This Row],[Age]]&lt;36,"26-35",IF(tblHR[[#This Row],[Age]]&lt;46,"36-45",IF(tblHR[[#This Row],[Age]]&lt;56,"46-55","56+"))))</f>
        <v>26-35</v>
      </c>
    </row>
    <row r="1211" spans="1:37"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s="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s="2">
        <f>IF(tblHR[[#This Row],[Attrition]]="Yes",1,0)</f>
        <v>0</v>
      </c>
      <c r="AK1211" t="str">
        <f>IF(tblHR[[#This Row],[Age]]&lt;26,"18-25",IF(tblHR[[#This Row],[Age]]&lt;36,"26-35",IF(tblHR[[#This Row],[Age]]&lt;46,"36-45",IF(tblHR[[#This Row],[Age]]&lt;56,"46-55","56+"))))</f>
        <v>56+</v>
      </c>
    </row>
    <row r="1212" spans="1:37"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s="1">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s="2">
        <f>IF(tblHR[[#This Row],[Attrition]]="Yes",1,0)</f>
        <v>0</v>
      </c>
      <c r="AK1212" t="str">
        <f>IF(tblHR[[#This Row],[Age]]&lt;26,"18-25",IF(tblHR[[#This Row],[Age]]&lt;36,"26-35",IF(tblHR[[#This Row],[Age]]&lt;46,"36-45",IF(tblHR[[#This Row],[Age]]&lt;56,"46-55","56+"))))</f>
        <v>26-35</v>
      </c>
    </row>
    <row r="1213" spans="1:37"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s="1">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s="2">
        <f>IF(tblHR[[#This Row],[Attrition]]="Yes",1,0)</f>
        <v>0</v>
      </c>
      <c r="AK1213" t="str">
        <f>IF(tblHR[[#This Row],[Age]]&lt;26,"18-25",IF(tblHR[[#This Row],[Age]]&lt;36,"26-35",IF(tblHR[[#This Row],[Age]]&lt;46,"36-45",IF(tblHR[[#This Row],[Age]]&lt;56,"46-55","56+"))))</f>
        <v>36-45</v>
      </c>
    </row>
    <row r="1214" spans="1:37"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s="1">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s="2">
        <f>IF(tblHR[[#This Row],[Attrition]]="Yes",1,0)</f>
        <v>0</v>
      </c>
      <c r="AK1214" t="str">
        <f>IF(tblHR[[#This Row],[Age]]&lt;26,"18-25",IF(tblHR[[#This Row],[Age]]&lt;36,"26-35",IF(tblHR[[#This Row],[Age]]&lt;46,"36-45",IF(tblHR[[#This Row],[Age]]&lt;56,"46-55","56+"))))</f>
        <v>26-35</v>
      </c>
    </row>
    <row r="1215" spans="1:37"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s="1">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s="2">
        <f>IF(tblHR[[#This Row],[Attrition]]="Yes",1,0)</f>
        <v>1</v>
      </c>
      <c r="AK1215" t="str">
        <f>IF(tblHR[[#This Row],[Age]]&lt;26,"18-25",IF(tblHR[[#This Row],[Age]]&lt;36,"26-35",IF(tblHR[[#This Row],[Age]]&lt;46,"36-45",IF(tblHR[[#This Row],[Age]]&lt;56,"46-55","56+"))))</f>
        <v>18-25</v>
      </c>
    </row>
    <row r="1216" spans="1:37"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s="1">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s="2">
        <f>IF(tblHR[[#This Row],[Attrition]]="Yes",1,0)</f>
        <v>0</v>
      </c>
      <c r="AK1216" t="str">
        <f>IF(tblHR[[#This Row],[Age]]&lt;26,"18-25",IF(tblHR[[#This Row],[Age]]&lt;36,"26-35",IF(tblHR[[#This Row],[Age]]&lt;46,"36-45",IF(tblHR[[#This Row],[Age]]&lt;56,"46-55","56+"))))</f>
        <v>36-45</v>
      </c>
    </row>
    <row r="1217" spans="1:37"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s="1">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s="2">
        <f>IF(tblHR[[#This Row],[Attrition]]="Yes",1,0)</f>
        <v>0</v>
      </c>
      <c r="AK1217" t="str">
        <f>IF(tblHR[[#This Row],[Age]]&lt;26,"18-25",IF(tblHR[[#This Row],[Age]]&lt;36,"26-35",IF(tblHR[[#This Row],[Age]]&lt;46,"36-45",IF(tblHR[[#This Row],[Age]]&lt;56,"46-55","56+"))))</f>
        <v>26-35</v>
      </c>
    </row>
    <row r="1218" spans="1:37"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s="1">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s="2">
        <f>IF(tblHR[[#This Row],[Attrition]]="Yes",1,0)</f>
        <v>0</v>
      </c>
      <c r="AK1218" t="str">
        <f>IF(tblHR[[#This Row],[Age]]&lt;26,"18-25",IF(tblHR[[#This Row],[Age]]&lt;36,"26-35",IF(tblHR[[#This Row],[Age]]&lt;46,"36-45",IF(tblHR[[#This Row],[Age]]&lt;56,"46-55","56+"))))</f>
        <v>36-45</v>
      </c>
    </row>
    <row r="1219" spans="1:37"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s="1">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s="2">
        <f>IF(tblHR[[#This Row],[Attrition]]="Yes",1,0)</f>
        <v>0</v>
      </c>
      <c r="AK1219" t="str">
        <f>IF(tblHR[[#This Row],[Age]]&lt;26,"18-25",IF(tblHR[[#This Row],[Age]]&lt;36,"26-35",IF(tblHR[[#This Row],[Age]]&lt;46,"36-45",IF(tblHR[[#This Row],[Age]]&lt;56,"46-55","56+"))))</f>
        <v>18-25</v>
      </c>
    </row>
    <row r="1220" spans="1:37"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s="1">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s="2">
        <f>IF(tblHR[[#This Row],[Attrition]]="Yes",1,0)</f>
        <v>0</v>
      </c>
      <c r="AK1220" t="str">
        <f>IF(tblHR[[#This Row],[Age]]&lt;26,"18-25",IF(tblHR[[#This Row],[Age]]&lt;36,"26-35",IF(tblHR[[#This Row],[Age]]&lt;46,"36-45",IF(tblHR[[#This Row],[Age]]&lt;56,"46-55","56+"))))</f>
        <v>36-45</v>
      </c>
    </row>
    <row r="1221" spans="1:37"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s="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s="2">
        <f>IF(tblHR[[#This Row],[Attrition]]="Yes",1,0)</f>
        <v>0</v>
      </c>
      <c r="AK1221" t="str">
        <f>IF(tblHR[[#This Row],[Age]]&lt;26,"18-25",IF(tblHR[[#This Row],[Age]]&lt;36,"26-35",IF(tblHR[[#This Row],[Age]]&lt;46,"36-45",IF(tblHR[[#This Row],[Age]]&lt;56,"46-55","56+"))))</f>
        <v>26-35</v>
      </c>
    </row>
    <row r="1222" spans="1:37"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s="1">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s="2">
        <f>IF(tblHR[[#This Row],[Attrition]]="Yes",1,0)</f>
        <v>0</v>
      </c>
      <c r="AK1222" t="str">
        <f>IF(tblHR[[#This Row],[Age]]&lt;26,"18-25",IF(tblHR[[#This Row],[Age]]&lt;36,"26-35",IF(tblHR[[#This Row],[Age]]&lt;46,"36-45",IF(tblHR[[#This Row],[Age]]&lt;56,"46-55","56+"))))</f>
        <v>36-45</v>
      </c>
    </row>
    <row r="1223" spans="1:37"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s="1">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s="2">
        <f>IF(tblHR[[#This Row],[Attrition]]="Yes",1,0)</f>
        <v>0</v>
      </c>
      <c r="AK1223" t="str">
        <f>IF(tblHR[[#This Row],[Age]]&lt;26,"18-25",IF(tblHR[[#This Row],[Age]]&lt;36,"26-35",IF(tblHR[[#This Row],[Age]]&lt;46,"36-45",IF(tblHR[[#This Row],[Age]]&lt;56,"46-55","56+"))))</f>
        <v>36-45</v>
      </c>
    </row>
    <row r="1224" spans="1:37"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s="1">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s="2">
        <f>IF(tblHR[[#This Row],[Attrition]]="Yes",1,0)</f>
        <v>1</v>
      </c>
      <c r="AK1224" t="str">
        <f>IF(tblHR[[#This Row],[Age]]&lt;26,"18-25",IF(tblHR[[#This Row],[Age]]&lt;36,"26-35",IF(tblHR[[#This Row],[Age]]&lt;46,"36-45",IF(tblHR[[#This Row],[Age]]&lt;56,"46-55","56+"))))</f>
        <v>18-25</v>
      </c>
    </row>
    <row r="1225" spans="1:37"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s="1">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s="2">
        <f>IF(tblHR[[#This Row],[Attrition]]="Yes",1,0)</f>
        <v>1</v>
      </c>
      <c r="AK1225" t="str">
        <f>IF(tblHR[[#This Row],[Age]]&lt;26,"18-25",IF(tblHR[[#This Row],[Age]]&lt;36,"26-35",IF(tblHR[[#This Row],[Age]]&lt;46,"36-45",IF(tblHR[[#This Row],[Age]]&lt;56,"46-55","56+"))))</f>
        <v>46-55</v>
      </c>
    </row>
    <row r="1226" spans="1:37"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s="1">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s="2">
        <f>IF(tblHR[[#This Row],[Attrition]]="Yes",1,0)</f>
        <v>0</v>
      </c>
      <c r="AK1226" t="str">
        <f>IF(tblHR[[#This Row],[Age]]&lt;26,"18-25",IF(tblHR[[#This Row],[Age]]&lt;36,"26-35",IF(tblHR[[#This Row],[Age]]&lt;46,"36-45",IF(tblHR[[#This Row],[Age]]&lt;56,"46-55","56+"))))</f>
        <v>26-35</v>
      </c>
    </row>
    <row r="1227" spans="1:37"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s="1">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s="2">
        <f>IF(tblHR[[#This Row],[Attrition]]="Yes",1,0)</f>
        <v>0</v>
      </c>
      <c r="AK1227" t="str">
        <f>IF(tblHR[[#This Row],[Age]]&lt;26,"18-25",IF(tblHR[[#This Row],[Age]]&lt;36,"26-35",IF(tblHR[[#This Row],[Age]]&lt;46,"36-45",IF(tblHR[[#This Row],[Age]]&lt;56,"46-55","56+"))))</f>
        <v>36-45</v>
      </c>
    </row>
    <row r="1228" spans="1:37"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s="1">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s="2">
        <f>IF(tblHR[[#This Row],[Attrition]]="Yes",1,0)</f>
        <v>0</v>
      </c>
      <c r="AK1228" t="str">
        <f>IF(tblHR[[#This Row],[Age]]&lt;26,"18-25",IF(tblHR[[#This Row],[Age]]&lt;36,"26-35",IF(tblHR[[#This Row],[Age]]&lt;46,"36-45",IF(tblHR[[#This Row],[Age]]&lt;56,"46-55","56+"))))</f>
        <v>26-35</v>
      </c>
    </row>
    <row r="1229" spans="1:37"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s="1">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s="2">
        <f>IF(tblHR[[#This Row],[Attrition]]="Yes",1,0)</f>
        <v>0</v>
      </c>
      <c r="AK1229" t="str">
        <f>IF(tblHR[[#This Row],[Age]]&lt;26,"18-25",IF(tblHR[[#This Row],[Age]]&lt;36,"26-35",IF(tblHR[[#This Row],[Age]]&lt;46,"36-45",IF(tblHR[[#This Row],[Age]]&lt;56,"46-55","56+"))))</f>
        <v>26-35</v>
      </c>
    </row>
    <row r="1230" spans="1:37"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s="1">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s="2">
        <f>IF(tblHR[[#This Row],[Attrition]]="Yes",1,0)</f>
        <v>0</v>
      </c>
      <c r="AK1230" t="str">
        <f>IF(tblHR[[#This Row],[Age]]&lt;26,"18-25",IF(tblHR[[#This Row],[Age]]&lt;36,"26-35",IF(tblHR[[#This Row],[Age]]&lt;46,"36-45",IF(tblHR[[#This Row],[Age]]&lt;56,"46-55","56+"))))</f>
        <v>36-45</v>
      </c>
    </row>
    <row r="1231" spans="1:37"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s="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s="2">
        <f>IF(tblHR[[#This Row],[Attrition]]="Yes",1,0)</f>
        <v>0</v>
      </c>
      <c r="AK1231" t="str">
        <f>IF(tblHR[[#This Row],[Age]]&lt;26,"18-25",IF(tblHR[[#This Row],[Age]]&lt;36,"26-35",IF(tblHR[[#This Row],[Age]]&lt;46,"36-45",IF(tblHR[[#This Row],[Age]]&lt;56,"46-55","56+"))))</f>
        <v>36-45</v>
      </c>
    </row>
    <row r="1232" spans="1:37"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s="1">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s="2">
        <f>IF(tblHR[[#This Row],[Attrition]]="Yes",1,0)</f>
        <v>0</v>
      </c>
      <c r="AK1232" t="str">
        <f>IF(tblHR[[#This Row],[Age]]&lt;26,"18-25",IF(tblHR[[#This Row],[Age]]&lt;36,"26-35",IF(tblHR[[#This Row],[Age]]&lt;46,"36-45",IF(tblHR[[#This Row],[Age]]&lt;56,"46-55","56+"))))</f>
        <v>18-25</v>
      </c>
    </row>
    <row r="1233" spans="1:37"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s="1">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s="2">
        <f>IF(tblHR[[#This Row],[Attrition]]="Yes",1,0)</f>
        <v>0</v>
      </c>
      <c r="AK1233" t="str">
        <f>IF(tblHR[[#This Row],[Age]]&lt;26,"18-25",IF(tblHR[[#This Row],[Age]]&lt;36,"26-35",IF(tblHR[[#This Row],[Age]]&lt;46,"36-45",IF(tblHR[[#This Row],[Age]]&lt;56,"46-55","56+"))))</f>
        <v>46-55</v>
      </c>
    </row>
    <row r="1234" spans="1:37"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s="1">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s="2">
        <f>IF(tblHR[[#This Row],[Attrition]]="Yes",1,0)</f>
        <v>0</v>
      </c>
      <c r="AK1234" t="str">
        <f>IF(tblHR[[#This Row],[Age]]&lt;26,"18-25",IF(tblHR[[#This Row],[Age]]&lt;36,"26-35",IF(tblHR[[#This Row],[Age]]&lt;46,"36-45",IF(tblHR[[#This Row],[Age]]&lt;56,"46-55","56+"))))</f>
        <v>26-35</v>
      </c>
    </row>
    <row r="1235" spans="1:37"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s="1">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s="2">
        <f>IF(tblHR[[#This Row],[Attrition]]="Yes",1,0)</f>
        <v>0</v>
      </c>
      <c r="AK1235" t="str">
        <f>IF(tblHR[[#This Row],[Age]]&lt;26,"18-25",IF(tblHR[[#This Row],[Age]]&lt;36,"26-35",IF(tblHR[[#This Row],[Age]]&lt;46,"36-45",IF(tblHR[[#This Row],[Age]]&lt;56,"46-55","56+"))))</f>
        <v>26-35</v>
      </c>
    </row>
    <row r="1236" spans="1:37"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s="1">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s="2">
        <f>IF(tblHR[[#This Row],[Attrition]]="Yes",1,0)</f>
        <v>0</v>
      </c>
      <c r="AK1236" t="str">
        <f>IF(tblHR[[#This Row],[Age]]&lt;26,"18-25",IF(tblHR[[#This Row],[Age]]&lt;36,"26-35",IF(tblHR[[#This Row],[Age]]&lt;46,"36-45",IF(tblHR[[#This Row],[Age]]&lt;56,"46-55","56+"))))</f>
        <v>46-55</v>
      </c>
    </row>
    <row r="1237" spans="1:37"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s="1">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s="2">
        <f>IF(tblHR[[#This Row],[Attrition]]="Yes",1,0)</f>
        <v>0</v>
      </c>
      <c r="AK1237" t="str">
        <f>IF(tblHR[[#This Row],[Age]]&lt;26,"18-25",IF(tblHR[[#This Row],[Age]]&lt;36,"26-35",IF(tblHR[[#This Row],[Age]]&lt;46,"36-45",IF(tblHR[[#This Row],[Age]]&lt;56,"46-55","56+"))))</f>
        <v>46-55</v>
      </c>
    </row>
    <row r="1238" spans="1:37"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s="1">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s="2">
        <f>IF(tblHR[[#This Row],[Attrition]]="Yes",1,0)</f>
        <v>1</v>
      </c>
      <c r="AK1238" t="str">
        <f>IF(tblHR[[#This Row],[Age]]&lt;26,"18-25",IF(tblHR[[#This Row],[Age]]&lt;36,"26-35",IF(tblHR[[#This Row],[Age]]&lt;46,"36-45",IF(tblHR[[#This Row],[Age]]&lt;56,"46-55","56+"))))</f>
        <v>36-45</v>
      </c>
    </row>
    <row r="1239" spans="1:37"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s="1">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s="2">
        <f>IF(tblHR[[#This Row],[Attrition]]="Yes",1,0)</f>
        <v>1</v>
      </c>
      <c r="AK1239" t="str">
        <f>IF(tblHR[[#This Row],[Age]]&lt;26,"18-25",IF(tblHR[[#This Row],[Age]]&lt;36,"26-35",IF(tblHR[[#This Row],[Age]]&lt;46,"36-45",IF(tblHR[[#This Row],[Age]]&lt;56,"46-55","56+"))))</f>
        <v>26-35</v>
      </c>
    </row>
    <row r="1240" spans="1:37"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s="1">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s="2">
        <f>IF(tblHR[[#This Row],[Attrition]]="Yes",1,0)</f>
        <v>0</v>
      </c>
      <c r="AK1240" t="str">
        <f>IF(tblHR[[#This Row],[Age]]&lt;26,"18-25",IF(tblHR[[#This Row],[Age]]&lt;36,"26-35",IF(tblHR[[#This Row],[Age]]&lt;46,"36-45",IF(tblHR[[#This Row],[Age]]&lt;56,"46-55","56+"))))</f>
        <v>18-25</v>
      </c>
    </row>
    <row r="1241" spans="1:37"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s="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s="2">
        <f>IF(tblHR[[#This Row],[Attrition]]="Yes",1,0)</f>
        <v>0</v>
      </c>
      <c r="AK1241" t="str">
        <f>IF(tblHR[[#This Row],[Age]]&lt;26,"18-25",IF(tblHR[[#This Row],[Age]]&lt;36,"26-35",IF(tblHR[[#This Row],[Age]]&lt;46,"36-45",IF(tblHR[[#This Row],[Age]]&lt;56,"46-55","56+"))))</f>
        <v>26-35</v>
      </c>
    </row>
    <row r="1242" spans="1:37"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s="1">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s="2">
        <f>IF(tblHR[[#This Row],[Attrition]]="Yes",1,0)</f>
        <v>0</v>
      </c>
      <c r="AK1242" t="str">
        <f>IF(tblHR[[#This Row],[Age]]&lt;26,"18-25",IF(tblHR[[#This Row],[Age]]&lt;36,"26-35",IF(tblHR[[#This Row],[Age]]&lt;46,"36-45",IF(tblHR[[#This Row],[Age]]&lt;56,"46-55","56+"))))</f>
        <v>36-45</v>
      </c>
    </row>
    <row r="1243" spans="1:37"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s="1">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s="2">
        <f>IF(tblHR[[#This Row],[Attrition]]="Yes",1,0)</f>
        <v>0</v>
      </c>
      <c r="AK1243" t="str">
        <f>IF(tblHR[[#This Row],[Age]]&lt;26,"18-25",IF(tblHR[[#This Row],[Age]]&lt;36,"26-35",IF(tblHR[[#This Row],[Age]]&lt;46,"36-45",IF(tblHR[[#This Row],[Age]]&lt;56,"46-55","56+"))))</f>
        <v>26-35</v>
      </c>
    </row>
    <row r="1244" spans="1:37"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s="1">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s="2">
        <f>IF(tblHR[[#This Row],[Attrition]]="Yes",1,0)</f>
        <v>0</v>
      </c>
      <c r="AK1244" t="str">
        <f>IF(tblHR[[#This Row],[Age]]&lt;26,"18-25",IF(tblHR[[#This Row],[Age]]&lt;36,"26-35",IF(tblHR[[#This Row],[Age]]&lt;46,"36-45",IF(tblHR[[#This Row],[Age]]&lt;56,"46-55","56+"))))</f>
        <v>36-45</v>
      </c>
    </row>
    <row r="1245" spans="1:37"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s="1">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s="2">
        <f>IF(tblHR[[#This Row],[Attrition]]="Yes",1,0)</f>
        <v>0</v>
      </c>
      <c r="AK1245" t="str">
        <f>IF(tblHR[[#This Row],[Age]]&lt;26,"18-25",IF(tblHR[[#This Row],[Age]]&lt;36,"26-35",IF(tblHR[[#This Row],[Age]]&lt;46,"36-45",IF(tblHR[[#This Row],[Age]]&lt;56,"46-55","56+"))))</f>
        <v>36-45</v>
      </c>
    </row>
    <row r="1246" spans="1:37"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s="1">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s="2">
        <f>IF(tblHR[[#This Row],[Attrition]]="Yes",1,0)</f>
        <v>0</v>
      </c>
      <c r="AK1246" t="str">
        <f>IF(tblHR[[#This Row],[Age]]&lt;26,"18-25",IF(tblHR[[#This Row],[Age]]&lt;36,"26-35",IF(tblHR[[#This Row],[Age]]&lt;46,"36-45",IF(tblHR[[#This Row],[Age]]&lt;56,"46-55","56+"))))</f>
        <v>26-35</v>
      </c>
    </row>
    <row r="1247" spans="1:37"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s="1">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s="2">
        <f>IF(tblHR[[#This Row],[Attrition]]="Yes",1,0)</f>
        <v>0</v>
      </c>
      <c r="AK1247" t="str">
        <f>IF(tblHR[[#This Row],[Age]]&lt;26,"18-25",IF(tblHR[[#This Row],[Age]]&lt;36,"26-35",IF(tblHR[[#This Row],[Age]]&lt;46,"36-45",IF(tblHR[[#This Row],[Age]]&lt;56,"46-55","56+"))))</f>
        <v>18-25</v>
      </c>
    </row>
    <row r="1248" spans="1:37"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s="1">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s="2">
        <f>IF(tblHR[[#This Row],[Attrition]]="Yes",1,0)</f>
        <v>1</v>
      </c>
      <c r="AK1248" t="str">
        <f>IF(tblHR[[#This Row],[Age]]&lt;26,"18-25",IF(tblHR[[#This Row],[Age]]&lt;36,"26-35",IF(tblHR[[#This Row],[Age]]&lt;46,"36-45",IF(tblHR[[#This Row],[Age]]&lt;56,"46-55","56+"))))</f>
        <v>26-35</v>
      </c>
    </row>
    <row r="1249" spans="1:37"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s="1">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s="2">
        <f>IF(tblHR[[#This Row],[Attrition]]="Yes",1,0)</f>
        <v>0</v>
      </c>
      <c r="AK1249" t="str">
        <f>IF(tblHR[[#This Row],[Age]]&lt;26,"18-25",IF(tblHR[[#This Row],[Age]]&lt;36,"26-35",IF(tblHR[[#This Row],[Age]]&lt;46,"36-45",IF(tblHR[[#This Row],[Age]]&lt;56,"46-55","56+"))))</f>
        <v>26-35</v>
      </c>
    </row>
    <row r="1250" spans="1:37"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s="1">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s="2">
        <f>IF(tblHR[[#This Row],[Attrition]]="Yes",1,0)</f>
        <v>0</v>
      </c>
      <c r="AK1250" t="str">
        <f>IF(tblHR[[#This Row],[Age]]&lt;26,"18-25",IF(tblHR[[#This Row],[Age]]&lt;36,"26-35",IF(tblHR[[#This Row],[Age]]&lt;46,"36-45",IF(tblHR[[#This Row],[Age]]&lt;56,"46-55","56+"))))</f>
        <v>26-35</v>
      </c>
    </row>
    <row r="1251" spans="1:37"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s="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s="2">
        <f>IF(tblHR[[#This Row],[Attrition]]="Yes",1,0)</f>
        <v>1</v>
      </c>
      <c r="AK1251" t="str">
        <f>IF(tblHR[[#This Row],[Age]]&lt;26,"18-25",IF(tblHR[[#This Row],[Age]]&lt;36,"26-35",IF(tblHR[[#This Row],[Age]]&lt;46,"36-45",IF(tblHR[[#This Row],[Age]]&lt;56,"46-55","56+"))))</f>
        <v>26-35</v>
      </c>
    </row>
    <row r="1252" spans="1:37"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s="1">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s="2">
        <f>IF(tblHR[[#This Row],[Attrition]]="Yes",1,0)</f>
        <v>0</v>
      </c>
      <c r="AK1252" t="str">
        <f>IF(tblHR[[#This Row],[Age]]&lt;26,"18-25",IF(tblHR[[#This Row],[Age]]&lt;36,"26-35",IF(tblHR[[#This Row],[Age]]&lt;46,"36-45",IF(tblHR[[#This Row],[Age]]&lt;56,"46-55","56+"))))</f>
        <v>26-35</v>
      </c>
    </row>
    <row r="1253" spans="1:37"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s="1">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s="2">
        <f>IF(tblHR[[#This Row],[Attrition]]="Yes",1,0)</f>
        <v>0</v>
      </c>
      <c r="AK1253" t="str">
        <f>IF(tblHR[[#This Row],[Age]]&lt;26,"18-25",IF(tblHR[[#This Row],[Age]]&lt;36,"26-35",IF(tblHR[[#This Row],[Age]]&lt;46,"36-45",IF(tblHR[[#This Row],[Age]]&lt;56,"46-55","56+"))))</f>
        <v>26-35</v>
      </c>
    </row>
    <row r="1254" spans="1:37"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s="1">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s="2">
        <f>IF(tblHR[[#This Row],[Attrition]]="Yes",1,0)</f>
        <v>0</v>
      </c>
      <c r="AK1254" t="str">
        <f>IF(tblHR[[#This Row],[Age]]&lt;26,"18-25",IF(tblHR[[#This Row],[Age]]&lt;36,"26-35",IF(tblHR[[#This Row],[Age]]&lt;46,"36-45",IF(tblHR[[#This Row],[Age]]&lt;56,"46-55","56+"))))</f>
        <v>26-35</v>
      </c>
    </row>
    <row r="1255" spans="1:37"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s="1">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s="2">
        <f>IF(tblHR[[#This Row],[Attrition]]="Yes",1,0)</f>
        <v>0</v>
      </c>
      <c r="AK1255" t="str">
        <f>IF(tblHR[[#This Row],[Age]]&lt;26,"18-25",IF(tblHR[[#This Row],[Age]]&lt;36,"26-35",IF(tblHR[[#This Row],[Age]]&lt;46,"36-45",IF(tblHR[[#This Row],[Age]]&lt;56,"46-55","56+"))))</f>
        <v>26-35</v>
      </c>
    </row>
    <row r="1256" spans="1:37"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s="1">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s="2">
        <f>IF(tblHR[[#This Row],[Attrition]]="Yes",1,0)</f>
        <v>0</v>
      </c>
      <c r="AK1256" t="str">
        <f>IF(tblHR[[#This Row],[Age]]&lt;26,"18-25",IF(tblHR[[#This Row],[Age]]&lt;36,"26-35",IF(tblHR[[#This Row],[Age]]&lt;46,"36-45",IF(tblHR[[#This Row],[Age]]&lt;56,"46-55","56+"))))</f>
        <v>46-55</v>
      </c>
    </row>
    <row r="1257" spans="1:37"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s="1">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s="2">
        <f>IF(tblHR[[#This Row],[Attrition]]="Yes",1,0)</f>
        <v>1</v>
      </c>
      <c r="AK1257" t="str">
        <f>IF(tblHR[[#This Row],[Age]]&lt;26,"18-25",IF(tblHR[[#This Row],[Age]]&lt;36,"26-35",IF(tblHR[[#This Row],[Age]]&lt;46,"36-45",IF(tblHR[[#This Row],[Age]]&lt;56,"46-55","56+"))))</f>
        <v>26-35</v>
      </c>
    </row>
    <row r="1258" spans="1:37"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s="1">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s="2">
        <f>IF(tblHR[[#This Row],[Attrition]]="Yes",1,0)</f>
        <v>0</v>
      </c>
      <c r="AK1258" t="str">
        <f>IF(tblHR[[#This Row],[Age]]&lt;26,"18-25",IF(tblHR[[#This Row],[Age]]&lt;36,"26-35",IF(tblHR[[#This Row],[Age]]&lt;46,"36-45",IF(tblHR[[#This Row],[Age]]&lt;56,"46-55","56+"))))</f>
        <v>36-45</v>
      </c>
    </row>
    <row r="1259" spans="1:37"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s="1">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s="2">
        <f>IF(tblHR[[#This Row],[Attrition]]="Yes",1,0)</f>
        <v>1</v>
      </c>
      <c r="AK1259" t="str">
        <f>IF(tblHR[[#This Row],[Age]]&lt;26,"18-25",IF(tblHR[[#This Row],[Age]]&lt;36,"26-35",IF(tblHR[[#This Row],[Age]]&lt;46,"36-45",IF(tblHR[[#This Row],[Age]]&lt;56,"46-55","56+"))))</f>
        <v>26-35</v>
      </c>
    </row>
    <row r="1260" spans="1:37"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s="1">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s="2">
        <f>IF(tblHR[[#This Row],[Attrition]]="Yes",1,0)</f>
        <v>0</v>
      </c>
      <c r="AK1260" t="str">
        <f>IF(tblHR[[#This Row],[Age]]&lt;26,"18-25",IF(tblHR[[#This Row],[Age]]&lt;36,"26-35",IF(tblHR[[#This Row],[Age]]&lt;46,"36-45",IF(tblHR[[#This Row],[Age]]&lt;56,"46-55","56+"))))</f>
        <v>26-35</v>
      </c>
    </row>
    <row r="1261" spans="1:37"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s="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s="2">
        <f>IF(tblHR[[#This Row],[Attrition]]="Yes",1,0)</f>
        <v>0</v>
      </c>
      <c r="AK1261" t="str">
        <f>IF(tblHR[[#This Row],[Age]]&lt;26,"18-25",IF(tblHR[[#This Row],[Age]]&lt;36,"26-35",IF(tblHR[[#This Row],[Age]]&lt;46,"36-45",IF(tblHR[[#This Row],[Age]]&lt;56,"46-55","56+"))))</f>
        <v>26-35</v>
      </c>
    </row>
    <row r="1262" spans="1:37"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s="1">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s="2">
        <f>IF(tblHR[[#This Row],[Attrition]]="Yes",1,0)</f>
        <v>0</v>
      </c>
      <c r="AK1262" t="str">
        <f>IF(tblHR[[#This Row],[Age]]&lt;26,"18-25",IF(tblHR[[#This Row],[Age]]&lt;36,"26-35",IF(tblHR[[#This Row],[Age]]&lt;46,"36-45",IF(tblHR[[#This Row],[Age]]&lt;56,"46-55","56+"))))</f>
        <v>26-35</v>
      </c>
    </row>
    <row r="1263" spans="1:37"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s="1">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s="2">
        <f>IF(tblHR[[#This Row],[Attrition]]="Yes",1,0)</f>
        <v>0</v>
      </c>
      <c r="AK1263" t="str">
        <f>IF(tblHR[[#This Row],[Age]]&lt;26,"18-25",IF(tblHR[[#This Row],[Age]]&lt;36,"26-35",IF(tblHR[[#This Row],[Age]]&lt;46,"36-45",IF(tblHR[[#This Row],[Age]]&lt;56,"46-55","56+"))))</f>
        <v>36-45</v>
      </c>
    </row>
    <row r="1264" spans="1:37"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s="1">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s="2">
        <f>IF(tblHR[[#This Row],[Attrition]]="Yes",1,0)</f>
        <v>1</v>
      </c>
      <c r="AK1264" t="str">
        <f>IF(tblHR[[#This Row],[Age]]&lt;26,"18-25",IF(tblHR[[#This Row],[Age]]&lt;36,"26-35",IF(tblHR[[#This Row],[Age]]&lt;46,"36-45",IF(tblHR[[#This Row],[Age]]&lt;56,"46-55","56+"))))</f>
        <v>36-45</v>
      </c>
    </row>
    <row r="1265" spans="1:37"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s="1">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s="2">
        <f>IF(tblHR[[#This Row],[Attrition]]="Yes",1,0)</f>
        <v>0</v>
      </c>
      <c r="AK1265" t="str">
        <f>IF(tblHR[[#This Row],[Age]]&lt;26,"18-25",IF(tblHR[[#This Row],[Age]]&lt;36,"26-35",IF(tblHR[[#This Row],[Age]]&lt;46,"36-45",IF(tblHR[[#This Row],[Age]]&lt;56,"46-55","56+"))))</f>
        <v>36-45</v>
      </c>
    </row>
    <row r="1266" spans="1:37"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s="1">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s="2">
        <f>IF(tblHR[[#This Row],[Attrition]]="Yes",1,0)</f>
        <v>0</v>
      </c>
      <c r="AK1266" t="str">
        <f>IF(tblHR[[#This Row],[Age]]&lt;26,"18-25",IF(tblHR[[#This Row],[Age]]&lt;36,"26-35",IF(tblHR[[#This Row],[Age]]&lt;46,"36-45",IF(tblHR[[#This Row],[Age]]&lt;56,"46-55","56+"))))</f>
        <v>46-55</v>
      </c>
    </row>
    <row r="1267" spans="1:37"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s="1">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s="2">
        <f>IF(tblHR[[#This Row],[Attrition]]="Yes",1,0)</f>
        <v>0</v>
      </c>
      <c r="AK1267" t="str">
        <f>IF(tblHR[[#This Row],[Age]]&lt;26,"18-25",IF(tblHR[[#This Row],[Age]]&lt;36,"26-35",IF(tblHR[[#This Row],[Age]]&lt;46,"36-45",IF(tblHR[[#This Row],[Age]]&lt;56,"46-55","56+"))))</f>
        <v>26-35</v>
      </c>
    </row>
    <row r="1268" spans="1:37"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s="1">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s="2">
        <f>IF(tblHR[[#This Row],[Attrition]]="Yes",1,0)</f>
        <v>0</v>
      </c>
      <c r="AK1268" t="str">
        <f>IF(tblHR[[#This Row],[Age]]&lt;26,"18-25",IF(tblHR[[#This Row],[Age]]&lt;36,"26-35",IF(tblHR[[#This Row],[Age]]&lt;46,"36-45",IF(tblHR[[#This Row],[Age]]&lt;56,"46-55","56+"))))</f>
        <v>36-45</v>
      </c>
    </row>
    <row r="1269" spans="1:37"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s="1">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s="2">
        <f>IF(tblHR[[#This Row],[Attrition]]="Yes",1,0)</f>
        <v>0</v>
      </c>
      <c r="AK1269" t="str">
        <f>IF(tblHR[[#This Row],[Age]]&lt;26,"18-25",IF(tblHR[[#This Row],[Age]]&lt;36,"26-35",IF(tblHR[[#This Row],[Age]]&lt;46,"36-45",IF(tblHR[[#This Row],[Age]]&lt;56,"46-55","56+"))))</f>
        <v>26-35</v>
      </c>
    </row>
    <row r="1270" spans="1:37"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s="1">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s="2">
        <f>IF(tblHR[[#This Row],[Attrition]]="Yes",1,0)</f>
        <v>0</v>
      </c>
      <c r="AK1270" t="str">
        <f>IF(tblHR[[#This Row],[Age]]&lt;26,"18-25",IF(tblHR[[#This Row],[Age]]&lt;36,"26-35",IF(tblHR[[#This Row],[Age]]&lt;46,"36-45",IF(tblHR[[#This Row],[Age]]&lt;56,"46-55","56+"))))</f>
        <v>46-55</v>
      </c>
    </row>
    <row r="1271" spans="1:37"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s="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s="2">
        <f>IF(tblHR[[#This Row],[Attrition]]="Yes",1,0)</f>
        <v>0</v>
      </c>
      <c r="AK1271" t="str">
        <f>IF(tblHR[[#This Row],[Age]]&lt;26,"18-25",IF(tblHR[[#This Row],[Age]]&lt;36,"26-35",IF(tblHR[[#This Row],[Age]]&lt;46,"36-45",IF(tblHR[[#This Row],[Age]]&lt;56,"46-55","56+"))))</f>
        <v>36-45</v>
      </c>
    </row>
    <row r="1272" spans="1:37"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s="1">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s="2">
        <f>IF(tblHR[[#This Row],[Attrition]]="Yes",1,0)</f>
        <v>0</v>
      </c>
      <c r="AK1272" t="str">
        <f>IF(tblHR[[#This Row],[Age]]&lt;26,"18-25",IF(tblHR[[#This Row],[Age]]&lt;36,"26-35",IF(tblHR[[#This Row],[Age]]&lt;46,"36-45",IF(tblHR[[#This Row],[Age]]&lt;56,"46-55","56+"))))</f>
        <v>26-35</v>
      </c>
    </row>
    <row r="1273" spans="1:37"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s="1">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s="2">
        <f>IF(tblHR[[#This Row],[Attrition]]="Yes",1,0)</f>
        <v>1</v>
      </c>
      <c r="AK1273" t="str">
        <f>IF(tblHR[[#This Row],[Age]]&lt;26,"18-25",IF(tblHR[[#This Row],[Age]]&lt;36,"26-35",IF(tblHR[[#This Row],[Age]]&lt;46,"36-45",IF(tblHR[[#This Row],[Age]]&lt;56,"46-55","56+"))))</f>
        <v>18-25</v>
      </c>
    </row>
    <row r="1274" spans="1:37"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s="1">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s="2">
        <f>IF(tblHR[[#This Row],[Attrition]]="Yes",1,0)</f>
        <v>0</v>
      </c>
      <c r="AK1274" t="str">
        <f>IF(tblHR[[#This Row],[Age]]&lt;26,"18-25",IF(tblHR[[#This Row],[Age]]&lt;36,"26-35",IF(tblHR[[#This Row],[Age]]&lt;46,"36-45",IF(tblHR[[#This Row],[Age]]&lt;56,"46-55","56+"))))</f>
        <v>36-45</v>
      </c>
    </row>
    <row r="1275" spans="1:37"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s="1">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s="2">
        <f>IF(tblHR[[#This Row],[Attrition]]="Yes",1,0)</f>
        <v>1</v>
      </c>
      <c r="AK1275" t="str">
        <f>IF(tblHR[[#This Row],[Age]]&lt;26,"18-25",IF(tblHR[[#This Row],[Age]]&lt;36,"26-35",IF(tblHR[[#This Row],[Age]]&lt;46,"36-45",IF(tblHR[[#This Row],[Age]]&lt;56,"46-55","56+"))))</f>
        <v>18-25</v>
      </c>
    </row>
    <row r="1276" spans="1:37"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s="1">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s="2">
        <f>IF(tblHR[[#This Row],[Attrition]]="Yes",1,0)</f>
        <v>0</v>
      </c>
      <c r="AK1276" t="str">
        <f>IF(tblHR[[#This Row],[Age]]&lt;26,"18-25",IF(tblHR[[#This Row],[Age]]&lt;36,"26-35",IF(tblHR[[#This Row],[Age]]&lt;46,"36-45",IF(tblHR[[#This Row],[Age]]&lt;56,"46-55","56+"))))</f>
        <v>26-35</v>
      </c>
    </row>
    <row r="1277" spans="1:37"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s="1">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s="2">
        <f>IF(tblHR[[#This Row],[Attrition]]="Yes",1,0)</f>
        <v>0</v>
      </c>
      <c r="AK1277" t="str">
        <f>IF(tblHR[[#This Row],[Age]]&lt;26,"18-25",IF(tblHR[[#This Row],[Age]]&lt;36,"26-35",IF(tblHR[[#This Row],[Age]]&lt;46,"36-45",IF(tblHR[[#This Row],[Age]]&lt;56,"46-55","56+"))))</f>
        <v>46-55</v>
      </c>
    </row>
    <row r="1278" spans="1:37"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s="1">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s="2">
        <f>IF(tblHR[[#This Row],[Attrition]]="Yes",1,0)</f>
        <v>0</v>
      </c>
      <c r="AK1278" t="str">
        <f>IF(tblHR[[#This Row],[Age]]&lt;26,"18-25",IF(tblHR[[#This Row],[Age]]&lt;36,"26-35",IF(tblHR[[#This Row],[Age]]&lt;46,"36-45",IF(tblHR[[#This Row],[Age]]&lt;56,"46-55","56+"))))</f>
        <v>36-45</v>
      </c>
    </row>
    <row r="1279" spans="1:37"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s="1">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s="2">
        <f>IF(tblHR[[#This Row],[Attrition]]="Yes",1,0)</f>
        <v>0</v>
      </c>
      <c r="AK1279" t="str">
        <f>IF(tblHR[[#This Row],[Age]]&lt;26,"18-25",IF(tblHR[[#This Row],[Age]]&lt;36,"26-35",IF(tblHR[[#This Row],[Age]]&lt;46,"36-45",IF(tblHR[[#This Row],[Age]]&lt;56,"46-55","56+"))))</f>
        <v>46-55</v>
      </c>
    </row>
    <row r="1280" spans="1:37"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s="1">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s="2">
        <f>IF(tblHR[[#This Row],[Attrition]]="Yes",1,0)</f>
        <v>0</v>
      </c>
      <c r="AK1280" t="str">
        <f>IF(tblHR[[#This Row],[Age]]&lt;26,"18-25",IF(tblHR[[#This Row],[Age]]&lt;36,"26-35",IF(tblHR[[#This Row],[Age]]&lt;46,"36-45",IF(tblHR[[#This Row],[Age]]&lt;56,"46-55","56+"))))</f>
        <v>36-45</v>
      </c>
    </row>
    <row r="1281" spans="1:37"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s="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s="2">
        <f>IF(tblHR[[#This Row],[Attrition]]="Yes",1,0)</f>
        <v>1</v>
      </c>
      <c r="AK1281" t="str">
        <f>IF(tblHR[[#This Row],[Age]]&lt;26,"18-25",IF(tblHR[[#This Row],[Age]]&lt;36,"26-35",IF(tblHR[[#This Row],[Age]]&lt;46,"36-45",IF(tblHR[[#This Row],[Age]]&lt;56,"46-55","56+"))))</f>
        <v>36-45</v>
      </c>
    </row>
    <row r="1282" spans="1:37"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s="1">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s="2">
        <f>IF(tblHR[[#This Row],[Attrition]]="Yes",1,0)</f>
        <v>0</v>
      </c>
      <c r="AK1282" t="str">
        <f>IF(tblHR[[#This Row],[Age]]&lt;26,"18-25",IF(tblHR[[#This Row],[Age]]&lt;36,"26-35",IF(tblHR[[#This Row],[Age]]&lt;46,"36-45",IF(tblHR[[#This Row],[Age]]&lt;56,"46-55","56+"))))</f>
        <v>36-45</v>
      </c>
    </row>
    <row r="1283" spans="1:37"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s="1">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s="2">
        <f>IF(tblHR[[#This Row],[Attrition]]="Yes",1,0)</f>
        <v>1</v>
      </c>
      <c r="AK1283" t="str">
        <f>IF(tblHR[[#This Row],[Age]]&lt;26,"18-25",IF(tblHR[[#This Row],[Age]]&lt;36,"26-35",IF(tblHR[[#This Row],[Age]]&lt;46,"36-45",IF(tblHR[[#This Row],[Age]]&lt;56,"46-55","56+"))))</f>
        <v>26-35</v>
      </c>
    </row>
    <row r="1284" spans="1:37"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s="1">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s="2">
        <f>IF(tblHR[[#This Row],[Attrition]]="Yes",1,0)</f>
        <v>0</v>
      </c>
      <c r="AK1284" t="str">
        <f>IF(tblHR[[#This Row],[Age]]&lt;26,"18-25",IF(tblHR[[#This Row],[Age]]&lt;36,"26-35",IF(tblHR[[#This Row],[Age]]&lt;46,"36-45",IF(tblHR[[#This Row],[Age]]&lt;56,"46-55","56+"))))</f>
        <v>26-35</v>
      </c>
    </row>
    <row r="1285" spans="1:37"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s="1">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s="2">
        <f>IF(tblHR[[#This Row],[Attrition]]="Yes",1,0)</f>
        <v>0</v>
      </c>
      <c r="AK1285" t="str">
        <f>IF(tblHR[[#This Row],[Age]]&lt;26,"18-25",IF(tblHR[[#This Row],[Age]]&lt;36,"26-35",IF(tblHR[[#This Row],[Age]]&lt;46,"36-45",IF(tblHR[[#This Row],[Age]]&lt;56,"46-55","56+"))))</f>
        <v>26-35</v>
      </c>
    </row>
    <row r="1286" spans="1:37"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s="1">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s="2">
        <f>IF(tblHR[[#This Row],[Attrition]]="Yes",1,0)</f>
        <v>0</v>
      </c>
      <c r="AK1286" t="str">
        <f>IF(tblHR[[#This Row],[Age]]&lt;26,"18-25",IF(tblHR[[#This Row],[Age]]&lt;36,"26-35",IF(tblHR[[#This Row],[Age]]&lt;46,"36-45",IF(tblHR[[#This Row],[Age]]&lt;56,"46-55","56+"))))</f>
        <v>36-45</v>
      </c>
    </row>
    <row r="1287" spans="1:37"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s="1">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s="2">
        <f>IF(tblHR[[#This Row],[Attrition]]="Yes",1,0)</f>
        <v>0</v>
      </c>
      <c r="AK1287" t="str">
        <f>IF(tblHR[[#This Row],[Age]]&lt;26,"18-25",IF(tblHR[[#This Row],[Age]]&lt;36,"26-35",IF(tblHR[[#This Row],[Age]]&lt;46,"36-45",IF(tblHR[[#This Row],[Age]]&lt;56,"46-55","56+"))))</f>
        <v>46-55</v>
      </c>
    </row>
    <row r="1288" spans="1:37"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s="1">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s="2">
        <f>IF(tblHR[[#This Row],[Attrition]]="Yes",1,0)</f>
        <v>0</v>
      </c>
      <c r="AK1288" t="str">
        <f>IF(tblHR[[#This Row],[Age]]&lt;26,"18-25",IF(tblHR[[#This Row],[Age]]&lt;36,"26-35",IF(tblHR[[#This Row],[Age]]&lt;46,"36-45",IF(tblHR[[#This Row],[Age]]&lt;56,"46-55","56+"))))</f>
        <v>36-45</v>
      </c>
    </row>
    <row r="1289" spans="1:37"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s="1">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s="2">
        <f>IF(tblHR[[#This Row],[Attrition]]="Yes",1,0)</f>
        <v>0</v>
      </c>
      <c r="AK1289" t="str">
        <f>IF(tblHR[[#This Row],[Age]]&lt;26,"18-25",IF(tblHR[[#This Row],[Age]]&lt;36,"26-35",IF(tblHR[[#This Row],[Age]]&lt;46,"36-45",IF(tblHR[[#This Row],[Age]]&lt;56,"46-55","56+"))))</f>
        <v>36-45</v>
      </c>
    </row>
    <row r="1290" spans="1:37"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s="1">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s="2">
        <f>IF(tblHR[[#This Row],[Attrition]]="Yes",1,0)</f>
        <v>0</v>
      </c>
      <c r="AK1290" t="str">
        <f>IF(tblHR[[#This Row],[Age]]&lt;26,"18-25",IF(tblHR[[#This Row],[Age]]&lt;36,"26-35",IF(tblHR[[#This Row],[Age]]&lt;46,"36-45",IF(tblHR[[#This Row],[Age]]&lt;56,"46-55","56+"))))</f>
        <v>26-35</v>
      </c>
    </row>
    <row r="1291" spans="1:37"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s="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s="2">
        <f>IF(tblHR[[#This Row],[Attrition]]="Yes",1,0)</f>
        <v>0</v>
      </c>
      <c r="AK1291" t="str">
        <f>IF(tblHR[[#This Row],[Age]]&lt;26,"18-25",IF(tblHR[[#This Row],[Age]]&lt;36,"26-35",IF(tblHR[[#This Row],[Age]]&lt;46,"36-45",IF(tblHR[[#This Row],[Age]]&lt;56,"46-55","56+"))))</f>
        <v>36-45</v>
      </c>
    </row>
    <row r="1292" spans="1:37"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s="1">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s="2">
        <f>IF(tblHR[[#This Row],[Attrition]]="Yes",1,0)</f>
        <v>1</v>
      </c>
      <c r="AK1292" t="str">
        <f>IF(tblHR[[#This Row],[Age]]&lt;26,"18-25",IF(tblHR[[#This Row],[Age]]&lt;36,"26-35",IF(tblHR[[#This Row],[Age]]&lt;46,"36-45",IF(tblHR[[#This Row],[Age]]&lt;56,"46-55","56+"))))</f>
        <v>26-35</v>
      </c>
    </row>
    <row r="1293" spans="1:37"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s="1">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s="2">
        <f>IF(tblHR[[#This Row],[Attrition]]="Yes",1,0)</f>
        <v>1</v>
      </c>
      <c r="AK1293" t="str">
        <f>IF(tblHR[[#This Row],[Age]]&lt;26,"18-25",IF(tblHR[[#This Row],[Age]]&lt;36,"26-35",IF(tblHR[[#This Row],[Age]]&lt;46,"36-45",IF(tblHR[[#This Row],[Age]]&lt;56,"46-55","56+"))))</f>
        <v>36-45</v>
      </c>
    </row>
    <row r="1294" spans="1:37"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s="1">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s="2">
        <f>IF(tblHR[[#This Row],[Attrition]]="Yes",1,0)</f>
        <v>0</v>
      </c>
      <c r="AK1294" t="str">
        <f>IF(tblHR[[#This Row],[Age]]&lt;26,"18-25",IF(tblHR[[#This Row],[Age]]&lt;36,"26-35",IF(tblHR[[#This Row],[Age]]&lt;46,"36-45",IF(tblHR[[#This Row],[Age]]&lt;56,"46-55","56+"))))</f>
        <v>36-45</v>
      </c>
    </row>
    <row r="1295" spans="1:37"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s="1">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s="2">
        <f>IF(tblHR[[#This Row],[Attrition]]="Yes",1,0)</f>
        <v>0</v>
      </c>
      <c r="AK1295" t="str">
        <f>IF(tblHR[[#This Row],[Age]]&lt;26,"18-25",IF(tblHR[[#This Row],[Age]]&lt;36,"26-35",IF(tblHR[[#This Row],[Age]]&lt;46,"36-45",IF(tblHR[[#This Row],[Age]]&lt;56,"46-55","56+"))))</f>
        <v>36-45</v>
      </c>
    </row>
    <row r="1296" spans="1:37"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s="1">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s="2">
        <f>IF(tblHR[[#This Row],[Attrition]]="Yes",1,0)</f>
        <v>0</v>
      </c>
      <c r="AK1296" t="str">
        <f>IF(tblHR[[#This Row],[Age]]&lt;26,"18-25",IF(tblHR[[#This Row],[Age]]&lt;36,"26-35",IF(tblHR[[#This Row],[Age]]&lt;46,"36-45",IF(tblHR[[#This Row],[Age]]&lt;56,"46-55","56+"))))</f>
        <v>36-45</v>
      </c>
    </row>
    <row r="1297" spans="1:37"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s="1">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s="2">
        <f>IF(tblHR[[#This Row],[Attrition]]="Yes",1,0)</f>
        <v>0</v>
      </c>
      <c r="AK1297" t="str">
        <f>IF(tblHR[[#This Row],[Age]]&lt;26,"18-25",IF(tblHR[[#This Row],[Age]]&lt;36,"26-35",IF(tblHR[[#This Row],[Age]]&lt;46,"36-45",IF(tblHR[[#This Row],[Age]]&lt;56,"46-55","56+"))))</f>
        <v>36-45</v>
      </c>
    </row>
    <row r="1298" spans="1:37"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s="1">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s="2">
        <f>IF(tblHR[[#This Row],[Attrition]]="Yes",1,0)</f>
        <v>0</v>
      </c>
      <c r="AK1298" t="str">
        <f>IF(tblHR[[#This Row],[Age]]&lt;26,"18-25",IF(tblHR[[#This Row],[Age]]&lt;36,"26-35",IF(tblHR[[#This Row],[Age]]&lt;46,"36-45",IF(tblHR[[#This Row],[Age]]&lt;56,"46-55","56+"))))</f>
        <v>26-35</v>
      </c>
    </row>
    <row r="1299" spans="1:37"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s="1">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s="2">
        <f>IF(tblHR[[#This Row],[Attrition]]="Yes",1,0)</f>
        <v>1</v>
      </c>
      <c r="AK1299" t="str">
        <f>IF(tblHR[[#This Row],[Age]]&lt;26,"18-25",IF(tblHR[[#This Row],[Age]]&lt;36,"26-35",IF(tblHR[[#This Row],[Age]]&lt;46,"36-45",IF(tblHR[[#This Row],[Age]]&lt;56,"46-55","56+"))))</f>
        <v>26-35</v>
      </c>
    </row>
    <row r="1300" spans="1:37"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s="1">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s="2">
        <f>IF(tblHR[[#This Row],[Attrition]]="Yes",1,0)</f>
        <v>1</v>
      </c>
      <c r="AK1300" t="str">
        <f>IF(tblHR[[#This Row],[Age]]&lt;26,"18-25",IF(tblHR[[#This Row],[Age]]&lt;36,"26-35",IF(tblHR[[#This Row],[Age]]&lt;46,"36-45",IF(tblHR[[#This Row],[Age]]&lt;56,"46-55","56+"))))</f>
        <v>46-55</v>
      </c>
    </row>
    <row r="1301" spans="1:37"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s="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s="2">
        <f>IF(tblHR[[#This Row],[Attrition]]="Yes",1,0)</f>
        <v>0</v>
      </c>
      <c r="AK1301" t="str">
        <f>IF(tblHR[[#This Row],[Age]]&lt;26,"18-25",IF(tblHR[[#This Row],[Age]]&lt;36,"26-35",IF(tblHR[[#This Row],[Age]]&lt;46,"36-45",IF(tblHR[[#This Row],[Age]]&lt;56,"46-55","56+"))))</f>
        <v>36-45</v>
      </c>
    </row>
    <row r="1302" spans="1:37"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s="1">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s="2">
        <f>IF(tblHR[[#This Row],[Attrition]]="Yes",1,0)</f>
        <v>0</v>
      </c>
      <c r="AK1302" t="str">
        <f>IF(tblHR[[#This Row],[Age]]&lt;26,"18-25",IF(tblHR[[#This Row],[Age]]&lt;36,"26-35",IF(tblHR[[#This Row],[Age]]&lt;46,"36-45",IF(tblHR[[#This Row],[Age]]&lt;56,"46-55","56+"))))</f>
        <v>26-35</v>
      </c>
    </row>
    <row r="1303" spans="1:37"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s="1">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s="2">
        <f>IF(tblHR[[#This Row],[Attrition]]="Yes",1,0)</f>
        <v>0</v>
      </c>
      <c r="AK1303" t="str">
        <f>IF(tblHR[[#This Row],[Age]]&lt;26,"18-25",IF(tblHR[[#This Row],[Age]]&lt;36,"26-35",IF(tblHR[[#This Row],[Age]]&lt;46,"36-45",IF(tblHR[[#This Row],[Age]]&lt;56,"46-55","56+"))))</f>
        <v>56+</v>
      </c>
    </row>
    <row r="1304" spans="1:37"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s="1">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s="2">
        <f>IF(tblHR[[#This Row],[Attrition]]="Yes",1,0)</f>
        <v>0</v>
      </c>
      <c r="AK1304" t="str">
        <f>IF(tblHR[[#This Row],[Age]]&lt;26,"18-25",IF(tblHR[[#This Row],[Age]]&lt;36,"26-35",IF(tblHR[[#This Row],[Age]]&lt;46,"36-45",IF(tblHR[[#This Row],[Age]]&lt;56,"46-55","56+"))))</f>
        <v>26-35</v>
      </c>
    </row>
    <row r="1305" spans="1:37"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s="1">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s="2">
        <f>IF(tblHR[[#This Row],[Attrition]]="Yes",1,0)</f>
        <v>0</v>
      </c>
      <c r="AK1305" t="str">
        <f>IF(tblHR[[#This Row],[Age]]&lt;26,"18-25",IF(tblHR[[#This Row],[Age]]&lt;36,"26-35",IF(tblHR[[#This Row],[Age]]&lt;46,"36-45",IF(tblHR[[#This Row],[Age]]&lt;56,"46-55","56+"))))</f>
        <v>46-55</v>
      </c>
    </row>
    <row r="1306" spans="1:37"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s="1">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s="2">
        <f>IF(tblHR[[#This Row],[Attrition]]="Yes",1,0)</f>
        <v>0</v>
      </c>
      <c r="AK1306" t="str">
        <f>IF(tblHR[[#This Row],[Age]]&lt;26,"18-25",IF(tblHR[[#This Row],[Age]]&lt;36,"26-35",IF(tblHR[[#This Row],[Age]]&lt;46,"36-45",IF(tblHR[[#This Row],[Age]]&lt;56,"46-55","56+"))))</f>
        <v>36-45</v>
      </c>
    </row>
    <row r="1307" spans="1:37"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s="1">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s="2">
        <f>IF(tblHR[[#This Row],[Attrition]]="Yes",1,0)</f>
        <v>0</v>
      </c>
      <c r="AK1307" t="str">
        <f>IF(tblHR[[#This Row],[Age]]&lt;26,"18-25",IF(tblHR[[#This Row],[Age]]&lt;36,"26-35",IF(tblHR[[#This Row],[Age]]&lt;46,"36-45",IF(tblHR[[#This Row],[Age]]&lt;56,"46-55","56+"))))</f>
        <v>46-55</v>
      </c>
    </row>
    <row r="1308" spans="1:37"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s="1">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s="2">
        <f>IF(tblHR[[#This Row],[Attrition]]="Yes",1,0)</f>
        <v>0</v>
      </c>
      <c r="AK1308" t="str">
        <f>IF(tblHR[[#This Row],[Age]]&lt;26,"18-25",IF(tblHR[[#This Row],[Age]]&lt;36,"26-35",IF(tblHR[[#This Row],[Age]]&lt;46,"36-45",IF(tblHR[[#This Row],[Age]]&lt;56,"46-55","56+"))))</f>
        <v>26-35</v>
      </c>
    </row>
    <row r="1309" spans="1:37"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s="1">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s="2">
        <f>IF(tblHR[[#This Row],[Attrition]]="Yes",1,0)</f>
        <v>0</v>
      </c>
      <c r="AK1309" t="str">
        <f>IF(tblHR[[#This Row],[Age]]&lt;26,"18-25",IF(tblHR[[#This Row],[Age]]&lt;36,"26-35",IF(tblHR[[#This Row],[Age]]&lt;46,"36-45",IF(tblHR[[#This Row],[Age]]&lt;56,"46-55","56+"))))</f>
        <v>26-35</v>
      </c>
    </row>
    <row r="1310" spans="1:37"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s="1">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s="2">
        <f>IF(tblHR[[#This Row],[Attrition]]="Yes",1,0)</f>
        <v>0</v>
      </c>
      <c r="AK1310" t="str">
        <f>IF(tblHR[[#This Row],[Age]]&lt;26,"18-25",IF(tblHR[[#This Row],[Age]]&lt;36,"26-35",IF(tblHR[[#This Row],[Age]]&lt;46,"36-45",IF(tblHR[[#This Row],[Age]]&lt;56,"46-55","56+"))))</f>
        <v>36-45</v>
      </c>
    </row>
    <row r="1311" spans="1:37"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s="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s="2">
        <f>IF(tblHR[[#This Row],[Attrition]]="Yes",1,0)</f>
        <v>0</v>
      </c>
      <c r="AK1311" t="str">
        <f>IF(tblHR[[#This Row],[Age]]&lt;26,"18-25",IF(tblHR[[#This Row],[Age]]&lt;36,"26-35",IF(tblHR[[#This Row],[Age]]&lt;46,"36-45",IF(tblHR[[#This Row],[Age]]&lt;56,"46-55","56+"))))</f>
        <v>26-35</v>
      </c>
    </row>
    <row r="1312" spans="1:37"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s="1">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s="2">
        <f>IF(tblHR[[#This Row],[Attrition]]="Yes",1,0)</f>
        <v>0</v>
      </c>
      <c r="AK1312" t="str">
        <f>IF(tblHR[[#This Row],[Age]]&lt;26,"18-25",IF(tblHR[[#This Row],[Age]]&lt;36,"26-35",IF(tblHR[[#This Row],[Age]]&lt;46,"36-45",IF(tblHR[[#This Row],[Age]]&lt;56,"46-55","56+"))))</f>
        <v>56+</v>
      </c>
    </row>
    <row r="1313" spans="1:37"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s="1">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s="2">
        <f>IF(tblHR[[#This Row],[Attrition]]="Yes",1,0)</f>
        <v>0</v>
      </c>
      <c r="AK1313" t="str">
        <f>IF(tblHR[[#This Row],[Age]]&lt;26,"18-25",IF(tblHR[[#This Row],[Age]]&lt;36,"26-35",IF(tblHR[[#This Row],[Age]]&lt;46,"36-45",IF(tblHR[[#This Row],[Age]]&lt;56,"46-55","56+"))))</f>
        <v>18-25</v>
      </c>
    </row>
    <row r="1314" spans="1:37"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s="1">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s="2">
        <f>IF(tblHR[[#This Row],[Attrition]]="Yes",1,0)</f>
        <v>1</v>
      </c>
      <c r="AK1314" t="str">
        <f>IF(tblHR[[#This Row],[Age]]&lt;26,"18-25",IF(tblHR[[#This Row],[Age]]&lt;36,"26-35",IF(tblHR[[#This Row],[Age]]&lt;46,"36-45",IF(tblHR[[#This Row],[Age]]&lt;56,"46-55","56+"))))</f>
        <v>26-35</v>
      </c>
    </row>
    <row r="1315" spans="1:37"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s="1">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s="2">
        <f>IF(tblHR[[#This Row],[Attrition]]="Yes",1,0)</f>
        <v>1</v>
      </c>
      <c r="AK1315" t="str">
        <f>IF(tblHR[[#This Row],[Age]]&lt;26,"18-25",IF(tblHR[[#This Row],[Age]]&lt;36,"26-35",IF(tblHR[[#This Row],[Age]]&lt;46,"36-45",IF(tblHR[[#This Row],[Age]]&lt;56,"46-55","56+"))))</f>
        <v>26-35</v>
      </c>
    </row>
    <row r="1316" spans="1:37"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s="1">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s="2">
        <f>IF(tblHR[[#This Row],[Attrition]]="Yes",1,0)</f>
        <v>0</v>
      </c>
      <c r="AK1316" t="str">
        <f>IF(tblHR[[#This Row],[Age]]&lt;26,"18-25",IF(tblHR[[#This Row],[Age]]&lt;36,"26-35",IF(tblHR[[#This Row],[Age]]&lt;46,"36-45",IF(tblHR[[#This Row],[Age]]&lt;56,"46-55","56+"))))</f>
        <v>36-45</v>
      </c>
    </row>
    <row r="1317" spans="1:37"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s="1">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s="2">
        <f>IF(tblHR[[#This Row],[Attrition]]="Yes",1,0)</f>
        <v>0</v>
      </c>
      <c r="AK1317" t="str">
        <f>IF(tblHR[[#This Row],[Age]]&lt;26,"18-25",IF(tblHR[[#This Row],[Age]]&lt;36,"26-35",IF(tblHR[[#This Row],[Age]]&lt;46,"36-45",IF(tblHR[[#This Row],[Age]]&lt;56,"46-55","56+"))))</f>
        <v>36-45</v>
      </c>
    </row>
    <row r="1318" spans="1:37"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s="1">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s="2">
        <f>IF(tblHR[[#This Row],[Attrition]]="Yes",1,0)</f>
        <v>0</v>
      </c>
      <c r="AK1318" t="str">
        <f>IF(tblHR[[#This Row],[Age]]&lt;26,"18-25",IF(tblHR[[#This Row],[Age]]&lt;36,"26-35",IF(tblHR[[#This Row],[Age]]&lt;46,"36-45",IF(tblHR[[#This Row],[Age]]&lt;56,"46-55","56+"))))</f>
        <v>36-45</v>
      </c>
    </row>
    <row r="1319" spans="1:37"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s="1">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s="2">
        <f>IF(tblHR[[#This Row],[Attrition]]="Yes",1,0)</f>
        <v>0</v>
      </c>
      <c r="AK1319" t="str">
        <f>IF(tblHR[[#This Row],[Age]]&lt;26,"18-25",IF(tblHR[[#This Row],[Age]]&lt;36,"26-35",IF(tblHR[[#This Row],[Age]]&lt;46,"36-45",IF(tblHR[[#This Row],[Age]]&lt;56,"46-55","56+"))))</f>
        <v>26-35</v>
      </c>
    </row>
    <row r="1320" spans="1:37"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s="1">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s="2">
        <f>IF(tblHR[[#This Row],[Attrition]]="Yes",1,0)</f>
        <v>0</v>
      </c>
      <c r="AK1320" t="str">
        <f>IF(tblHR[[#This Row],[Age]]&lt;26,"18-25",IF(tblHR[[#This Row],[Age]]&lt;36,"26-35",IF(tblHR[[#This Row],[Age]]&lt;46,"36-45",IF(tblHR[[#This Row],[Age]]&lt;56,"46-55","56+"))))</f>
        <v>26-35</v>
      </c>
    </row>
    <row r="1321" spans="1:37"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s="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s="2">
        <f>IF(tblHR[[#This Row],[Attrition]]="Yes",1,0)</f>
        <v>0</v>
      </c>
      <c r="AK1321" t="str">
        <f>IF(tblHR[[#This Row],[Age]]&lt;26,"18-25",IF(tblHR[[#This Row],[Age]]&lt;36,"26-35",IF(tblHR[[#This Row],[Age]]&lt;46,"36-45",IF(tblHR[[#This Row],[Age]]&lt;56,"46-55","56+"))))</f>
        <v>26-35</v>
      </c>
    </row>
    <row r="1322" spans="1:37"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s="1">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s="2">
        <f>IF(tblHR[[#This Row],[Attrition]]="Yes",1,0)</f>
        <v>0</v>
      </c>
      <c r="AK1322" t="str">
        <f>IF(tblHR[[#This Row],[Age]]&lt;26,"18-25",IF(tblHR[[#This Row],[Age]]&lt;36,"26-35",IF(tblHR[[#This Row],[Age]]&lt;46,"36-45",IF(tblHR[[#This Row],[Age]]&lt;56,"46-55","56+"))))</f>
        <v>36-45</v>
      </c>
    </row>
    <row r="1323" spans="1:37"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s="1">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s="2">
        <f>IF(tblHR[[#This Row],[Attrition]]="Yes",1,0)</f>
        <v>0</v>
      </c>
      <c r="AK1323" t="str">
        <f>IF(tblHR[[#This Row],[Age]]&lt;26,"18-25",IF(tblHR[[#This Row],[Age]]&lt;36,"26-35",IF(tblHR[[#This Row],[Age]]&lt;46,"36-45",IF(tblHR[[#This Row],[Age]]&lt;56,"46-55","56+"))))</f>
        <v>46-55</v>
      </c>
    </row>
    <row r="1324" spans="1:37"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s="1">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s="2">
        <f>IF(tblHR[[#This Row],[Attrition]]="Yes",1,0)</f>
        <v>0</v>
      </c>
      <c r="AK1324" t="str">
        <f>IF(tblHR[[#This Row],[Age]]&lt;26,"18-25",IF(tblHR[[#This Row],[Age]]&lt;36,"26-35",IF(tblHR[[#This Row],[Age]]&lt;46,"36-45",IF(tblHR[[#This Row],[Age]]&lt;56,"46-55","56+"))))</f>
        <v>46-55</v>
      </c>
    </row>
    <row r="1325" spans="1:37"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s="1">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s="2">
        <f>IF(tblHR[[#This Row],[Attrition]]="Yes",1,0)</f>
        <v>0</v>
      </c>
      <c r="AK1325" t="str">
        <f>IF(tblHR[[#This Row],[Age]]&lt;26,"18-25",IF(tblHR[[#This Row],[Age]]&lt;36,"26-35",IF(tblHR[[#This Row],[Age]]&lt;46,"36-45",IF(tblHR[[#This Row],[Age]]&lt;56,"46-55","56+"))))</f>
        <v>26-35</v>
      </c>
    </row>
    <row r="1326" spans="1:37"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s="1">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s="2">
        <f>IF(tblHR[[#This Row],[Attrition]]="Yes",1,0)</f>
        <v>0</v>
      </c>
      <c r="AK1326" t="str">
        <f>IF(tblHR[[#This Row],[Age]]&lt;26,"18-25",IF(tblHR[[#This Row],[Age]]&lt;36,"26-35",IF(tblHR[[#This Row],[Age]]&lt;46,"36-45",IF(tblHR[[#This Row],[Age]]&lt;56,"46-55","56+"))))</f>
        <v>26-35</v>
      </c>
    </row>
    <row r="1327" spans="1:37"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s="1">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s="2">
        <f>IF(tblHR[[#This Row],[Attrition]]="Yes",1,0)</f>
        <v>0</v>
      </c>
      <c r="AK1327" t="str">
        <f>IF(tblHR[[#This Row],[Age]]&lt;26,"18-25",IF(tblHR[[#This Row],[Age]]&lt;36,"26-35",IF(tblHR[[#This Row],[Age]]&lt;46,"36-45",IF(tblHR[[#This Row],[Age]]&lt;56,"46-55","56+"))))</f>
        <v>36-45</v>
      </c>
    </row>
    <row r="1328" spans="1:37"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s="1">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s="2">
        <f>IF(tblHR[[#This Row],[Attrition]]="Yes",1,0)</f>
        <v>1</v>
      </c>
      <c r="AK1328" t="str">
        <f>IF(tblHR[[#This Row],[Age]]&lt;26,"18-25",IF(tblHR[[#This Row],[Age]]&lt;36,"26-35",IF(tblHR[[#This Row],[Age]]&lt;46,"36-45",IF(tblHR[[#This Row],[Age]]&lt;56,"46-55","56+"))))</f>
        <v>26-35</v>
      </c>
    </row>
    <row r="1329" spans="1:37"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s="1">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s="2">
        <f>IF(tblHR[[#This Row],[Attrition]]="Yes",1,0)</f>
        <v>0</v>
      </c>
      <c r="AK1329" t="str">
        <f>IF(tblHR[[#This Row],[Age]]&lt;26,"18-25",IF(tblHR[[#This Row],[Age]]&lt;36,"26-35",IF(tblHR[[#This Row],[Age]]&lt;46,"36-45",IF(tblHR[[#This Row],[Age]]&lt;56,"46-55","56+"))))</f>
        <v>46-55</v>
      </c>
    </row>
    <row r="1330" spans="1:37"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s="1">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s="2">
        <f>IF(tblHR[[#This Row],[Attrition]]="Yes",1,0)</f>
        <v>0</v>
      </c>
      <c r="AK1330" t="str">
        <f>IF(tblHR[[#This Row],[Age]]&lt;26,"18-25",IF(tblHR[[#This Row],[Age]]&lt;36,"26-35",IF(tblHR[[#This Row],[Age]]&lt;46,"36-45",IF(tblHR[[#This Row],[Age]]&lt;56,"46-55","56+"))))</f>
        <v>26-35</v>
      </c>
    </row>
    <row r="1331" spans="1:37"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s="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s="2">
        <f>IF(tblHR[[#This Row],[Attrition]]="Yes",1,0)</f>
        <v>0</v>
      </c>
      <c r="AK1331" t="str">
        <f>IF(tblHR[[#This Row],[Age]]&lt;26,"18-25",IF(tblHR[[#This Row],[Age]]&lt;36,"26-35",IF(tblHR[[#This Row],[Age]]&lt;46,"36-45",IF(tblHR[[#This Row],[Age]]&lt;56,"46-55","56+"))))</f>
        <v>26-35</v>
      </c>
    </row>
    <row r="1332" spans="1:37"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s="1">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s="2">
        <f>IF(tblHR[[#This Row],[Attrition]]="Yes",1,0)</f>
        <v>0</v>
      </c>
      <c r="AK1332" t="str">
        <f>IF(tblHR[[#This Row],[Age]]&lt;26,"18-25",IF(tblHR[[#This Row],[Age]]&lt;36,"26-35",IF(tblHR[[#This Row],[Age]]&lt;46,"36-45",IF(tblHR[[#This Row],[Age]]&lt;56,"46-55","56+"))))</f>
        <v>36-45</v>
      </c>
    </row>
    <row r="1333" spans="1:37"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s="1">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s="2">
        <f>IF(tblHR[[#This Row],[Attrition]]="Yes",1,0)</f>
        <v>0</v>
      </c>
      <c r="AK1333" t="str">
        <f>IF(tblHR[[#This Row],[Age]]&lt;26,"18-25",IF(tblHR[[#This Row],[Age]]&lt;36,"26-35",IF(tblHR[[#This Row],[Age]]&lt;46,"36-45",IF(tblHR[[#This Row],[Age]]&lt;56,"46-55","56+"))))</f>
        <v>46-55</v>
      </c>
    </row>
    <row r="1334" spans="1:37"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s="1">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s="2">
        <f>IF(tblHR[[#This Row],[Attrition]]="Yes",1,0)</f>
        <v>1</v>
      </c>
      <c r="AK1334" t="str">
        <f>IF(tblHR[[#This Row],[Age]]&lt;26,"18-25",IF(tblHR[[#This Row],[Age]]&lt;36,"26-35",IF(tblHR[[#This Row],[Age]]&lt;46,"36-45",IF(tblHR[[#This Row],[Age]]&lt;56,"46-55","56+"))))</f>
        <v>26-35</v>
      </c>
    </row>
    <row r="1335" spans="1:37"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s="1">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s="2">
        <f>IF(tblHR[[#This Row],[Attrition]]="Yes",1,0)</f>
        <v>1</v>
      </c>
      <c r="AK1335" t="str">
        <f>IF(tblHR[[#This Row],[Age]]&lt;26,"18-25",IF(tblHR[[#This Row],[Age]]&lt;36,"26-35",IF(tblHR[[#This Row],[Age]]&lt;46,"36-45",IF(tblHR[[#This Row],[Age]]&lt;56,"46-55","56+"))))</f>
        <v>46-55</v>
      </c>
    </row>
    <row r="1336" spans="1:37"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s="1">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s="2">
        <f>IF(tblHR[[#This Row],[Attrition]]="Yes",1,0)</f>
        <v>0</v>
      </c>
      <c r="AK1336" t="str">
        <f>IF(tblHR[[#This Row],[Age]]&lt;26,"18-25",IF(tblHR[[#This Row],[Age]]&lt;36,"26-35",IF(tblHR[[#This Row],[Age]]&lt;46,"36-45",IF(tblHR[[#This Row],[Age]]&lt;56,"46-55","56+"))))</f>
        <v>26-35</v>
      </c>
    </row>
    <row r="1337" spans="1:37"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s="1">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s="2">
        <f>IF(tblHR[[#This Row],[Attrition]]="Yes",1,0)</f>
        <v>0</v>
      </c>
      <c r="AK1337" t="str">
        <f>IF(tblHR[[#This Row],[Age]]&lt;26,"18-25",IF(tblHR[[#This Row],[Age]]&lt;36,"26-35",IF(tblHR[[#This Row],[Age]]&lt;46,"36-45",IF(tblHR[[#This Row],[Age]]&lt;56,"46-55","56+"))))</f>
        <v>36-45</v>
      </c>
    </row>
    <row r="1338" spans="1:37"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s="1">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s="2">
        <f>IF(tblHR[[#This Row],[Attrition]]="Yes",1,0)</f>
        <v>0</v>
      </c>
      <c r="AK1338" t="str">
        <f>IF(tblHR[[#This Row],[Age]]&lt;26,"18-25",IF(tblHR[[#This Row],[Age]]&lt;36,"26-35",IF(tblHR[[#This Row],[Age]]&lt;46,"36-45",IF(tblHR[[#This Row],[Age]]&lt;56,"46-55","56+"))))</f>
        <v>46-55</v>
      </c>
    </row>
    <row r="1339" spans="1:37"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s="1">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s="2">
        <f>IF(tblHR[[#This Row],[Attrition]]="Yes",1,0)</f>
        <v>0</v>
      </c>
      <c r="AK1339" t="str">
        <f>IF(tblHR[[#This Row],[Age]]&lt;26,"18-25",IF(tblHR[[#This Row],[Age]]&lt;36,"26-35",IF(tblHR[[#This Row],[Age]]&lt;46,"36-45",IF(tblHR[[#This Row],[Age]]&lt;56,"46-55","56+"))))</f>
        <v>26-35</v>
      </c>
    </row>
    <row r="1340" spans="1:37"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s="1">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s="2">
        <f>IF(tblHR[[#This Row],[Attrition]]="Yes",1,0)</f>
        <v>1</v>
      </c>
      <c r="AK1340" t="str">
        <f>IF(tblHR[[#This Row],[Age]]&lt;26,"18-25",IF(tblHR[[#This Row],[Age]]&lt;36,"26-35",IF(tblHR[[#This Row],[Age]]&lt;46,"36-45",IF(tblHR[[#This Row],[Age]]&lt;56,"46-55","56+"))))</f>
        <v>26-35</v>
      </c>
    </row>
    <row r="1341" spans="1:37"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s="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s="2">
        <f>IF(tblHR[[#This Row],[Attrition]]="Yes",1,0)</f>
        <v>1</v>
      </c>
      <c r="AK1341" t="str">
        <f>IF(tblHR[[#This Row],[Age]]&lt;26,"18-25",IF(tblHR[[#This Row],[Age]]&lt;36,"26-35",IF(tblHR[[#This Row],[Age]]&lt;46,"36-45",IF(tblHR[[#This Row],[Age]]&lt;56,"46-55","56+"))))</f>
        <v>18-25</v>
      </c>
    </row>
    <row r="1342" spans="1:37"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s="1">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s="2">
        <f>IF(tblHR[[#This Row],[Attrition]]="Yes",1,0)</f>
        <v>0</v>
      </c>
      <c r="AK1342" t="str">
        <f>IF(tblHR[[#This Row],[Age]]&lt;26,"18-25",IF(tblHR[[#This Row],[Age]]&lt;36,"26-35",IF(tblHR[[#This Row],[Age]]&lt;46,"36-45",IF(tblHR[[#This Row],[Age]]&lt;56,"46-55","56+"))))</f>
        <v>36-45</v>
      </c>
    </row>
    <row r="1343" spans="1:37"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s="1">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s="2">
        <f>IF(tblHR[[#This Row],[Attrition]]="Yes",1,0)</f>
        <v>0</v>
      </c>
      <c r="AK1343" t="str">
        <f>IF(tblHR[[#This Row],[Age]]&lt;26,"18-25",IF(tblHR[[#This Row],[Age]]&lt;36,"26-35",IF(tblHR[[#This Row],[Age]]&lt;46,"36-45",IF(tblHR[[#This Row],[Age]]&lt;56,"46-55","56+"))))</f>
        <v>26-35</v>
      </c>
    </row>
    <row r="1344" spans="1:37"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s="1">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s="2">
        <f>IF(tblHR[[#This Row],[Attrition]]="Yes",1,0)</f>
        <v>0</v>
      </c>
      <c r="AK1344" t="str">
        <f>IF(tblHR[[#This Row],[Age]]&lt;26,"18-25",IF(tblHR[[#This Row],[Age]]&lt;36,"26-35",IF(tblHR[[#This Row],[Age]]&lt;46,"36-45",IF(tblHR[[#This Row],[Age]]&lt;56,"46-55","56+"))))</f>
        <v>26-35</v>
      </c>
    </row>
    <row r="1345" spans="1:37"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s="1">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s="2">
        <f>IF(tblHR[[#This Row],[Attrition]]="Yes",1,0)</f>
        <v>0</v>
      </c>
      <c r="AK1345" t="str">
        <f>IF(tblHR[[#This Row],[Age]]&lt;26,"18-25",IF(tblHR[[#This Row],[Age]]&lt;36,"26-35",IF(tblHR[[#This Row],[Age]]&lt;46,"36-45",IF(tblHR[[#This Row],[Age]]&lt;56,"46-55","56+"))))</f>
        <v>26-35</v>
      </c>
    </row>
    <row r="1346" spans="1:37"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s="1">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s="2">
        <f>IF(tblHR[[#This Row],[Attrition]]="Yes",1,0)</f>
        <v>0</v>
      </c>
      <c r="AK1346" t="str">
        <f>IF(tblHR[[#This Row],[Age]]&lt;26,"18-25",IF(tblHR[[#This Row],[Age]]&lt;36,"26-35",IF(tblHR[[#This Row],[Age]]&lt;46,"36-45",IF(tblHR[[#This Row],[Age]]&lt;56,"46-55","56+"))))</f>
        <v>36-45</v>
      </c>
    </row>
    <row r="1347" spans="1:37"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s="1">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s="2">
        <f>IF(tblHR[[#This Row],[Attrition]]="Yes",1,0)</f>
        <v>0</v>
      </c>
      <c r="AK1347" t="str">
        <f>IF(tblHR[[#This Row],[Age]]&lt;26,"18-25",IF(tblHR[[#This Row],[Age]]&lt;36,"26-35",IF(tblHR[[#This Row],[Age]]&lt;46,"36-45",IF(tblHR[[#This Row],[Age]]&lt;56,"46-55","56+"))))</f>
        <v>26-35</v>
      </c>
    </row>
    <row r="1348" spans="1:37"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s="1">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s="2">
        <f>IF(tblHR[[#This Row],[Attrition]]="Yes",1,0)</f>
        <v>0</v>
      </c>
      <c r="AK1348" t="str">
        <f>IF(tblHR[[#This Row],[Age]]&lt;26,"18-25",IF(tblHR[[#This Row],[Age]]&lt;36,"26-35",IF(tblHR[[#This Row],[Age]]&lt;46,"36-45",IF(tblHR[[#This Row],[Age]]&lt;56,"46-55","56+"))))</f>
        <v>36-45</v>
      </c>
    </row>
    <row r="1349" spans="1:37"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s="1">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s="2">
        <f>IF(tblHR[[#This Row],[Attrition]]="Yes",1,0)</f>
        <v>0</v>
      </c>
      <c r="AK1349" t="str">
        <f>IF(tblHR[[#This Row],[Age]]&lt;26,"18-25",IF(tblHR[[#This Row],[Age]]&lt;36,"26-35",IF(tblHR[[#This Row],[Age]]&lt;46,"36-45",IF(tblHR[[#This Row],[Age]]&lt;56,"46-55","56+"))))</f>
        <v>36-45</v>
      </c>
    </row>
    <row r="1350" spans="1:37"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s="1">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s="2">
        <f>IF(tblHR[[#This Row],[Attrition]]="Yes",1,0)</f>
        <v>0</v>
      </c>
      <c r="AK1350" t="str">
        <f>IF(tblHR[[#This Row],[Age]]&lt;26,"18-25",IF(tblHR[[#This Row],[Age]]&lt;36,"26-35",IF(tblHR[[#This Row],[Age]]&lt;46,"36-45",IF(tblHR[[#This Row],[Age]]&lt;56,"46-55","56+"))))</f>
        <v>36-45</v>
      </c>
    </row>
    <row r="1351" spans="1:37"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s="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s="2">
        <f>IF(tblHR[[#This Row],[Attrition]]="Yes",1,0)</f>
        <v>0</v>
      </c>
      <c r="AK1351" t="str">
        <f>IF(tblHR[[#This Row],[Age]]&lt;26,"18-25",IF(tblHR[[#This Row],[Age]]&lt;36,"26-35",IF(tblHR[[#This Row],[Age]]&lt;46,"36-45",IF(tblHR[[#This Row],[Age]]&lt;56,"46-55","56+"))))</f>
        <v>26-35</v>
      </c>
    </row>
    <row r="1352" spans="1:37"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s="1">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s="2">
        <f>IF(tblHR[[#This Row],[Attrition]]="Yes",1,0)</f>
        <v>0</v>
      </c>
      <c r="AK1352" t="str">
        <f>IF(tblHR[[#This Row],[Age]]&lt;26,"18-25",IF(tblHR[[#This Row],[Age]]&lt;36,"26-35",IF(tblHR[[#This Row],[Age]]&lt;46,"36-45",IF(tblHR[[#This Row],[Age]]&lt;56,"46-55","56+"))))</f>
        <v>26-35</v>
      </c>
    </row>
    <row r="1353" spans="1:37"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s="1">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s="2">
        <f>IF(tblHR[[#This Row],[Attrition]]="Yes",1,0)</f>
        <v>0</v>
      </c>
      <c r="AK1353" t="str">
        <f>IF(tblHR[[#This Row],[Age]]&lt;26,"18-25",IF(tblHR[[#This Row],[Age]]&lt;36,"26-35",IF(tblHR[[#This Row],[Age]]&lt;46,"36-45",IF(tblHR[[#This Row],[Age]]&lt;56,"46-55","56+"))))</f>
        <v>46-55</v>
      </c>
    </row>
    <row r="1354" spans="1:37"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s="1">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s="2">
        <f>IF(tblHR[[#This Row],[Attrition]]="Yes",1,0)</f>
        <v>0</v>
      </c>
      <c r="AK1354" t="str">
        <f>IF(tblHR[[#This Row],[Age]]&lt;26,"18-25",IF(tblHR[[#This Row],[Age]]&lt;36,"26-35",IF(tblHR[[#This Row],[Age]]&lt;46,"36-45",IF(tblHR[[#This Row],[Age]]&lt;56,"46-55","56+"))))</f>
        <v>36-45</v>
      </c>
    </row>
    <row r="1355" spans="1:37"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s="1">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s="2">
        <f>IF(tblHR[[#This Row],[Attrition]]="Yes",1,0)</f>
        <v>1</v>
      </c>
      <c r="AK1355" t="str">
        <f>IF(tblHR[[#This Row],[Age]]&lt;26,"18-25",IF(tblHR[[#This Row],[Age]]&lt;36,"26-35",IF(tblHR[[#This Row],[Age]]&lt;46,"36-45",IF(tblHR[[#This Row],[Age]]&lt;56,"46-55","56+"))))</f>
        <v>26-35</v>
      </c>
    </row>
    <row r="1356" spans="1:37"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s="1">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s="2">
        <f>IF(tblHR[[#This Row],[Attrition]]="Yes",1,0)</f>
        <v>1</v>
      </c>
      <c r="AK1356" t="str">
        <f>IF(tblHR[[#This Row],[Age]]&lt;26,"18-25",IF(tblHR[[#This Row],[Age]]&lt;36,"26-35",IF(tblHR[[#This Row],[Age]]&lt;46,"36-45",IF(tblHR[[#This Row],[Age]]&lt;56,"46-55","56+"))))</f>
        <v>56+</v>
      </c>
    </row>
    <row r="1357" spans="1:37"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s="1">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s="2">
        <f>IF(tblHR[[#This Row],[Attrition]]="Yes",1,0)</f>
        <v>0</v>
      </c>
      <c r="AK1357" t="str">
        <f>IF(tblHR[[#This Row],[Age]]&lt;26,"18-25",IF(tblHR[[#This Row],[Age]]&lt;36,"26-35",IF(tblHR[[#This Row],[Age]]&lt;46,"36-45",IF(tblHR[[#This Row],[Age]]&lt;56,"46-55","56+"))))</f>
        <v>36-45</v>
      </c>
    </row>
    <row r="1358" spans="1:37"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s="1">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s="2">
        <f>IF(tblHR[[#This Row],[Attrition]]="Yes",1,0)</f>
        <v>0</v>
      </c>
      <c r="AK1358" t="str">
        <f>IF(tblHR[[#This Row],[Age]]&lt;26,"18-25",IF(tblHR[[#This Row],[Age]]&lt;36,"26-35",IF(tblHR[[#This Row],[Age]]&lt;46,"36-45",IF(tblHR[[#This Row],[Age]]&lt;56,"46-55","56+"))))</f>
        <v>36-45</v>
      </c>
    </row>
    <row r="1359" spans="1:37"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s="1">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s="2">
        <f>IF(tblHR[[#This Row],[Attrition]]="Yes",1,0)</f>
        <v>0</v>
      </c>
      <c r="AK1359" t="str">
        <f>IF(tblHR[[#This Row],[Age]]&lt;26,"18-25",IF(tblHR[[#This Row],[Age]]&lt;36,"26-35",IF(tblHR[[#This Row],[Age]]&lt;46,"36-45",IF(tblHR[[#This Row],[Age]]&lt;56,"46-55","56+"))))</f>
        <v>36-45</v>
      </c>
    </row>
    <row r="1360" spans="1:37"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s="1">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s="2">
        <f>IF(tblHR[[#This Row],[Attrition]]="Yes",1,0)</f>
        <v>0</v>
      </c>
      <c r="AK1360" t="str">
        <f>IF(tblHR[[#This Row],[Age]]&lt;26,"18-25",IF(tblHR[[#This Row],[Age]]&lt;36,"26-35",IF(tblHR[[#This Row],[Age]]&lt;46,"36-45",IF(tblHR[[#This Row],[Age]]&lt;56,"46-55","56+"))))</f>
        <v>26-35</v>
      </c>
    </row>
    <row r="1361" spans="1:37"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s="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s="2">
        <f>IF(tblHR[[#This Row],[Attrition]]="Yes",1,0)</f>
        <v>0</v>
      </c>
      <c r="AK1361" t="str">
        <f>IF(tblHR[[#This Row],[Age]]&lt;26,"18-25",IF(tblHR[[#This Row],[Age]]&lt;36,"26-35",IF(tblHR[[#This Row],[Age]]&lt;46,"36-45",IF(tblHR[[#This Row],[Age]]&lt;56,"46-55","56+"))))</f>
        <v>26-35</v>
      </c>
    </row>
    <row r="1362" spans="1:37"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s="1">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s="2">
        <f>IF(tblHR[[#This Row],[Attrition]]="Yes",1,0)</f>
        <v>0</v>
      </c>
      <c r="AK1362" t="str">
        <f>IF(tblHR[[#This Row],[Age]]&lt;26,"18-25",IF(tblHR[[#This Row],[Age]]&lt;36,"26-35",IF(tblHR[[#This Row],[Age]]&lt;46,"36-45",IF(tblHR[[#This Row],[Age]]&lt;56,"46-55","56+"))))</f>
        <v>26-35</v>
      </c>
    </row>
    <row r="1363" spans="1:37"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s="1">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s="2">
        <f>IF(tblHR[[#This Row],[Attrition]]="Yes",1,0)</f>
        <v>0</v>
      </c>
      <c r="AK1363" t="str">
        <f>IF(tblHR[[#This Row],[Age]]&lt;26,"18-25",IF(tblHR[[#This Row],[Age]]&lt;36,"26-35",IF(tblHR[[#This Row],[Age]]&lt;46,"36-45",IF(tblHR[[#This Row],[Age]]&lt;56,"46-55","56+"))))</f>
        <v>26-35</v>
      </c>
    </row>
    <row r="1364" spans="1:37"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s="1">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s="2">
        <f>IF(tblHR[[#This Row],[Attrition]]="Yes",1,0)</f>
        <v>0</v>
      </c>
      <c r="AK1364" t="str">
        <f>IF(tblHR[[#This Row],[Age]]&lt;26,"18-25",IF(tblHR[[#This Row],[Age]]&lt;36,"26-35",IF(tblHR[[#This Row],[Age]]&lt;46,"36-45",IF(tblHR[[#This Row],[Age]]&lt;56,"46-55","56+"))))</f>
        <v>36-45</v>
      </c>
    </row>
    <row r="1365" spans="1:37"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s="1">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s="2">
        <f>IF(tblHR[[#This Row],[Attrition]]="Yes",1,0)</f>
        <v>0</v>
      </c>
      <c r="AK1365" t="str">
        <f>IF(tblHR[[#This Row],[Age]]&lt;26,"18-25",IF(tblHR[[#This Row],[Age]]&lt;36,"26-35",IF(tblHR[[#This Row],[Age]]&lt;46,"36-45",IF(tblHR[[#This Row],[Age]]&lt;56,"46-55","56+"))))</f>
        <v>26-35</v>
      </c>
    </row>
    <row r="1366" spans="1:37"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s="1">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s="2">
        <f>IF(tblHR[[#This Row],[Attrition]]="Yes",1,0)</f>
        <v>0</v>
      </c>
      <c r="AK1366" t="str">
        <f>IF(tblHR[[#This Row],[Age]]&lt;26,"18-25",IF(tblHR[[#This Row],[Age]]&lt;36,"26-35",IF(tblHR[[#This Row],[Age]]&lt;46,"36-45",IF(tblHR[[#This Row],[Age]]&lt;56,"46-55","56+"))))</f>
        <v>26-35</v>
      </c>
    </row>
    <row r="1367" spans="1:37"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s="1">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s="2">
        <f>IF(tblHR[[#This Row],[Attrition]]="Yes",1,0)</f>
        <v>1</v>
      </c>
      <c r="AK1367" t="str">
        <f>IF(tblHR[[#This Row],[Age]]&lt;26,"18-25",IF(tblHR[[#This Row],[Age]]&lt;36,"26-35",IF(tblHR[[#This Row],[Age]]&lt;46,"36-45",IF(tblHR[[#This Row],[Age]]&lt;56,"46-55","56+"))))</f>
        <v>26-35</v>
      </c>
    </row>
    <row r="1368" spans="1:37"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s="1">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s="2">
        <f>IF(tblHR[[#This Row],[Attrition]]="Yes",1,0)</f>
        <v>0</v>
      </c>
      <c r="AK1368" t="str">
        <f>IF(tblHR[[#This Row],[Age]]&lt;26,"18-25",IF(tblHR[[#This Row],[Age]]&lt;36,"26-35",IF(tblHR[[#This Row],[Age]]&lt;46,"36-45",IF(tblHR[[#This Row],[Age]]&lt;56,"46-55","56+"))))</f>
        <v>36-45</v>
      </c>
    </row>
    <row r="1369" spans="1:37"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s="1">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s="2">
        <f>IF(tblHR[[#This Row],[Attrition]]="Yes",1,0)</f>
        <v>0</v>
      </c>
      <c r="AK1369" t="str">
        <f>IF(tblHR[[#This Row],[Age]]&lt;26,"18-25",IF(tblHR[[#This Row],[Age]]&lt;36,"26-35",IF(tblHR[[#This Row],[Age]]&lt;46,"36-45",IF(tblHR[[#This Row],[Age]]&lt;56,"46-55","56+"))))</f>
        <v>26-35</v>
      </c>
    </row>
    <row r="1370" spans="1:37"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s="1">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s="2">
        <f>IF(tblHR[[#This Row],[Attrition]]="Yes",1,0)</f>
        <v>0</v>
      </c>
      <c r="AK1370" t="str">
        <f>IF(tblHR[[#This Row],[Age]]&lt;26,"18-25",IF(tblHR[[#This Row],[Age]]&lt;36,"26-35",IF(tblHR[[#This Row],[Age]]&lt;46,"36-45",IF(tblHR[[#This Row],[Age]]&lt;56,"46-55","56+"))))</f>
        <v>26-35</v>
      </c>
    </row>
    <row r="1371" spans="1:37"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s="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s="2">
        <f>IF(tblHR[[#This Row],[Attrition]]="Yes",1,0)</f>
        <v>1</v>
      </c>
      <c r="AK1371" t="str">
        <f>IF(tblHR[[#This Row],[Age]]&lt;26,"18-25",IF(tblHR[[#This Row],[Age]]&lt;36,"26-35",IF(tblHR[[#This Row],[Age]]&lt;46,"36-45",IF(tblHR[[#This Row],[Age]]&lt;56,"46-55","56+"))))</f>
        <v>26-35</v>
      </c>
    </row>
    <row r="1372" spans="1:37"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s="1">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s="2">
        <f>IF(tblHR[[#This Row],[Attrition]]="Yes",1,0)</f>
        <v>0</v>
      </c>
      <c r="AK1372" t="str">
        <f>IF(tblHR[[#This Row],[Age]]&lt;26,"18-25",IF(tblHR[[#This Row],[Age]]&lt;36,"26-35",IF(tblHR[[#This Row],[Age]]&lt;46,"36-45",IF(tblHR[[#This Row],[Age]]&lt;56,"46-55","56+"))))</f>
        <v>46-55</v>
      </c>
    </row>
    <row r="1373" spans="1:37"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s="1">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s="2">
        <f>IF(tblHR[[#This Row],[Attrition]]="Yes",1,0)</f>
        <v>0</v>
      </c>
      <c r="AK1373" t="str">
        <f>IF(tblHR[[#This Row],[Age]]&lt;26,"18-25",IF(tblHR[[#This Row],[Age]]&lt;36,"26-35",IF(tblHR[[#This Row],[Age]]&lt;46,"36-45",IF(tblHR[[#This Row],[Age]]&lt;56,"46-55","56+"))))</f>
        <v>56+</v>
      </c>
    </row>
    <row r="1374" spans="1:37"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s="1">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s="2">
        <f>IF(tblHR[[#This Row],[Attrition]]="Yes",1,0)</f>
        <v>0</v>
      </c>
      <c r="AK1374" t="str">
        <f>IF(tblHR[[#This Row],[Age]]&lt;26,"18-25",IF(tblHR[[#This Row],[Age]]&lt;36,"26-35",IF(tblHR[[#This Row],[Age]]&lt;46,"36-45",IF(tblHR[[#This Row],[Age]]&lt;56,"46-55","56+"))))</f>
        <v>36-45</v>
      </c>
    </row>
    <row r="1375" spans="1:37"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s="1">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s="2">
        <f>IF(tblHR[[#This Row],[Attrition]]="Yes",1,0)</f>
        <v>0</v>
      </c>
      <c r="AK1375" t="str">
        <f>IF(tblHR[[#This Row],[Age]]&lt;26,"18-25",IF(tblHR[[#This Row],[Age]]&lt;36,"26-35",IF(tblHR[[#This Row],[Age]]&lt;46,"36-45",IF(tblHR[[#This Row],[Age]]&lt;56,"46-55","56+"))))</f>
        <v>36-45</v>
      </c>
    </row>
    <row r="1376" spans="1:37"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s="1">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s="2">
        <f>IF(tblHR[[#This Row],[Attrition]]="Yes",1,0)</f>
        <v>0</v>
      </c>
      <c r="AK1376" t="str">
        <f>IF(tblHR[[#This Row],[Age]]&lt;26,"18-25",IF(tblHR[[#This Row],[Age]]&lt;36,"26-35",IF(tblHR[[#This Row],[Age]]&lt;46,"36-45",IF(tblHR[[#This Row],[Age]]&lt;56,"46-55","56+"))))</f>
        <v>56+</v>
      </c>
    </row>
    <row r="1377" spans="1:37"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s="1">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s="2">
        <f>IF(tblHR[[#This Row],[Attrition]]="Yes",1,0)</f>
        <v>1</v>
      </c>
      <c r="AK1377" t="str">
        <f>IF(tblHR[[#This Row],[Age]]&lt;26,"18-25",IF(tblHR[[#This Row],[Age]]&lt;36,"26-35",IF(tblHR[[#This Row],[Age]]&lt;46,"36-45",IF(tblHR[[#This Row],[Age]]&lt;56,"46-55","56+"))))</f>
        <v>26-35</v>
      </c>
    </row>
    <row r="1378" spans="1:37"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s="1">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s="2">
        <f>IF(tblHR[[#This Row],[Attrition]]="Yes",1,0)</f>
        <v>0</v>
      </c>
      <c r="AK1378" t="str">
        <f>IF(tblHR[[#This Row],[Age]]&lt;26,"18-25",IF(tblHR[[#This Row],[Age]]&lt;36,"26-35",IF(tblHR[[#This Row],[Age]]&lt;46,"36-45",IF(tblHR[[#This Row],[Age]]&lt;56,"46-55","56+"))))</f>
        <v>36-45</v>
      </c>
    </row>
    <row r="1379" spans="1:37"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s="1">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s="2">
        <f>IF(tblHR[[#This Row],[Attrition]]="Yes",1,0)</f>
        <v>0</v>
      </c>
      <c r="AK1379" t="str">
        <f>IF(tblHR[[#This Row],[Age]]&lt;26,"18-25",IF(tblHR[[#This Row],[Age]]&lt;36,"26-35",IF(tblHR[[#This Row],[Age]]&lt;46,"36-45",IF(tblHR[[#This Row],[Age]]&lt;56,"46-55","56+"))))</f>
        <v>46-55</v>
      </c>
    </row>
    <row r="1380" spans="1:37"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s="1">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s="2">
        <f>IF(tblHR[[#This Row],[Attrition]]="Yes",1,0)</f>
        <v>0</v>
      </c>
      <c r="AK1380" t="str">
        <f>IF(tblHR[[#This Row],[Age]]&lt;26,"18-25",IF(tblHR[[#This Row],[Age]]&lt;36,"26-35",IF(tblHR[[#This Row],[Age]]&lt;46,"36-45",IF(tblHR[[#This Row],[Age]]&lt;56,"46-55","56+"))))</f>
        <v>36-45</v>
      </c>
    </row>
    <row r="1381" spans="1:37"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s="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s="2">
        <f>IF(tblHR[[#This Row],[Attrition]]="Yes",1,0)</f>
        <v>1</v>
      </c>
      <c r="AK1381" t="str">
        <f>IF(tblHR[[#This Row],[Age]]&lt;26,"18-25",IF(tblHR[[#This Row],[Age]]&lt;36,"26-35",IF(tblHR[[#This Row],[Age]]&lt;46,"36-45",IF(tblHR[[#This Row],[Age]]&lt;56,"46-55","56+"))))</f>
        <v>26-35</v>
      </c>
    </row>
    <row r="1382" spans="1:37"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s="1">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s="2">
        <f>IF(tblHR[[#This Row],[Attrition]]="Yes",1,0)</f>
        <v>0</v>
      </c>
      <c r="AK1382" t="str">
        <f>IF(tblHR[[#This Row],[Age]]&lt;26,"18-25",IF(tblHR[[#This Row],[Age]]&lt;36,"26-35",IF(tblHR[[#This Row],[Age]]&lt;46,"36-45",IF(tblHR[[#This Row],[Age]]&lt;56,"46-55","56+"))))</f>
        <v>26-35</v>
      </c>
    </row>
    <row r="1383" spans="1:37"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s="1">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s="2">
        <f>IF(tblHR[[#This Row],[Attrition]]="Yes",1,0)</f>
        <v>0</v>
      </c>
      <c r="AK1383" t="str">
        <f>IF(tblHR[[#This Row],[Age]]&lt;26,"18-25",IF(tblHR[[#This Row],[Age]]&lt;36,"26-35",IF(tblHR[[#This Row],[Age]]&lt;46,"36-45",IF(tblHR[[#This Row],[Age]]&lt;56,"46-55","56+"))))</f>
        <v>26-35</v>
      </c>
    </row>
    <row r="1384" spans="1:37"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s="1">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s="2">
        <f>IF(tblHR[[#This Row],[Attrition]]="Yes",1,0)</f>
        <v>0</v>
      </c>
      <c r="AK1384" t="str">
        <f>IF(tblHR[[#This Row],[Age]]&lt;26,"18-25",IF(tblHR[[#This Row],[Age]]&lt;36,"26-35",IF(tblHR[[#This Row],[Age]]&lt;46,"36-45",IF(tblHR[[#This Row],[Age]]&lt;56,"46-55","56+"))))</f>
        <v>26-35</v>
      </c>
    </row>
    <row r="1385" spans="1:37"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s="1">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s="2">
        <f>IF(tblHR[[#This Row],[Attrition]]="Yes",1,0)</f>
        <v>0</v>
      </c>
      <c r="AK1385" t="str">
        <f>IF(tblHR[[#This Row],[Age]]&lt;26,"18-25",IF(tblHR[[#This Row],[Age]]&lt;36,"26-35",IF(tblHR[[#This Row],[Age]]&lt;46,"36-45",IF(tblHR[[#This Row],[Age]]&lt;56,"46-55","56+"))))</f>
        <v>36-45</v>
      </c>
    </row>
    <row r="1386" spans="1:37"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s="1">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s="2">
        <f>IF(tblHR[[#This Row],[Attrition]]="Yes",1,0)</f>
        <v>0</v>
      </c>
      <c r="AK1386" t="str">
        <f>IF(tblHR[[#This Row],[Age]]&lt;26,"18-25",IF(tblHR[[#This Row],[Age]]&lt;36,"26-35",IF(tblHR[[#This Row],[Age]]&lt;46,"36-45",IF(tblHR[[#This Row],[Age]]&lt;56,"46-55","56+"))))</f>
        <v>26-35</v>
      </c>
    </row>
    <row r="1387" spans="1:37"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s="1">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s="2">
        <f>IF(tblHR[[#This Row],[Attrition]]="Yes",1,0)</f>
        <v>0</v>
      </c>
      <c r="AK1387" t="str">
        <f>IF(tblHR[[#This Row],[Age]]&lt;26,"18-25",IF(tblHR[[#This Row],[Age]]&lt;36,"26-35",IF(tblHR[[#This Row],[Age]]&lt;46,"36-45",IF(tblHR[[#This Row],[Age]]&lt;56,"46-55","56+"))))</f>
        <v>26-35</v>
      </c>
    </row>
    <row r="1388" spans="1:37"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s="1">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s="2">
        <f>IF(tblHR[[#This Row],[Attrition]]="Yes",1,0)</f>
        <v>0</v>
      </c>
      <c r="AK1388" t="str">
        <f>IF(tblHR[[#This Row],[Age]]&lt;26,"18-25",IF(tblHR[[#This Row],[Age]]&lt;36,"26-35",IF(tblHR[[#This Row],[Age]]&lt;46,"36-45",IF(tblHR[[#This Row],[Age]]&lt;56,"46-55","56+"))))</f>
        <v>26-35</v>
      </c>
    </row>
    <row r="1389" spans="1:37"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s="1">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s="2">
        <f>IF(tblHR[[#This Row],[Attrition]]="Yes",1,0)</f>
        <v>0</v>
      </c>
      <c r="AK1389" t="str">
        <f>IF(tblHR[[#This Row],[Age]]&lt;26,"18-25",IF(tblHR[[#This Row],[Age]]&lt;36,"26-35",IF(tblHR[[#This Row],[Age]]&lt;46,"36-45",IF(tblHR[[#This Row],[Age]]&lt;56,"46-55","56+"))))</f>
        <v>26-35</v>
      </c>
    </row>
    <row r="1390" spans="1:37"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s="1">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s="2">
        <f>IF(tblHR[[#This Row],[Attrition]]="Yes",1,0)</f>
        <v>0</v>
      </c>
      <c r="AK1390" t="str">
        <f>IF(tblHR[[#This Row],[Age]]&lt;26,"18-25",IF(tblHR[[#This Row],[Age]]&lt;36,"26-35",IF(tblHR[[#This Row],[Age]]&lt;46,"36-45",IF(tblHR[[#This Row],[Age]]&lt;56,"46-55","56+"))))</f>
        <v>26-35</v>
      </c>
    </row>
    <row r="1391" spans="1:37"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s="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s="2">
        <f>IF(tblHR[[#This Row],[Attrition]]="Yes",1,0)</f>
        <v>0</v>
      </c>
      <c r="AK1391" t="str">
        <f>IF(tblHR[[#This Row],[Age]]&lt;26,"18-25",IF(tblHR[[#This Row],[Age]]&lt;36,"26-35",IF(tblHR[[#This Row],[Age]]&lt;46,"36-45",IF(tblHR[[#This Row],[Age]]&lt;56,"46-55","56+"))))</f>
        <v>26-35</v>
      </c>
    </row>
    <row r="1392" spans="1:37"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s="1">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s="2">
        <f>IF(tblHR[[#This Row],[Attrition]]="Yes",1,0)</f>
        <v>1</v>
      </c>
      <c r="AK1392" t="str">
        <f>IF(tblHR[[#This Row],[Age]]&lt;26,"18-25",IF(tblHR[[#This Row],[Age]]&lt;36,"26-35",IF(tblHR[[#This Row],[Age]]&lt;46,"36-45",IF(tblHR[[#This Row],[Age]]&lt;56,"46-55","56+"))))</f>
        <v>26-35</v>
      </c>
    </row>
    <row r="1393" spans="1:37"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s="1">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s="2">
        <f>IF(tblHR[[#This Row],[Attrition]]="Yes",1,0)</f>
        <v>0</v>
      </c>
      <c r="AK1393" t="str">
        <f>IF(tblHR[[#This Row],[Age]]&lt;26,"18-25",IF(tblHR[[#This Row],[Age]]&lt;36,"26-35",IF(tblHR[[#This Row],[Age]]&lt;46,"36-45",IF(tblHR[[#This Row],[Age]]&lt;56,"46-55","56+"))))</f>
        <v>36-45</v>
      </c>
    </row>
    <row r="1394" spans="1:37"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s="1">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s="2">
        <f>IF(tblHR[[#This Row],[Attrition]]="Yes",1,0)</f>
        <v>0</v>
      </c>
      <c r="AK1394" t="str">
        <f>IF(tblHR[[#This Row],[Age]]&lt;26,"18-25",IF(tblHR[[#This Row],[Age]]&lt;36,"26-35",IF(tblHR[[#This Row],[Age]]&lt;46,"36-45",IF(tblHR[[#This Row],[Age]]&lt;56,"46-55","56+"))))</f>
        <v>26-35</v>
      </c>
    </row>
    <row r="1395" spans="1:37"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s="1">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s="2">
        <f>IF(tblHR[[#This Row],[Attrition]]="Yes",1,0)</f>
        <v>0</v>
      </c>
      <c r="AK1395" t="str">
        <f>IF(tblHR[[#This Row],[Age]]&lt;26,"18-25",IF(tblHR[[#This Row],[Age]]&lt;36,"26-35",IF(tblHR[[#This Row],[Age]]&lt;46,"36-45",IF(tblHR[[#This Row],[Age]]&lt;56,"46-55","56+"))))</f>
        <v>26-35</v>
      </c>
    </row>
    <row r="1396" spans="1:37"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s="1">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s="2">
        <f>IF(tblHR[[#This Row],[Attrition]]="Yes",1,0)</f>
        <v>0</v>
      </c>
      <c r="AK1396" t="str">
        <f>IF(tblHR[[#This Row],[Age]]&lt;26,"18-25",IF(tblHR[[#This Row],[Age]]&lt;36,"26-35",IF(tblHR[[#This Row],[Age]]&lt;46,"36-45",IF(tblHR[[#This Row],[Age]]&lt;56,"46-55","56+"))))</f>
        <v>26-35</v>
      </c>
    </row>
    <row r="1397" spans="1:37"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s="1">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s="2">
        <f>IF(tblHR[[#This Row],[Attrition]]="Yes",1,0)</f>
        <v>1</v>
      </c>
      <c r="AK1397" t="str">
        <f>IF(tblHR[[#This Row],[Age]]&lt;26,"18-25",IF(tblHR[[#This Row],[Age]]&lt;36,"26-35",IF(tblHR[[#This Row],[Age]]&lt;46,"36-45",IF(tblHR[[#This Row],[Age]]&lt;56,"46-55","56+"))))</f>
        <v>26-35</v>
      </c>
    </row>
    <row r="1398" spans="1:37"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s="1">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s="2">
        <f>IF(tblHR[[#This Row],[Attrition]]="Yes",1,0)</f>
        <v>1</v>
      </c>
      <c r="AK1398" t="str">
        <f>IF(tblHR[[#This Row],[Age]]&lt;26,"18-25",IF(tblHR[[#This Row],[Age]]&lt;36,"26-35",IF(tblHR[[#This Row],[Age]]&lt;46,"36-45",IF(tblHR[[#This Row],[Age]]&lt;56,"46-55","56+"))))</f>
        <v>46-55</v>
      </c>
    </row>
    <row r="1399" spans="1:37"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s="1">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s="2">
        <f>IF(tblHR[[#This Row],[Attrition]]="Yes",1,0)</f>
        <v>0</v>
      </c>
      <c r="AK1399" t="str">
        <f>IF(tblHR[[#This Row],[Age]]&lt;26,"18-25",IF(tblHR[[#This Row],[Age]]&lt;36,"26-35",IF(tblHR[[#This Row],[Age]]&lt;46,"36-45",IF(tblHR[[#This Row],[Age]]&lt;56,"46-55","56+"))))</f>
        <v>46-55</v>
      </c>
    </row>
    <row r="1400" spans="1:37"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s="1">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s="2">
        <f>IF(tblHR[[#This Row],[Attrition]]="Yes",1,0)</f>
        <v>0</v>
      </c>
      <c r="AK1400" t="str">
        <f>IF(tblHR[[#This Row],[Age]]&lt;26,"18-25",IF(tblHR[[#This Row],[Age]]&lt;36,"26-35",IF(tblHR[[#This Row],[Age]]&lt;46,"36-45",IF(tblHR[[#This Row],[Age]]&lt;56,"46-55","56+"))))</f>
        <v>26-35</v>
      </c>
    </row>
    <row r="1401" spans="1:37"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s="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s="2">
        <f>IF(tblHR[[#This Row],[Attrition]]="Yes",1,0)</f>
        <v>0</v>
      </c>
      <c r="AK1401" t="str">
        <f>IF(tblHR[[#This Row],[Age]]&lt;26,"18-25",IF(tblHR[[#This Row],[Age]]&lt;36,"26-35",IF(tblHR[[#This Row],[Age]]&lt;46,"36-45",IF(tblHR[[#This Row],[Age]]&lt;56,"46-55","56+"))))</f>
        <v>36-45</v>
      </c>
    </row>
    <row r="1402" spans="1:37"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s="1">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s="2">
        <f>IF(tblHR[[#This Row],[Attrition]]="Yes",1,0)</f>
        <v>0</v>
      </c>
      <c r="AK1402" t="str">
        <f>IF(tblHR[[#This Row],[Age]]&lt;26,"18-25",IF(tblHR[[#This Row],[Age]]&lt;36,"26-35",IF(tblHR[[#This Row],[Age]]&lt;46,"36-45",IF(tblHR[[#This Row],[Age]]&lt;56,"46-55","56+"))))</f>
        <v>36-45</v>
      </c>
    </row>
    <row r="1403" spans="1:37"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s="1">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s="2">
        <f>IF(tblHR[[#This Row],[Attrition]]="Yes",1,0)</f>
        <v>0</v>
      </c>
      <c r="AK1403" t="str">
        <f>IF(tblHR[[#This Row],[Age]]&lt;26,"18-25",IF(tblHR[[#This Row],[Age]]&lt;36,"26-35",IF(tblHR[[#This Row],[Age]]&lt;46,"36-45",IF(tblHR[[#This Row],[Age]]&lt;56,"46-55","56+"))))</f>
        <v>46-55</v>
      </c>
    </row>
    <row r="1404" spans="1:37"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s="1">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s="2">
        <f>IF(tblHR[[#This Row],[Attrition]]="Yes",1,0)</f>
        <v>0</v>
      </c>
      <c r="AK1404" t="str">
        <f>IF(tblHR[[#This Row],[Age]]&lt;26,"18-25",IF(tblHR[[#This Row],[Age]]&lt;36,"26-35",IF(tblHR[[#This Row],[Age]]&lt;46,"36-45",IF(tblHR[[#This Row],[Age]]&lt;56,"46-55","56+"))))</f>
        <v>26-35</v>
      </c>
    </row>
    <row r="1405" spans="1:37"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s="1">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s="2">
        <f>IF(tblHR[[#This Row],[Attrition]]="Yes",1,0)</f>
        <v>0</v>
      </c>
      <c r="AK1405" t="str">
        <f>IF(tblHR[[#This Row],[Age]]&lt;26,"18-25",IF(tblHR[[#This Row],[Age]]&lt;36,"26-35",IF(tblHR[[#This Row],[Age]]&lt;46,"36-45",IF(tblHR[[#This Row],[Age]]&lt;56,"46-55","56+"))))</f>
        <v>36-45</v>
      </c>
    </row>
    <row r="1406" spans="1:37"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s="1">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s="2">
        <f>IF(tblHR[[#This Row],[Attrition]]="Yes",1,0)</f>
        <v>0</v>
      </c>
      <c r="AK1406" t="str">
        <f>IF(tblHR[[#This Row],[Age]]&lt;26,"18-25",IF(tblHR[[#This Row],[Age]]&lt;36,"26-35",IF(tblHR[[#This Row],[Age]]&lt;46,"36-45",IF(tblHR[[#This Row],[Age]]&lt;56,"46-55","56+"))))</f>
        <v>36-45</v>
      </c>
    </row>
    <row r="1407" spans="1:37"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s="1">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s="2">
        <f>IF(tblHR[[#This Row],[Attrition]]="Yes",1,0)</f>
        <v>0</v>
      </c>
      <c r="AK1407" t="str">
        <f>IF(tblHR[[#This Row],[Age]]&lt;26,"18-25",IF(tblHR[[#This Row],[Age]]&lt;36,"26-35",IF(tblHR[[#This Row],[Age]]&lt;46,"36-45",IF(tblHR[[#This Row],[Age]]&lt;56,"46-55","56+"))))</f>
        <v>26-35</v>
      </c>
    </row>
    <row r="1408" spans="1:37"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s="1">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s="2">
        <f>IF(tblHR[[#This Row],[Attrition]]="Yes",1,0)</f>
        <v>0</v>
      </c>
      <c r="AK1408" t="str">
        <f>IF(tblHR[[#This Row],[Age]]&lt;26,"18-25",IF(tblHR[[#This Row],[Age]]&lt;36,"26-35",IF(tblHR[[#This Row],[Age]]&lt;46,"36-45",IF(tblHR[[#This Row],[Age]]&lt;56,"46-55","56+"))))</f>
        <v>46-55</v>
      </c>
    </row>
    <row r="1409" spans="1:37"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s="1">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s="2">
        <f>IF(tblHR[[#This Row],[Attrition]]="Yes",1,0)</f>
        <v>0</v>
      </c>
      <c r="AK1409" t="str">
        <f>IF(tblHR[[#This Row],[Age]]&lt;26,"18-25",IF(tblHR[[#This Row],[Age]]&lt;36,"26-35",IF(tblHR[[#This Row],[Age]]&lt;46,"36-45",IF(tblHR[[#This Row],[Age]]&lt;56,"46-55","56+"))))</f>
        <v>18-25</v>
      </c>
    </row>
    <row r="1410" spans="1:37"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s="1">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s="2">
        <f>IF(tblHR[[#This Row],[Attrition]]="Yes",1,0)</f>
        <v>0</v>
      </c>
      <c r="AK1410" t="str">
        <f>IF(tblHR[[#This Row],[Age]]&lt;26,"18-25",IF(tblHR[[#This Row],[Age]]&lt;36,"26-35",IF(tblHR[[#This Row],[Age]]&lt;46,"36-45",IF(tblHR[[#This Row],[Age]]&lt;56,"46-55","56+"))))</f>
        <v>18-25</v>
      </c>
    </row>
    <row r="1411" spans="1:37"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s="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s="2">
        <f>IF(tblHR[[#This Row],[Attrition]]="Yes",1,0)</f>
        <v>0</v>
      </c>
      <c r="AK1411" t="str">
        <f>IF(tblHR[[#This Row],[Age]]&lt;26,"18-25",IF(tblHR[[#This Row],[Age]]&lt;36,"26-35",IF(tblHR[[#This Row],[Age]]&lt;46,"36-45",IF(tblHR[[#This Row],[Age]]&lt;56,"46-55","56+"))))</f>
        <v>36-45</v>
      </c>
    </row>
    <row r="1412" spans="1:37"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s="1">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s="2">
        <f>IF(tblHR[[#This Row],[Attrition]]="Yes",1,0)</f>
        <v>0</v>
      </c>
      <c r="AK1412" t="str">
        <f>IF(tblHR[[#This Row],[Age]]&lt;26,"18-25",IF(tblHR[[#This Row],[Age]]&lt;36,"26-35",IF(tblHR[[#This Row],[Age]]&lt;46,"36-45",IF(tblHR[[#This Row],[Age]]&lt;56,"46-55","56+"))))</f>
        <v>36-45</v>
      </c>
    </row>
    <row r="1413" spans="1:37"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s="1">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s="2">
        <f>IF(tblHR[[#This Row],[Attrition]]="Yes",1,0)</f>
        <v>0</v>
      </c>
      <c r="AK1413" t="str">
        <f>IF(tblHR[[#This Row],[Age]]&lt;26,"18-25",IF(tblHR[[#This Row],[Age]]&lt;36,"26-35",IF(tblHR[[#This Row],[Age]]&lt;46,"36-45",IF(tblHR[[#This Row],[Age]]&lt;56,"46-55","56+"))))</f>
        <v>18-25</v>
      </c>
    </row>
    <row r="1414" spans="1:37"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s="1">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s="2">
        <f>IF(tblHR[[#This Row],[Attrition]]="Yes",1,0)</f>
        <v>0</v>
      </c>
      <c r="AK1414" t="str">
        <f>IF(tblHR[[#This Row],[Age]]&lt;26,"18-25",IF(tblHR[[#This Row],[Age]]&lt;36,"26-35",IF(tblHR[[#This Row],[Age]]&lt;46,"36-45",IF(tblHR[[#This Row],[Age]]&lt;56,"46-55","56+"))))</f>
        <v>26-35</v>
      </c>
    </row>
    <row r="1415" spans="1:37"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s="1">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s="2">
        <f>IF(tblHR[[#This Row],[Attrition]]="Yes",1,0)</f>
        <v>0</v>
      </c>
      <c r="AK1415" t="str">
        <f>IF(tblHR[[#This Row],[Age]]&lt;26,"18-25",IF(tblHR[[#This Row],[Age]]&lt;36,"26-35",IF(tblHR[[#This Row],[Age]]&lt;46,"36-45",IF(tblHR[[#This Row],[Age]]&lt;56,"46-55","56+"))))</f>
        <v>18-25</v>
      </c>
    </row>
    <row r="1416" spans="1:37"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s="1">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s="2">
        <f>IF(tblHR[[#This Row],[Attrition]]="Yes",1,0)</f>
        <v>0</v>
      </c>
      <c r="AK1416" t="str">
        <f>IF(tblHR[[#This Row],[Age]]&lt;26,"18-25",IF(tblHR[[#This Row],[Age]]&lt;36,"26-35",IF(tblHR[[#This Row],[Age]]&lt;46,"36-45",IF(tblHR[[#This Row],[Age]]&lt;56,"46-55","56+"))))</f>
        <v>46-55</v>
      </c>
    </row>
    <row r="1417" spans="1:37"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s="1">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s="2">
        <f>IF(tblHR[[#This Row],[Attrition]]="Yes",1,0)</f>
        <v>0</v>
      </c>
      <c r="AK1417" t="str">
        <f>IF(tblHR[[#This Row],[Age]]&lt;26,"18-25",IF(tblHR[[#This Row],[Age]]&lt;36,"26-35",IF(tblHR[[#This Row],[Age]]&lt;46,"36-45",IF(tblHR[[#This Row],[Age]]&lt;56,"46-55","56+"))))</f>
        <v>26-35</v>
      </c>
    </row>
    <row r="1418" spans="1:37"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s="1">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s="2">
        <f>IF(tblHR[[#This Row],[Attrition]]="Yes",1,0)</f>
        <v>0</v>
      </c>
      <c r="AK1418" t="str">
        <f>IF(tblHR[[#This Row],[Age]]&lt;26,"18-25",IF(tblHR[[#This Row],[Age]]&lt;36,"26-35",IF(tblHR[[#This Row],[Age]]&lt;46,"36-45",IF(tblHR[[#This Row],[Age]]&lt;56,"46-55","56+"))))</f>
        <v>36-45</v>
      </c>
    </row>
    <row r="1419" spans="1:37"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s="1">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s="2">
        <f>IF(tblHR[[#This Row],[Attrition]]="Yes",1,0)</f>
        <v>0</v>
      </c>
      <c r="AK1419" t="str">
        <f>IF(tblHR[[#This Row],[Age]]&lt;26,"18-25",IF(tblHR[[#This Row],[Age]]&lt;36,"26-35",IF(tblHR[[#This Row],[Age]]&lt;46,"36-45",IF(tblHR[[#This Row],[Age]]&lt;56,"46-55","56+"))))</f>
        <v>26-35</v>
      </c>
    </row>
    <row r="1420" spans="1:37"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s="1">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s="2">
        <f>IF(tblHR[[#This Row],[Attrition]]="Yes",1,0)</f>
        <v>0</v>
      </c>
      <c r="AK1420" t="str">
        <f>IF(tblHR[[#This Row],[Age]]&lt;26,"18-25",IF(tblHR[[#This Row],[Age]]&lt;36,"26-35",IF(tblHR[[#This Row],[Age]]&lt;46,"36-45",IF(tblHR[[#This Row],[Age]]&lt;56,"46-55","56+"))))</f>
        <v>36-45</v>
      </c>
    </row>
    <row r="1421" spans="1:37"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s="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s="2">
        <f>IF(tblHR[[#This Row],[Attrition]]="Yes",1,0)</f>
        <v>0</v>
      </c>
      <c r="AK1421" t="str">
        <f>IF(tblHR[[#This Row],[Age]]&lt;26,"18-25",IF(tblHR[[#This Row],[Age]]&lt;36,"26-35",IF(tblHR[[#This Row],[Age]]&lt;46,"36-45",IF(tblHR[[#This Row],[Age]]&lt;56,"46-55","56+"))))</f>
        <v>36-45</v>
      </c>
    </row>
    <row r="1422" spans="1:37"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s="1">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s="2">
        <f>IF(tblHR[[#This Row],[Attrition]]="Yes",1,0)</f>
        <v>0</v>
      </c>
      <c r="AK1422" t="str">
        <f>IF(tblHR[[#This Row],[Age]]&lt;26,"18-25",IF(tblHR[[#This Row],[Age]]&lt;36,"26-35",IF(tblHR[[#This Row],[Age]]&lt;46,"36-45",IF(tblHR[[#This Row],[Age]]&lt;56,"46-55","56+"))))</f>
        <v>36-45</v>
      </c>
    </row>
    <row r="1423" spans="1:37"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s="1">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s="2">
        <f>IF(tblHR[[#This Row],[Attrition]]="Yes",1,0)</f>
        <v>0</v>
      </c>
      <c r="AK1423" t="str">
        <f>IF(tblHR[[#This Row],[Age]]&lt;26,"18-25",IF(tblHR[[#This Row],[Age]]&lt;36,"26-35",IF(tblHR[[#This Row],[Age]]&lt;46,"36-45",IF(tblHR[[#This Row],[Age]]&lt;56,"46-55","56+"))))</f>
        <v>46-55</v>
      </c>
    </row>
    <row r="1424" spans="1:37"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s="1">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s="2">
        <f>IF(tblHR[[#This Row],[Attrition]]="Yes",1,0)</f>
        <v>0</v>
      </c>
      <c r="AK1424" t="str">
        <f>IF(tblHR[[#This Row],[Age]]&lt;26,"18-25",IF(tblHR[[#This Row],[Age]]&lt;36,"26-35",IF(tblHR[[#This Row],[Age]]&lt;46,"36-45",IF(tblHR[[#This Row],[Age]]&lt;56,"46-55","56+"))))</f>
        <v>26-35</v>
      </c>
    </row>
    <row r="1425" spans="1:37"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s="1">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s="2">
        <f>IF(tblHR[[#This Row],[Attrition]]="Yes",1,0)</f>
        <v>0</v>
      </c>
      <c r="AK1425" t="str">
        <f>IF(tblHR[[#This Row],[Age]]&lt;26,"18-25",IF(tblHR[[#This Row],[Age]]&lt;36,"26-35",IF(tblHR[[#This Row],[Age]]&lt;46,"36-45",IF(tblHR[[#This Row],[Age]]&lt;56,"46-55","56+"))))</f>
        <v>18-25</v>
      </c>
    </row>
    <row r="1426" spans="1:37"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s="1">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s="2">
        <f>IF(tblHR[[#This Row],[Attrition]]="Yes",1,0)</f>
        <v>0</v>
      </c>
      <c r="AK1426" t="str">
        <f>IF(tblHR[[#This Row],[Age]]&lt;26,"18-25",IF(tblHR[[#This Row],[Age]]&lt;36,"26-35",IF(tblHR[[#This Row],[Age]]&lt;46,"36-45",IF(tblHR[[#This Row],[Age]]&lt;56,"46-55","56+"))))</f>
        <v>26-35</v>
      </c>
    </row>
    <row r="1427" spans="1:37"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s="1">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s="2">
        <f>IF(tblHR[[#This Row],[Attrition]]="Yes",1,0)</f>
        <v>0</v>
      </c>
      <c r="AK1427" t="str">
        <f>IF(tblHR[[#This Row],[Age]]&lt;26,"18-25",IF(tblHR[[#This Row],[Age]]&lt;36,"26-35",IF(tblHR[[#This Row],[Age]]&lt;46,"36-45",IF(tblHR[[#This Row],[Age]]&lt;56,"46-55","56+"))))</f>
        <v>26-35</v>
      </c>
    </row>
    <row r="1428" spans="1:37"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s="1">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s="2">
        <f>IF(tblHR[[#This Row],[Attrition]]="Yes",1,0)</f>
        <v>0</v>
      </c>
      <c r="AK1428" t="str">
        <f>IF(tblHR[[#This Row],[Age]]&lt;26,"18-25",IF(tblHR[[#This Row],[Age]]&lt;36,"26-35",IF(tblHR[[#This Row],[Age]]&lt;46,"36-45",IF(tblHR[[#This Row],[Age]]&lt;56,"46-55","56+"))))</f>
        <v>26-35</v>
      </c>
    </row>
    <row r="1429" spans="1:37"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s="1">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s="2">
        <f>IF(tblHR[[#This Row],[Attrition]]="Yes",1,0)</f>
        <v>0</v>
      </c>
      <c r="AK1429" t="str">
        <f>IF(tblHR[[#This Row],[Age]]&lt;26,"18-25",IF(tblHR[[#This Row],[Age]]&lt;36,"26-35",IF(tblHR[[#This Row],[Age]]&lt;46,"36-45",IF(tblHR[[#This Row],[Age]]&lt;56,"46-55","56+"))))</f>
        <v>36-45</v>
      </c>
    </row>
    <row r="1430" spans="1:37"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s="1">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s="2">
        <f>IF(tblHR[[#This Row],[Attrition]]="Yes",1,0)</f>
        <v>0</v>
      </c>
      <c r="AK1430" t="str">
        <f>IF(tblHR[[#This Row],[Age]]&lt;26,"18-25",IF(tblHR[[#This Row],[Age]]&lt;36,"26-35",IF(tblHR[[#This Row],[Age]]&lt;46,"36-45",IF(tblHR[[#This Row],[Age]]&lt;56,"46-55","56+"))))</f>
        <v>26-35</v>
      </c>
    </row>
    <row r="1431" spans="1:37"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s="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s="2">
        <f>IF(tblHR[[#This Row],[Attrition]]="Yes",1,0)</f>
        <v>0</v>
      </c>
      <c r="AK1431" t="str">
        <f>IF(tblHR[[#This Row],[Age]]&lt;26,"18-25",IF(tblHR[[#This Row],[Age]]&lt;36,"26-35",IF(tblHR[[#This Row],[Age]]&lt;46,"36-45",IF(tblHR[[#This Row],[Age]]&lt;56,"46-55","56+"))))</f>
        <v>36-45</v>
      </c>
    </row>
    <row r="1432" spans="1:37"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s="1">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s="2">
        <f>IF(tblHR[[#This Row],[Attrition]]="Yes",1,0)</f>
        <v>0</v>
      </c>
      <c r="AK1432" t="str">
        <f>IF(tblHR[[#This Row],[Age]]&lt;26,"18-25",IF(tblHR[[#This Row],[Age]]&lt;36,"26-35",IF(tblHR[[#This Row],[Age]]&lt;46,"36-45",IF(tblHR[[#This Row],[Age]]&lt;56,"46-55","56+"))))</f>
        <v>36-45</v>
      </c>
    </row>
    <row r="1433" spans="1:37"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s="1">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s="2">
        <f>IF(tblHR[[#This Row],[Attrition]]="Yes",1,0)</f>
        <v>0</v>
      </c>
      <c r="AK1433" t="str">
        <f>IF(tblHR[[#This Row],[Age]]&lt;26,"18-25",IF(tblHR[[#This Row],[Age]]&lt;36,"26-35",IF(tblHR[[#This Row],[Age]]&lt;46,"36-45",IF(tblHR[[#This Row],[Age]]&lt;56,"46-55","56+"))))</f>
        <v>26-35</v>
      </c>
    </row>
    <row r="1434" spans="1:37"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s="1">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s="2">
        <f>IF(tblHR[[#This Row],[Attrition]]="Yes",1,0)</f>
        <v>0</v>
      </c>
      <c r="AK1434" t="str">
        <f>IF(tblHR[[#This Row],[Age]]&lt;26,"18-25",IF(tblHR[[#This Row],[Age]]&lt;36,"26-35",IF(tblHR[[#This Row],[Age]]&lt;46,"36-45",IF(tblHR[[#This Row],[Age]]&lt;56,"46-55","56+"))))</f>
        <v>36-45</v>
      </c>
    </row>
    <row r="1435" spans="1:37"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s="1">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s="2">
        <f>IF(tblHR[[#This Row],[Attrition]]="Yes",1,0)</f>
        <v>0</v>
      </c>
      <c r="AK1435" t="str">
        <f>IF(tblHR[[#This Row],[Age]]&lt;26,"18-25",IF(tblHR[[#This Row],[Age]]&lt;36,"26-35",IF(tblHR[[#This Row],[Age]]&lt;46,"36-45",IF(tblHR[[#This Row],[Age]]&lt;56,"46-55","56+"))))</f>
        <v>18-25</v>
      </c>
    </row>
    <row r="1436" spans="1:37"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s="1">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s="2">
        <f>IF(tblHR[[#This Row],[Attrition]]="Yes",1,0)</f>
        <v>0</v>
      </c>
      <c r="AK1436" t="str">
        <f>IF(tblHR[[#This Row],[Age]]&lt;26,"18-25",IF(tblHR[[#This Row],[Age]]&lt;36,"26-35",IF(tblHR[[#This Row],[Age]]&lt;46,"36-45",IF(tblHR[[#This Row],[Age]]&lt;56,"46-55","56+"))))</f>
        <v>46-55</v>
      </c>
    </row>
    <row r="1437" spans="1:37"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s="1">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s="2">
        <f>IF(tblHR[[#This Row],[Attrition]]="Yes",1,0)</f>
        <v>0</v>
      </c>
      <c r="AK1437" t="str">
        <f>IF(tblHR[[#This Row],[Age]]&lt;26,"18-25",IF(tblHR[[#This Row],[Age]]&lt;36,"26-35",IF(tblHR[[#This Row],[Age]]&lt;46,"36-45",IF(tblHR[[#This Row],[Age]]&lt;56,"46-55","56+"))))</f>
        <v>36-45</v>
      </c>
    </row>
    <row r="1438" spans="1:37"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s="1">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s="2">
        <f>IF(tblHR[[#This Row],[Attrition]]="Yes",1,0)</f>
        <v>0</v>
      </c>
      <c r="AK1438" t="str">
        <f>IF(tblHR[[#This Row],[Age]]&lt;26,"18-25",IF(tblHR[[#This Row],[Age]]&lt;36,"26-35",IF(tblHR[[#This Row],[Age]]&lt;46,"36-45",IF(tblHR[[#This Row],[Age]]&lt;56,"46-55","56+"))))</f>
        <v>18-25</v>
      </c>
    </row>
    <row r="1439" spans="1:37"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s="1">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s="2">
        <f>IF(tblHR[[#This Row],[Attrition]]="Yes",1,0)</f>
        <v>0</v>
      </c>
      <c r="AK1439" t="str">
        <f>IF(tblHR[[#This Row],[Age]]&lt;26,"18-25",IF(tblHR[[#This Row],[Age]]&lt;36,"26-35",IF(tblHR[[#This Row],[Age]]&lt;46,"36-45",IF(tblHR[[#This Row],[Age]]&lt;56,"46-55","56+"))))</f>
        <v>36-45</v>
      </c>
    </row>
    <row r="1440" spans="1:37"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s="1">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s="2">
        <f>IF(tblHR[[#This Row],[Attrition]]="Yes",1,0)</f>
        <v>1</v>
      </c>
      <c r="AK1440" t="str">
        <f>IF(tblHR[[#This Row],[Age]]&lt;26,"18-25",IF(tblHR[[#This Row],[Age]]&lt;36,"26-35",IF(tblHR[[#This Row],[Age]]&lt;46,"36-45",IF(tblHR[[#This Row],[Age]]&lt;56,"46-55","56+"))))</f>
        <v>18-25</v>
      </c>
    </row>
    <row r="1441" spans="1:37"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s="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s="2">
        <f>IF(tblHR[[#This Row],[Attrition]]="Yes",1,0)</f>
        <v>0</v>
      </c>
      <c r="AK1441" t="str">
        <f>IF(tblHR[[#This Row],[Age]]&lt;26,"18-25",IF(tblHR[[#This Row],[Age]]&lt;36,"26-35",IF(tblHR[[#This Row],[Age]]&lt;46,"36-45",IF(tblHR[[#This Row],[Age]]&lt;56,"46-55","56+"))))</f>
        <v>36-45</v>
      </c>
    </row>
    <row r="1442" spans="1:37"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s="1">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s="2">
        <f>IF(tblHR[[#This Row],[Attrition]]="Yes",1,0)</f>
        <v>0</v>
      </c>
      <c r="AK1442" t="str">
        <f>IF(tblHR[[#This Row],[Age]]&lt;26,"18-25",IF(tblHR[[#This Row],[Age]]&lt;36,"26-35",IF(tblHR[[#This Row],[Age]]&lt;46,"36-45",IF(tblHR[[#This Row],[Age]]&lt;56,"46-55","56+"))))</f>
        <v>36-45</v>
      </c>
    </row>
    <row r="1443" spans="1:37"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s="1">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s="2">
        <f>IF(tblHR[[#This Row],[Attrition]]="Yes",1,0)</f>
        <v>0</v>
      </c>
      <c r="AK1443" t="str">
        <f>IF(tblHR[[#This Row],[Age]]&lt;26,"18-25",IF(tblHR[[#This Row],[Age]]&lt;36,"26-35",IF(tblHR[[#This Row],[Age]]&lt;46,"36-45",IF(tblHR[[#This Row],[Age]]&lt;56,"46-55","56+"))))</f>
        <v>56+</v>
      </c>
    </row>
    <row r="1444" spans="1:37"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s="1">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s="2">
        <f>IF(tblHR[[#This Row],[Attrition]]="Yes",1,0)</f>
        <v>1</v>
      </c>
      <c r="AK1444" t="str">
        <f>IF(tblHR[[#This Row],[Age]]&lt;26,"18-25",IF(tblHR[[#This Row],[Age]]&lt;36,"26-35",IF(tblHR[[#This Row],[Age]]&lt;46,"36-45",IF(tblHR[[#This Row],[Age]]&lt;56,"46-55","56+"))))</f>
        <v>26-35</v>
      </c>
    </row>
    <row r="1445" spans="1:37"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s="1">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s="2">
        <f>IF(tblHR[[#This Row],[Attrition]]="Yes",1,0)</f>
        <v>0</v>
      </c>
      <c r="AK1445" t="str">
        <f>IF(tblHR[[#This Row],[Age]]&lt;26,"18-25",IF(tblHR[[#This Row],[Age]]&lt;36,"26-35",IF(tblHR[[#This Row],[Age]]&lt;46,"36-45",IF(tblHR[[#This Row],[Age]]&lt;56,"46-55","56+"))))</f>
        <v>36-45</v>
      </c>
    </row>
    <row r="1446" spans="1:37"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s="1">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s="2">
        <f>IF(tblHR[[#This Row],[Attrition]]="Yes",1,0)</f>
        <v>1</v>
      </c>
      <c r="AK1446" t="str">
        <f>IF(tblHR[[#This Row],[Age]]&lt;26,"18-25",IF(tblHR[[#This Row],[Age]]&lt;36,"26-35",IF(tblHR[[#This Row],[Age]]&lt;46,"36-45",IF(tblHR[[#This Row],[Age]]&lt;56,"46-55","56+"))))</f>
        <v>56+</v>
      </c>
    </row>
    <row r="1447" spans="1:37"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s="1">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s="2">
        <f>IF(tblHR[[#This Row],[Attrition]]="Yes",1,0)</f>
        <v>0</v>
      </c>
      <c r="AK1447" t="str">
        <f>IF(tblHR[[#This Row],[Age]]&lt;26,"18-25",IF(tblHR[[#This Row],[Age]]&lt;36,"26-35",IF(tblHR[[#This Row],[Age]]&lt;46,"36-45",IF(tblHR[[#This Row],[Age]]&lt;56,"46-55","56+"))))</f>
        <v>36-45</v>
      </c>
    </row>
    <row r="1448" spans="1:37"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s="1">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s="2">
        <f>IF(tblHR[[#This Row],[Attrition]]="Yes",1,0)</f>
        <v>0</v>
      </c>
      <c r="AK1448" t="str">
        <f>IF(tblHR[[#This Row],[Age]]&lt;26,"18-25",IF(tblHR[[#This Row],[Age]]&lt;36,"26-35",IF(tblHR[[#This Row],[Age]]&lt;46,"36-45",IF(tblHR[[#This Row],[Age]]&lt;56,"46-55","56+"))))</f>
        <v>26-35</v>
      </c>
    </row>
    <row r="1449" spans="1:37"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s="1">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s="2">
        <f>IF(tblHR[[#This Row],[Attrition]]="Yes",1,0)</f>
        <v>0</v>
      </c>
      <c r="AK1449" t="str">
        <f>IF(tblHR[[#This Row],[Age]]&lt;26,"18-25",IF(tblHR[[#This Row],[Age]]&lt;36,"26-35",IF(tblHR[[#This Row],[Age]]&lt;46,"36-45",IF(tblHR[[#This Row],[Age]]&lt;56,"46-55","56+"))))</f>
        <v>36-45</v>
      </c>
    </row>
    <row r="1450" spans="1:37"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s="1">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s="2">
        <f>IF(tblHR[[#This Row],[Attrition]]="Yes",1,0)</f>
        <v>0</v>
      </c>
      <c r="AK1450" t="str">
        <f>IF(tblHR[[#This Row],[Age]]&lt;26,"18-25",IF(tblHR[[#This Row],[Age]]&lt;36,"26-35",IF(tblHR[[#This Row],[Age]]&lt;46,"36-45",IF(tblHR[[#This Row],[Age]]&lt;56,"46-55","56+"))))</f>
        <v>36-45</v>
      </c>
    </row>
    <row r="1451" spans="1:37"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s="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s="2">
        <f>IF(tblHR[[#This Row],[Attrition]]="Yes",1,0)</f>
        <v>0</v>
      </c>
      <c r="AK1451" t="str">
        <f>IF(tblHR[[#This Row],[Age]]&lt;26,"18-25",IF(tblHR[[#This Row],[Age]]&lt;36,"26-35",IF(tblHR[[#This Row],[Age]]&lt;46,"36-45",IF(tblHR[[#This Row],[Age]]&lt;56,"46-55","56+"))))</f>
        <v>26-35</v>
      </c>
    </row>
    <row r="1452" spans="1:37"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s="1">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s="2">
        <f>IF(tblHR[[#This Row],[Attrition]]="Yes",1,0)</f>
        <v>0</v>
      </c>
      <c r="AK1452" t="str">
        <f>IF(tblHR[[#This Row],[Age]]&lt;26,"18-25",IF(tblHR[[#This Row],[Age]]&lt;36,"26-35",IF(tblHR[[#This Row],[Age]]&lt;46,"36-45",IF(tblHR[[#This Row],[Age]]&lt;56,"46-55","56+"))))</f>
        <v>26-35</v>
      </c>
    </row>
    <row r="1453" spans="1:37"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s="1">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s="2">
        <f>IF(tblHR[[#This Row],[Attrition]]="Yes",1,0)</f>
        <v>0</v>
      </c>
      <c r="AK1453" t="str">
        <f>IF(tblHR[[#This Row],[Age]]&lt;26,"18-25",IF(tblHR[[#This Row],[Age]]&lt;36,"26-35",IF(tblHR[[#This Row],[Age]]&lt;46,"36-45",IF(tblHR[[#This Row],[Age]]&lt;56,"46-55","56+"))))</f>
        <v>36-45</v>
      </c>
    </row>
    <row r="1454" spans="1:37"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s="1">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s="2">
        <f>IF(tblHR[[#This Row],[Attrition]]="Yes",1,0)</f>
        <v>1</v>
      </c>
      <c r="AK1454" t="str">
        <f>IF(tblHR[[#This Row],[Age]]&lt;26,"18-25",IF(tblHR[[#This Row],[Age]]&lt;36,"26-35",IF(tblHR[[#This Row],[Age]]&lt;46,"36-45",IF(tblHR[[#This Row],[Age]]&lt;56,"46-55","56+"))))</f>
        <v>46-55</v>
      </c>
    </row>
    <row r="1455" spans="1:37"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s="1">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s="2">
        <f>IF(tblHR[[#This Row],[Attrition]]="Yes",1,0)</f>
        <v>0</v>
      </c>
      <c r="AK1455" t="str">
        <f>IF(tblHR[[#This Row],[Age]]&lt;26,"18-25",IF(tblHR[[#This Row],[Age]]&lt;36,"26-35",IF(tblHR[[#This Row],[Age]]&lt;46,"36-45",IF(tblHR[[#This Row],[Age]]&lt;56,"46-55","56+"))))</f>
        <v>36-45</v>
      </c>
    </row>
    <row r="1456" spans="1:37"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s="1">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s="2">
        <f>IF(tblHR[[#This Row],[Attrition]]="Yes",1,0)</f>
        <v>0</v>
      </c>
      <c r="AK1456" t="str">
        <f>IF(tblHR[[#This Row],[Age]]&lt;26,"18-25",IF(tblHR[[#This Row],[Age]]&lt;36,"26-35",IF(tblHR[[#This Row],[Age]]&lt;46,"36-45",IF(tblHR[[#This Row],[Age]]&lt;56,"46-55","56+"))))</f>
        <v>36-45</v>
      </c>
    </row>
    <row r="1457" spans="1:37"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s="1">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s="2">
        <f>IF(tblHR[[#This Row],[Attrition]]="Yes",1,0)</f>
        <v>0</v>
      </c>
      <c r="AK1457" t="str">
        <f>IF(tblHR[[#This Row],[Age]]&lt;26,"18-25",IF(tblHR[[#This Row],[Age]]&lt;36,"26-35",IF(tblHR[[#This Row],[Age]]&lt;46,"36-45",IF(tblHR[[#This Row],[Age]]&lt;56,"46-55","56+"))))</f>
        <v>36-45</v>
      </c>
    </row>
    <row r="1458" spans="1:37"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s="1">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s="2">
        <f>IF(tblHR[[#This Row],[Attrition]]="Yes",1,0)</f>
        <v>0</v>
      </c>
      <c r="AK1458" t="str">
        <f>IF(tblHR[[#This Row],[Age]]&lt;26,"18-25",IF(tblHR[[#This Row],[Age]]&lt;36,"26-35",IF(tblHR[[#This Row],[Age]]&lt;46,"36-45",IF(tblHR[[#This Row],[Age]]&lt;56,"46-55","56+"))))</f>
        <v>26-35</v>
      </c>
    </row>
    <row r="1459" spans="1:37"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s="1">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s="2">
        <f>IF(tblHR[[#This Row],[Attrition]]="Yes",1,0)</f>
        <v>0</v>
      </c>
      <c r="AK1459" t="str">
        <f>IF(tblHR[[#This Row],[Age]]&lt;26,"18-25",IF(tblHR[[#This Row],[Age]]&lt;36,"26-35",IF(tblHR[[#This Row],[Age]]&lt;46,"36-45",IF(tblHR[[#This Row],[Age]]&lt;56,"46-55","56+"))))</f>
        <v>36-45</v>
      </c>
    </row>
    <row r="1460" spans="1:37"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s="1">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s="2">
        <f>IF(tblHR[[#This Row],[Attrition]]="Yes",1,0)</f>
        <v>0</v>
      </c>
      <c r="AK1460" t="str">
        <f>IF(tblHR[[#This Row],[Age]]&lt;26,"18-25",IF(tblHR[[#This Row],[Age]]&lt;36,"26-35",IF(tblHR[[#This Row],[Age]]&lt;46,"36-45",IF(tblHR[[#This Row],[Age]]&lt;56,"46-55","56+"))))</f>
        <v>26-35</v>
      </c>
    </row>
    <row r="1461" spans="1:37"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s="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s="2">
        <f>IF(tblHR[[#This Row],[Attrition]]="Yes",1,0)</f>
        <v>0</v>
      </c>
      <c r="AK1461" t="str">
        <f>IF(tblHR[[#This Row],[Age]]&lt;26,"18-25",IF(tblHR[[#This Row],[Age]]&lt;36,"26-35",IF(tblHR[[#This Row],[Age]]&lt;46,"36-45",IF(tblHR[[#This Row],[Age]]&lt;56,"46-55","56+"))))</f>
        <v>26-35</v>
      </c>
    </row>
    <row r="1462" spans="1:37"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s="1">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s="2">
        <f>IF(tblHR[[#This Row],[Attrition]]="Yes",1,0)</f>
        <v>0</v>
      </c>
      <c r="AK1462" t="str">
        <f>IF(tblHR[[#This Row],[Age]]&lt;26,"18-25",IF(tblHR[[#This Row],[Age]]&lt;36,"26-35",IF(tblHR[[#This Row],[Age]]&lt;46,"36-45",IF(tblHR[[#This Row],[Age]]&lt;56,"46-55","56+"))))</f>
        <v>26-35</v>
      </c>
    </row>
    <row r="1463" spans="1:37"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s="1">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s="2">
        <f>IF(tblHR[[#This Row],[Attrition]]="Yes",1,0)</f>
        <v>1</v>
      </c>
      <c r="AK1463" t="str">
        <f>IF(tblHR[[#This Row],[Age]]&lt;26,"18-25",IF(tblHR[[#This Row],[Age]]&lt;36,"26-35",IF(tblHR[[#This Row],[Age]]&lt;46,"36-45",IF(tblHR[[#This Row],[Age]]&lt;56,"46-55","56+"))))</f>
        <v>46-55</v>
      </c>
    </row>
    <row r="1464" spans="1:37"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s="1">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s="2">
        <f>IF(tblHR[[#This Row],[Attrition]]="Yes",1,0)</f>
        <v>0</v>
      </c>
      <c r="AK1464" t="str">
        <f>IF(tblHR[[#This Row],[Age]]&lt;26,"18-25",IF(tblHR[[#This Row],[Age]]&lt;36,"26-35",IF(tblHR[[#This Row],[Age]]&lt;46,"36-45",IF(tblHR[[#This Row],[Age]]&lt;56,"46-55","56+"))))</f>
        <v>36-45</v>
      </c>
    </row>
    <row r="1465" spans="1:37"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s="1">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s="2">
        <f>IF(tblHR[[#This Row],[Attrition]]="Yes",1,0)</f>
        <v>0</v>
      </c>
      <c r="AK1465" t="str">
        <f>IF(tblHR[[#This Row],[Age]]&lt;26,"18-25",IF(tblHR[[#This Row],[Age]]&lt;36,"26-35",IF(tblHR[[#This Row],[Age]]&lt;46,"36-45",IF(tblHR[[#This Row],[Age]]&lt;56,"46-55","56+"))))</f>
        <v>26-35</v>
      </c>
    </row>
    <row r="1466" spans="1:37"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s="1">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s="2">
        <f>IF(tblHR[[#This Row],[Attrition]]="Yes",1,0)</f>
        <v>0</v>
      </c>
      <c r="AK1466" t="str">
        <f>IF(tblHR[[#This Row],[Age]]&lt;26,"18-25",IF(tblHR[[#This Row],[Age]]&lt;36,"26-35",IF(tblHR[[#This Row],[Age]]&lt;46,"36-45",IF(tblHR[[#This Row],[Age]]&lt;56,"46-55","56+"))))</f>
        <v>26-35</v>
      </c>
    </row>
    <row r="1467" spans="1:37"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s="1">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s="2">
        <f>IF(tblHR[[#This Row],[Attrition]]="Yes",1,0)</f>
        <v>0</v>
      </c>
      <c r="AK1467" t="str">
        <f>IF(tblHR[[#This Row],[Age]]&lt;26,"18-25",IF(tblHR[[#This Row],[Age]]&lt;36,"26-35",IF(tblHR[[#This Row],[Age]]&lt;46,"36-45",IF(tblHR[[#This Row],[Age]]&lt;56,"46-55","56+"))))</f>
        <v>36-45</v>
      </c>
    </row>
    <row r="1468" spans="1:37"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s="1">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s="2">
        <f>IF(tblHR[[#This Row],[Attrition]]="Yes",1,0)</f>
        <v>0</v>
      </c>
      <c r="AK1468" t="str">
        <f>IF(tblHR[[#This Row],[Age]]&lt;26,"18-25",IF(tblHR[[#This Row],[Age]]&lt;36,"26-35",IF(tblHR[[#This Row],[Age]]&lt;46,"36-45",IF(tblHR[[#This Row],[Age]]&lt;56,"46-55","56+"))))</f>
        <v>36-45</v>
      </c>
    </row>
    <row r="1469" spans="1:37"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s="1">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s="2">
        <f>IF(tblHR[[#This Row],[Attrition]]="Yes",1,0)</f>
        <v>0</v>
      </c>
      <c r="AK1469" t="str">
        <f>IF(tblHR[[#This Row],[Age]]&lt;26,"18-25",IF(tblHR[[#This Row],[Age]]&lt;36,"26-35",IF(tblHR[[#This Row],[Age]]&lt;46,"36-45",IF(tblHR[[#This Row],[Age]]&lt;56,"46-55","56+"))))</f>
        <v>26-35</v>
      </c>
    </row>
    <row r="1470" spans="1:37"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s="1">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s="2">
        <f>IF(tblHR[[#This Row],[Attrition]]="Yes",1,0)</f>
        <v>0</v>
      </c>
      <c r="AK1470" t="str">
        <f>IF(tblHR[[#This Row],[Age]]&lt;26,"18-25",IF(tblHR[[#This Row],[Age]]&lt;36,"26-35",IF(tblHR[[#This Row],[Age]]&lt;46,"36-45",IF(tblHR[[#This Row],[Age]]&lt;56,"46-55","56+"))))</f>
        <v>46-55</v>
      </c>
    </row>
    <row r="1471" spans="1:37"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s="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s="2">
        <f>IF(tblHR[[#This Row],[Attrition]]="Yes",1,0)</f>
        <v>0</v>
      </c>
      <c r="AK1471" t="str">
        <f>IF(tblHR[[#This Row],[Age]]&lt;26,"18-25",IF(tblHR[[#This Row],[Age]]&lt;36,"26-35",IF(tblHR[[#This Row],[Age]]&lt;46,"36-45",IF(tblHR[[#This Row],[Age]]&lt;56,"46-55","56+"))))</f>
        <v>26-35</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57CFA-67DC-47EC-A00F-8CD0FEF0EB14}">
  <sheetPr codeName="Sheet3"/>
  <dimension ref="A3:U59"/>
  <sheetViews>
    <sheetView topLeftCell="B14" workbookViewId="0">
      <selection activeCell="AG17" sqref="AG17"/>
    </sheetView>
  </sheetViews>
  <sheetFormatPr defaultRowHeight="15" x14ac:dyDescent="0.25"/>
  <cols>
    <col min="1" max="1" width="22.7109375" bestFit="1" customWidth="1"/>
    <col min="2" max="3" width="5" bestFit="1" customWidth="1"/>
    <col min="5" max="5" width="16.140625" bestFit="1" customWidth="1"/>
    <col min="6" max="6" width="11" bestFit="1" customWidth="1"/>
    <col min="7" max="7" width="10.42578125" bestFit="1" customWidth="1"/>
    <col min="8" max="8" width="5" bestFit="1" customWidth="1"/>
    <col min="9" max="9" width="11" bestFit="1" customWidth="1"/>
    <col min="10" max="10" width="10.42578125" bestFit="1" customWidth="1"/>
    <col min="11" max="11" width="5" bestFit="1" customWidth="1"/>
    <col min="12" max="12" width="10.5703125" bestFit="1" customWidth="1"/>
    <col min="13" max="13" width="11.42578125" bestFit="1" customWidth="1"/>
    <col min="14" max="14" width="10.42578125" bestFit="1" customWidth="1"/>
    <col min="15" max="15" width="5" bestFit="1" customWidth="1"/>
    <col min="16" max="16" width="8" bestFit="1" customWidth="1"/>
    <col min="17" max="17" width="10.42578125" bestFit="1" customWidth="1"/>
    <col min="18" max="18" width="5" bestFit="1" customWidth="1"/>
    <col min="19" max="19" width="18.5703125" bestFit="1" customWidth="1"/>
    <col min="20" max="20" width="10.42578125" bestFit="1" customWidth="1"/>
    <col min="21" max="21" width="7.5703125" bestFit="1" customWidth="1"/>
  </cols>
  <sheetData>
    <row r="3" spans="1:21" x14ac:dyDescent="0.25">
      <c r="A3" s="4" t="s">
        <v>4</v>
      </c>
      <c r="B3" s="5" t="s">
        <v>66</v>
      </c>
      <c r="C3" s="5" t="s">
        <v>62</v>
      </c>
      <c r="E3" s="4" t="s">
        <v>7</v>
      </c>
      <c r="F3" s="5" t="s">
        <v>62</v>
      </c>
      <c r="I3" s="4" t="s">
        <v>64</v>
      </c>
      <c r="J3" s="5" t="s">
        <v>66</v>
      </c>
      <c r="K3" s="5" t="s">
        <v>62</v>
      </c>
      <c r="M3" s="4" t="s">
        <v>22</v>
      </c>
      <c r="N3" s="5" t="s">
        <v>66</v>
      </c>
      <c r="O3" s="5" t="s">
        <v>62</v>
      </c>
      <c r="Q3" s="5" t="s">
        <v>66</v>
      </c>
      <c r="R3" s="5" t="s">
        <v>62</v>
      </c>
      <c r="S3" s="5" t="s">
        <v>72</v>
      </c>
      <c r="T3" s="5" t="s">
        <v>73</v>
      </c>
      <c r="U3" s="5" t="s">
        <v>74</v>
      </c>
    </row>
    <row r="4" spans="1:21" x14ac:dyDescent="0.25">
      <c r="A4" s="5" t="s">
        <v>61</v>
      </c>
      <c r="B4" s="6">
        <v>63</v>
      </c>
      <c r="C4" s="6">
        <v>12</v>
      </c>
      <c r="E4" s="5" t="s">
        <v>61</v>
      </c>
      <c r="F4" s="6">
        <v>7</v>
      </c>
      <c r="I4" s="5" t="s">
        <v>67</v>
      </c>
      <c r="J4" s="6">
        <v>123</v>
      </c>
      <c r="K4" s="6">
        <v>44</v>
      </c>
      <c r="M4" s="5" t="s">
        <v>43</v>
      </c>
      <c r="N4" s="6">
        <v>1054</v>
      </c>
      <c r="O4" s="6">
        <v>110</v>
      </c>
      <c r="Q4" s="6">
        <v>1470</v>
      </c>
      <c r="R4" s="6">
        <v>237</v>
      </c>
      <c r="S4" s="7">
        <v>6502.931292517007</v>
      </c>
      <c r="T4" s="8">
        <v>7.0081632653061225</v>
      </c>
      <c r="U4" s="8">
        <v>36.923809523809524</v>
      </c>
    </row>
    <row r="5" spans="1:21" x14ac:dyDescent="0.25">
      <c r="A5" s="5" t="s">
        <v>45</v>
      </c>
      <c r="B5" s="6">
        <v>961</v>
      </c>
      <c r="C5" s="6">
        <v>133</v>
      </c>
      <c r="E5" s="5" t="s">
        <v>38</v>
      </c>
      <c r="F5" s="6">
        <v>89</v>
      </c>
      <c r="I5" s="5" t="s">
        <v>68</v>
      </c>
      <c r="J5" s="6">
        <v>606</v>
      </c>
      <c r="K5" s="6">
        <v>116</v>
      </c>
      <c r="M5" s="5" t="s">
        <v>35</v>
      </c>
      <c r="N5" s="6">
        <v>416</v>
      </c>
      <c r="O5" s="6">
        <v>127</v>
      </c>
    </row>
    <row r="6" spans="1:21" x14ac:dyDescent="0.25">
      <c r="A6" s="5" t="s">
        <v>37</v>
      </c>
      <c r="B6" s="6">
        <v>446</v>
      </c>
      <c r="C6" s="6">
        <v>92</v>
      </c>
      <c r="E6" s="5" t="s">
        <v>59</v>
      </c>
      <c r="F6" s="6">
        <v>35</v>
      </c>
      <c r="I6" s="5" t="s">
        <v>69</v>
      </c>
      <c r="J6" s="6">
        <v>468</v>
      </c>
      <c r="K6" s="6">
        <v>43</v>
      </c>
      <c r="M6" s="5" t="s">
        <v>65</v>
      </c>
      <c r="N6" s="6">
        <v>1470</v>
      </c>
      <c r="O6" s="6">
        <v>237</v>
      </c>
    </row>
    <row r="7" spans="1:21" x14ac:dyDescent="0.25">
      <c r="A7" s="5" t="s">
        <v>65</v>
      </c>
      <c r="B7" s="6">
        <v>1470</v>
      </c>
      <c r="C7" s="6">
        <v>237</v>
      </c>
      <c r="E7" s="5" t="s">
        <v>51</v>
      </c>
      <c r="F7" s="6">
        <v>63</v>
      </c>
      <c r="I7" s="5" t="s">
        <v>70</v>
      </c>
      <c r="J7" s="6">
        <v>226</v>
      </c>
      <c r="K7" s="6">
        <v>26</v>
      </c>
    </row>
    <row r="8" spans="1:21" x14ac:dyDescent="0.25">
      <c r="E8" s="5" t="s">
        <v>49</v>
      </c>
      <c r="F8" s="6">
        <v>11</v>
      </c>
      <c r="I8" s="5" t="s">
        <v>71</v>
      </c>
      <c r="J8" s="6">
        <v>47</v>
      </c>
      <c r="K8" s="6">
        <v>8</v>
      </c>
    </row>
    <row r="9" spans="1:21" x14ac:dyDescent="0.25">
      <c r="E9" s="5" t="s">
        <v>60</v>
      </c>
      <c r="F9" s="6">
        <v>32</v>
      </c>
      <c r="I9" s="5" t="s">
        <v>65</v>
      </c>
      <c r="J9" s="6">
        <v>1470</v>
      </c>
      <c r="K9" s="6">
        <v>237</v>
      </c>
    </row>
    <row r="10" spans="1:21" x14ac:dyDescent="0.25">
      <c r="E10" s="5" t="s">
        <v>65</v>
      </c>
      <c r="F10" s="6">
        <v>237</v>
      </c>
    </row>
    <row r="28" spans="1:8" x14ac:dyDescent="0.25">
      <c r="A28" s="4" t="s">
        <v>15</v>
      </c>
      <c r="B28" s="5" t="s">
        <v>62</v>
      </c>
      <c r="F28" s="4" t="s">
        <v>14</v>
      </c>
      <c r="G28" s="5" t="s">
        <v>66</v>
      </c>
      <c r="H28" s="5" t="s">
        <v>62</v>
      </c>
    </row>
    <row r="29" spans="1:8" x14ac:dyDescent="0.25">
      <c r="A29" s="5" t="s">
        <v>54</v>
      </c>
      <c r="B29" s="6">
        <v>9</v>
      </c>
      <c r="F29" s="5">
        <v>1</v>
      </c>
      <c r="G29" s="6">
        <v>543</v>
      </c>
      <c r="H29" s="6">
        <v>143</v>
      </c>
    </row>
    <row r="30" spans="1:8" x14ac:dyDescent="0.25">
      <c r="A30" s="5" t="s">
        <v>61</v>
      </c>
      <c r="B30" s="6">
        <v>12</v>
      </c>
      <c r="F30" s="5">
        <v>2</v>
      </c>
      <c r="G30" s="6">
        <v>534</v>
      </c>
      <c r="H30" s="6">
        <v>52</v>
      </c>
    </row>
    <row r="31" spans="1:8" x14ac:dyDescent="0.25">
      <c r="A31" s="5" t="s">
        <v>50</v>
      </c>
      <c r="B31" s="6">
        <v>62</v>
      </c>
      <c r="F31" s="5">
        <v>3</v>
      </c>
      <c r="G31" s="6">
        <v>218</v>
      </c>
      <c r="H31" s="6">
        <v>32</v>
      </c>
    </row>
    <row r="32" spans="1:8" x14ac:dyDescent="0.25">
      <c r="A32" s="5" t="s">
        <v>56</v>
      </c>
      <c r="B32" s="6">
        <v>5</v>
      </c>
      <c r="F32" s="5">
        <v>4</v>
      </c>
      <c r="G32" s="6">
        <v>106</v>
      </c>
      <c r="H32" s="6">
        <v>5</v>
      </c>
    </row>
    <row r="33" spans="1:8" x14ac:dyDescent="0.25">
      <c r="A33" s="5" t="s">
        <v>53</v>
      </c>
      <c r="B33" s="6">
        <v>10</v>
      </c>
      <c r="F33" s="5">
        <v>5</v>
      </c>
      <c r="G33" s="6">
        <v>69</v>
      </c>
      <c r="H33" s="6">
        <v>5</v>
      </c>
    </row>
    <row r="34" spans="1:8" x14ac:dyDescent="0.25">
      <c r="A34" s="5" t="s">
        <v>58</v>
      </c>
      <c r="B34" s="6">
        <v>2</v>
      </c>
      <c r="F34" s="5" t="s">
        <v>65</v>
      </c>
      <c r="G34" s="6">
        <v>1470</v>
      </c>
      <c r="H34" s="6">
        <v>237</v>
      </c>
    </row>
    <row r="35" spans="1:8" x14ac:dyDescent="0.25">
      <c r="A35" s="5" t="s">
        <v>47</v>
      </c>
      <c r="B35" s="6">
        <v>47</v>
      </c>
    </row>
    <row r="36" spans="1:8" x14ac:dyDescent="0.25">
      <c r="A36" s="5" t="s">
        <v>40</v>
      </c>
      <c r="B36" s="6">
        <v>57</v>
      </c>
    </row>
    <row r="37" spans="1:8" x14ac:dyDescent="0.25">
      <c r="A37" s="5" t="s">
        <v>57</v>
      </c>
      <c r="B37" s="6">
        <v>33</v>
      </c>
    </row>
    <row r="38" spans="1:8" x14ac:dyDescent="0.25">
      <c r="A38" s="5" t="s">
        <v>65</v>
      </c>
      <c r="B38" s="6">
        <v>237</v>
      </c>
    </row>
    <row r="50" spans="1:16" x14ac:dyDescent="0.25">
      <c r="A50" t="s">
        <v>4</v>
      </c>
      <c r="B50" t="s">
        <v>66</v>
      </c>
      <c r="C50" t="s">
        <v>1</v>
      </c>
      <c r="E50" t="s">
        <v>75</v>
      </c>
      <c r="F50" t="s">
        <v>1</v>
      </c>
      <c r="H50" t="s">
        <v>76</v>
      </c>
      <c r="I50" t="s">
        <v>77</v>
      </c>
      <c r="K50" t="s">
        <v>78</v>
      </c>
      <c r="L50" t="s">
        <v>66</v>
      </c>
      <c r="M50" t="s">
        <v>1</v>
      </c>
      <c r="O50" t="s">
        <v>79</v>
      </c>
      <c r="P50" t="s">
        <v>1</v>
      </c>
    </row>
    <row r="51" spans="1:16" x14ac:dyDescent="0.25">
      <c r="A51" t="str">
        <f>Pivot!$A$4</f>
        <v>Human Resources</v>
      </c>
      <c r="B51" s="2">
        <f>Pivot!$B$4</f>
        <v>63</v>
      </c>
      <c r="C51" s="2">
        <f>Pivot!$C$4</f>
        <v>12</v>
      </c>
      <c r="E51" t="str">
        <f>Pivot!$E$4</f>
        <v>Human Resources</v>
      </c>
      <c r="F51" s="2">
        <f>Pivot!$F$4</f>
        <v>7</v>
      </c>
      <c r="H51" t="str">
        <f>Pivot!$I$4</f>
        <v>18-25</v>
      </c>
      <c r="I51" s="9">
        <f>IFERROR(Pivot!$K$4/Pivot!$J$4,0)</f>
        <v>0.35772357723577236</v>
      </c>
      <c r="K51">
        <f>Pivot!$F$29</f>
        <v>1</v>
      </c>
      <c r="L51" s="2">
        <f>Pivot!$G$29</f>
        <v>543</v>
      </c>
      <c r="M51" s="2">
        <f>Pivot!$H$29</f>
        <v>143</v>
      </c>
      <c r="O51" t="str">
        <f>Pivot!$A$29</f>
        <v>Healthcare Representative</v>
      </c>
      <c r="P51" s="2">
        <f>Pivot!$B$29</f>
        <v>9</v>
      </c>
    </row>
    <row r="52" spans="1:16" x14ac:dyDescent="0.25">
      <c r="A52" t="str">
        <f>Pivot!$A$5</f>
        <v>Research &amp; Development</v>
      </c>
      <c r="B52" s="2">
        <f>Pivot!$B$5</f>
        <v>961</v>
      </c>
      <c r="C52" s="2">
        <f>Pivot!$C$5</f>
        <v>133</v>
      </c>
      <c r="E52" t="str">
        <f>Pivot!$E$5</f>
        <v>Life Sciences</v>
      </c>
      <c r="F52" s="2">
        <f>Pivot!$F$5</f>
        <v>89</v>
      </c>
      <c r="H52" t="str">
        <f>Pivot!$I$5</f>
        <v>26-35</v>
      </c>
      <c r="I52" s="9">
        <f>IFERROR(Pivot!$K$5/Pivot!$J$5,0)</f>
        <v>0.19141914191419143</v>
      </c>
      <c r="K52">
        <f>Pivot!$F$30</f>
        <v>2</v>
      </c>
      <c r="L52" s="2">
        <f>Pivot!$G$30</f>
        <v>534</v>
      </c>
      <c r="M52" s="2">
        <f>Pivot!$H$30</f>
        <v>52</v>
      </c>
      <c r="O52" t="str">
        <f>Pivot!$A$30</f>
        <v>Human Resources</v>
      </c>
      <c r="P52" s="2">
        <f>Pivot!$B$30</f>
        <v>12</v>
      </c>
    </row>
    <row r="53" spans="1:16" x14ac:dyDescent="0.25">
      <c r="A53" t="str">
        <f>Pivot!$A$6</f>
        <v>Sales</v>
      </c>
      <c r="B53" s="2">
        <f>Pivot!$B$6</f>
        <v>446</v>
      </c>
      <c r="C53" s="2">
        <f>Pivot!$C$6</f>
        <v>92</v>
      </c>
      <c r="E53" t="str">
        <f>Pivot!$E$6</f>
        <v>Marketing</v>
      </c>
      <c r="F53" s="2">
        <f>Pivot!$F$6</f>
        <v>35</v>
      </c>
      <c r="H53" t="str">
        <f>Pivot!$I$6</f>
        <v>36-45</v>
      </c>
      <c r="I53" s="9">
        <f>IFERROR(Pivot!$K$6/Pivot!$J$6,0)</f>
        <v>9.1880341880341887E-2</v>
      </c>
      <c r="K53">
        <f>Pivot!$F$31</f>
        <v>3</v>
      </c>
      <c r="L53" s="2">
        <f>Pivot!$G$31</f>
        <v>218</v>
      </c>
      <c r="M53" s="2">
        <f>Pivot!$H$31</f>
        <v>32</v>
      </c>
      <c r="O53" t="str">
        <f>Pivot!$A$31</f>
        <v>Laboratory Technician</v>
      </c>
      <c r="P53" s="2">
        <f>Pivot!$B$31</f>
        <v>62</v>
      </c>
    </row>
    <row r="54" spans="1:16" x14ac:dyDescent="0.25">
      <c r="E54" t="str">
        <f>Pivot!$E$7</f>
        <v>Medical</v>
      </c>
      <c r="F54" s="2">
        <f>Pivot!$F$7</f>
        <v>63</v>
      </c>
      <c r="H54" t="str">
        <f>Pivot!$I$7</f>
        <v>46-55</v>
      </c>
      <c r="I54" s="9">
        <f>IFERROR(Pivot!$K$7/Pivot!$J$7,0)</f>
        <v>0.11504424778761062</v>
      </c>
      <c r="K54">
        <f>Pivot!$F$32</f>
        <v>4</v>
      </c>
      <c r="L54" s="2">
        <f>Pivot!$G$32</f>
        <v>106</v>
      </c>
      <c r="M54" s="2">
        <f>Pivot!$H$32</f>
        <v>5</v>
      </c>
      <c r="O54" t="str">
        <f>Pivot!$A$32</f>
        <v>Manager</v>
      </c>
      <c r="P54" s="2">
        <f>Pivot!$B$32</f>
        <v>5</v>
      </c>
    </row>
    <row r="55" spans="1:16" x14ac:dyDescent="0.25">
      <c r="E55" t="str">
        <f>Pivot!$E$8</f>
        <v>Other</v>
      </c>
      <c r="F55" s="2">
        <f>Pivot!$F$8</f>
        <v>11</v>
      </c>
      <c r="H55" t="str">
        <f>Pivot!$I$8</f>
        <v>56+</v>
      </c>
      <c r="I55" s="9">
        <f>IFERROR(Pivot!$K$8/Pivot!$J$8,0)</f>
        <v>0.1702127659574468</v>
      </c>
      <c r="K55">
        <f>Pivot!$F$33</f>
        <v>5</v>
      </c>
      <c r="L55" s="2">
        <f>Pivot!$G$33</f>
        <v>69</v>
      </c>
      <c r="M55" s="2">
        <f>Pivot!$H$33</f>
        <v>5</v>
      </c>
      <c r="O55" t="str">
        <f>Pivot!$A$33</f>
        <v>Manufacturing Director</v>
      </c>
      <c r="P55" s="2">
        <f>Pivot!$B$33</f>
        <v>10</v>
      </c>
    </row>
    <row r="56" spans="1:16" x14ac:dyDescent="0.25">
      <c r="E56" t="str">
        <f>Pivot!$E$9</f>
        <v>Technical Degree</v>
      </c>
      <c r="F56" s="2">
        <f>Pivot!$F$9</f>
        <v>32</v>
      </c>
      <c r="O56" t="str">
        <f>Pivot!$A$34</f>
        <v>Research Director</v>
      </c>
      <c r="P56" s="2">
        <f>Pivot!$B$34</f>
        <v>2</v>
      </c>
    </row>
    <row r="57" spans="1:16" x14ac:dyDescent="0.25">
      <c r="O57" t="str">
        <f>Pivot!$A$35</f>
        <v>Research Scientist</v>
      </c>
      <c r="P57" s="2">
        <f>Pivot!$B$35</f>
        <v>47</v>
      </c>
    </row>
    <row r="58" spans="1:16" x14ac:dyDescent="0.25">
      <c r="O58" t="str">
        <f>Pivot!$A$36</f>
        <v>Sales Executive</v>
      </c>
      <c r="P58" s="2">
        <f>Pivot!$B$36</f>
        <v>57</v>
      </c>
    </row>
    <row r="59" spans="1:16" x14ac:dyDescent="0.25">
      <c r="O59" t="str">
        <f>Pivot!$A$37</f>
        <v>Sales Representative</v>
      </c>
      <c r="P59" s="2">
        <f>Pivot!$B$37</f>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Virtudazo</dc:creator>
  <cp:lastModifiedBy>office38087</cp:lastModifiedBy>
  <dcterms:created xsi:type="dcterms:W3CDTF">2026-08-09T01:58:40Z</dcterms:created>
  <dcterms:modified xsi:type="dcterms:W3CDTF">2026-08-09T02:50:51Z</dcterms:modified>
</cp:coreProperties>
</file>